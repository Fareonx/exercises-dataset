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3.xml" ContentType="application/vnd.openxmlformats-officedocument.spreadsheetml.comments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əlimat" sheetId="1" state="visible" r:id="rId1"/>
    <sheet xmlns:r="http://schemas.openxmlformats.org/officeDocument/2006/relationships" name="Profil" sheetId="2" state="visible" r:id="rId2"/>
    <sheet xmlns:r="http://schemas.openxmlformats.org/officeDocument/2006/relationships" name="Qida bazası" sheetId="3" state="visible" r:id="rId3"/>
    <sheet xmlns:r="http://schemas.openxmlformats.org/officeDocument/2006/relationships" name="Gündəlik" sheetId="4" state="visible" r:id="rId4"/>
    <sheet xmlns:r="http://schemas.openxmlformats.org/officeDocument/2006/relationships" name="Günlər" sheetId="5" state="visible" r:id="rId5"/>
    <sheet xmlns:r="http://schemas.openxmlformats.org/officeDocument/2006/relationships" name="Həftəlik" sheetId="6" state="visible" r:id="rId6"/>
    <sheet xmlns:r="http://schemas.openxmlformats.org/officeDocument/2006/relationships" name="Menyu" sheetId="7" state="visible" r:id="rId7"/>
    <sheet xmlns:r="http://schemas.openxmlformats.org/officeDocument/2006/relationships" name="Yemək saatları" sheetId="8" state="visible" r:id="rId8"/>
    <sheet xmlns:r="http://schemas.openxmlformats.org/officeDocument/2006/relationships" name="Məşq" sheetId="9" state="visible" r:id="rId9"/>
    <sheet xmlns:r="http://schemas.openxmlformats.org/officeDocument/2006/relationships" name="Alış-veriş" sheetId="10" state="visible" r:id="rId10"/>
    <sheet xmlns:r="http://schemas.openxmlformats.org/officeDocument/2006/relationships" name="Bolony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0.0"/>
    <numFmt numFmtId="167" formatCode="+#,##0;-#,##0;0"/>
    <numFmt numFmtId="168" formatCode="+0.00;-0.00;0.0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color rgb="005B6760"/>
      <sz val="9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FFF59D"/>
      </patternFill>
    </fill>
    <fill>
      <patternFill patternType="solid">
        <fgColor rgb="001D6B4C"/>
      </patternFill>
    </fill>
    <fill>
      <patternFill patternType="solid">
        <fgColor rgb="00E8EC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5" fillId="2" borderId="0" pivotButton="0" quotePrefix="0" xfId="0"/>
    <xf numFmtId="0" fontId="4" fillId="0" borderId="0" pivotButton="0" quotePrefix="0" xfId="0"/>
    <xf numFmtId="9" fontId="5" fillId="2" borderId="0" pivotButton="0" quotePrefix="0" xfId="0"/>
    <xf numFmtId="3" fontId="2" fillId="0" borderId="0" pivotButton="0" quotePrefix="0" xfId="0"/>
    <xf numFmtId="3" fontId="3" fillId="0" borderId="0" pivotButton="0" quotePrefix="0" xfId="0"/>
    <xf numFmtId="0" fontId="6" fillId="3" borderId="0" applyAlignment="1" pivotButton="0" quotePrefix="0" xfId="0">
      <alignment vertical="center" wrapText="1"/>
    </xf>
    <xf numFmtId="0" fontId="0" fillId="2" borderId="0" pivotButton="0" quotePrefix="0" xfId="0"/>
    <xf numFmtId="0" fontId="2" fillId="2" borderId="0" pivotButton="0" quotePrefix="0" xfId="0"/>
    <xf numFmtId="165" fontId="5" fillId="0" borderId="0" pivotButton="0" quotePrefix="0" xfId="0"/>
    <xf numFmtId="0" fontId="5" fillId="0" borderId="0" pivotButton="0" quotePrefix="0" xfId="0"/>
    <xf numFmtId="1" fontId="2" fillId="0" borderId="0" pivotButton="0" quotePrefix="0" xfId="0"/>
    <xf numFmtId="166" fontId="2" fillId="0" borderId="0" pivotButton="0" quotePrefix="0" xfId="0"/>
    <xf numFmtId="165" fontId="0" fillId="2" borderId="0" pivotButton="0" quotePrefix="0" xfId="0"/>
    <xf numFmtId="165" fontId="0" fillId="0" borderId="0" pivotButton="0" quotePrefix="0" xfId="0"/>
    <xf numFmtId="165" fontId="2" fillId="0" borderId="0" pivotButton="0" quotePrefix="0" xfId="0"/>
    <xf numFmtId="167" fontId="2" fillId="0" borderId="0" pivotButton="0" quotePrefix="0" xfId="0"/>
    <xf numFmtId="166" fontId="5" fillId="2" borderId="0" pivotButton="0" quotePrefix="0" xfId="0"/>
    <xf numFmtId="2" fontId="2" fillId="0" borderId="0" pivotButton="0" quotePrefix="0" xfId="0"/>
    <xf numFmtId="168" fontId="2" fillId="0" borderId="0" pivotButton="0" quotePrefix="0" xfId="0"/>
    <xf numFmtId="0" fontId="3" fillId="4" borderId="0" pivotButton="0" quotePrefix="0" xfId="0"/>
    <xf numFmtId="3" fontId="7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3" borderId="0" pivotButton="0" quotePrefix="0" xfId="0"/>
    <xf numFmtId="2" fontId="5" fillId="0" borderId="0" pivotButton="0" quotePrefix="0" xfId="0"/>
    <xf numFmtId="2" fontId="3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9EADF"/>
        </patternFill>
      </fill>
    </dxf>
    <dxf>
      <fill>
        <patternFill patternType="solid">
          <fgColor rgb="00FBE3B5"/>
        </patternFill>
      </fill>
    </dxf>
    <dxf>
      <fill>
        <patternFill patternType="solid">
          <fgColor rgb="00F6CFC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Yeyilən kkal və norma (ilk 28 gün)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'Günlər'!G1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'Günlər'!$A$2:$A$29</f>
            </numRef>
          </cat>
          <val>
            <numRef>
              <f>'Günlər'!$G$2:$G$29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'Günlər'!F1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'Günlər'!$F$2:$F$29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Plan</author>
  </authors>
  <commentList>
    <comment ref="A74" authorId="0" shapeId="0">
      <text>
        <t>Öz məhsulunu bu sarı sətirlərə yaz: ad + per 100 g dəyərləri.</t>
      </text>
    </comment>
  </commentList>
</comments>
</file>

<file path=xl/comments/comment2.xml><?xml version="1.0" encoding="utf-8"?>
<comments xmlns="http://schemas.openxmlformats.org/spreadsheetml/2006/main">
  <authors>
    <author>Plan</author>
  </authors>
  <commentList>
    <comment ref="J1" authorId="0" shapeId="0">
      <text>
        <t>Çəki dəyişməsi üçün hər həftə ən azı 3 çəki lazımdır.</t>
      </text>
    </comment>
  </commentList>
</comments>
</file>

<file path=xl/comments/comment3.xml><?xml version="1.0" encoding="utf-8"?>
<comments xmlns="http://schemas.openxmlformats.org/spreadsheetml/2006/main">
  <authors>
    <author>Plan</author>
  </authors>
  <commentList>
    <comment ref="E1" authorId="0" shapeId="0">
      <text>
        <t>Təxmini supermarket qiyməti (Lidl/Conad/Esselunga). Öz çekinə görə dəyiş.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1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Kütlə planı · Bolonya — necə istifadə etmək</t>
        </is>
      </c>
    </row>
    <row r="2">
      <c r="A2" s="2" t="inlineStr"/>
    </row>
    <row r="3">
      <c r="A3" s="2" t="inlineStr">
        <is>
          <t>1. “Gündəlik” vərəqində hər yediyini bir sətirə yaz: Tarix, Yemək, Məhsul (siyahıdan seç), Qram. kkal və makrolar avtomatik hesablanır.</t>
        </is>
      </c>
    </row>
    <row r="4">
      <c r="A4" s="2" t="inlineStr">
        <is>
          <t>2. “Günlər” vərəqində həmin günün tipini seç (Zal / İstirahət) və tennis oynamısansa dəqiqəni yaz. Norma avtomatik dəyişir.</t>
        </is>
      </c>
    </row>
    <row r="5">
      <c r="A5" s="2" t="inlineStr">
        <is>
          <t>3. Səhər çəkisini “Günlər” vərəqinin “Çəki” sütununa yaz (həftədə ən azı 4 dəfə).</t>
        </is>
      </c>
    </row>
    <row r="6">
      <c r="A6" s="2" t="inlineStr">
        <is>
          <t>4. “Həftəlik” vərəqi orta kalorini, proteini və çəki dəyişməsini göstərir, normanı artırmaq/azaltmaq lazımdırsa deyir.</t>
        </is>
      </c>
    </row>
    <row r="7">
      <c r="A7" s="2" t="inlineStr">
        <is>
          <t>5. Çəki dəyişəndə “Profil” vərəqində çəkini yenilə — bütün normalar yenidən hesablanır.</t>
        </is>
      </c>
    </row>
    <row r="8">
      <c r="A8" s="2" t="inlineStr"/>
    </row>
    <row r="9">
      <c r="A9" s="3" t="inlineStr">
        <is>
          <t>Rənglər: göy rəqəm = sənin dəyişə biləcəyin giriş xanası; sarı fon = doldurmalı olduğun xana; qara = formula (toxunma).</t>
        </is>
      </c>
    </row>
    <row r="10">
      <c r="A10" s="2" t="inlineStr">
        <is>
          <t>“Gündəlik” vərəqindəki ilk sətirlər nümunədir (9 oktyabr, Cümə menyusu). Yediyinə görə dəyiş və ya sil.</t>
        </is>
      </c>
    </row>
    <row r="11">
      <c r="A11" s="2" t="inlineStr">
        <is>
          <t>Öz məhsulunu “Qida bazası” vərəqinin sonundakı boş sarı sətirlərə əlavə et (qablaşdırmadakı “per 100 g” dəyərləri).</t>
        </is>
      </c>
    </row>
    <row r="12">
      <c r="A12" s="2" t="inlineStr"/>
    </row>
    <row r="13">
      <c r="A13" s="4" t="inlineStr">
        <is>
          <t>Qida dəyərləri: CREA (İtaliya qida cədvəlləri), USDA FoodData Central və İtaliya supermarket etiketlərinə əsaslanan orta rəqəmlərdir; məhsuldan məhsula ±10% fərq ola bilər.</t>
        </is>
      </c>
    </row>
    <row r="14">
      <c r="A14" s="4" t="inlineStr">
        <is>
          <t>Qiymətlər Bolonya supermarketləri (Lidl, Conad, Coop, Esselunga) üçün təxminidir, 2026.</t>
        </is>
      </c>
    </row>
    <row r="15">
      <c r="A15" s="4" t="inlineStr">
        <is>
          <t>Bu plan tibbi məsləhət deyil. Sağlamlıq problemin varsa, həkimlə məsləhətləş.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60" customWidth="1" min="3" max="3"/>
  </cols>
  <sheetData>
    <row r="1">
      <c r="A1" s="5" t="inlineStr">
        <is>
          <t>Profil və hesablama</t>
        </is>
      </c>
    </row>
    <row r="2"/>
    <row r="3">
      <c r="A3" s="6" t="inlineStr">
        <is>
          <t>Giriş</t>
        </is>
      </c>
    </row>
    <row r="4">
      <c r="A4" s="7" t="inlineStr">
        <is>
          <t>Çəki, kq</t>
        </is>
      </c>
      <c r="B4" s="8" t="n">
        <v>58.3</v>
      </c>
      <c r="C4" s="9" t="inlineStr">
        <is>
          <t>Səhər, ac qarına</t>
        </is>
      </c>
    </row>
    <row r="5">
      <c r="A5" s="7" t="inlineStr">
        <is>
          <t>Boy, sm</t>
        </is>
      </c>
      <c r="B5" s="8" t="n">
        <v>165</v>
      </c>
      <c r="C5" s="9" t="inlineStr"/>
    </row>
    <row r="6">
      <c r="A6" s="7" t="inlineStr">
        <is>
          <t>Yaş</t>
        </is>
      </c>
      <c r="B6" s="8" t="n">
        <v>21</v>
      </c>
      <c r="C6" s="9" t="inlineStr">
        <is>
          <t>Sənin dediyin: 18–24 yaş; 21 götürülüb — dəqiq yaşını yaz</t>
        </is>
      </c>
    </row>
    <row r="7">
      <c r="A7" s="7" t="inlineStr">
        <is>
          <t>Aktivlik əmsalı (məşqsiz)</t>
        </is>
      </c>
      <c r="B7" s="8" t="n">
        <v>1.4</v>
      </c>
      <c r="C7" s="9" t="inlineStr">
        <is>
          <t>1,3 çox az hərəkət · 1,4 tələbə, piyada gəzir · 1,5 ayaq üstə iş</t>
        </is>
      </c>
    </row>
    <row r="8">
      <c r="A8" s="7" t="inlineStr">
        <is>
          <t>Kütlə üçün artıq kalori, kkal</t>
        </is>
      </c>
      <c r="B8" s="8" t="n">
        <v>300</v>
      </c>
      <c r="C8" s="9" t="inlineStr">
        <is>
          <t>Həftəlik çəki artımına görə ±150 dəyiş</t>
        </is>
      </c>
    </row>
    <row r="9">
      <c r="A9" s="7" t="inlineStr">
        <is>
          <t>Zal məşqi (≈60 dəq), kkal</t>
        </is>
      </c>
      <c r="B9" s="8" t="n">
        <v>250</v>
      </c>
      <c r="C9" s="9" t="inlineStr">
        <is>
          <t>Güc məşqi ≈ (MET 5 − 1) × çəki × saat</t>
        </is>
      </c>
    </row>
    <row r="10">
      <c r="A10" s="7" t="inlineStr">
        <is>
          <t>Protein, q/kq</t>
        </is>
      </c>
      <c r="B10" s="8" t="n">
        <v>2</v>
      </c>
      <c r="C10" s="9" t="inlineStr">
        <is>
          <t>Əzələ artımı üçün 1,6–2,2</t>
        </is>
      </c>
    </row>
    <row r="11">
      <c r="A11" s="7" t="inlineStr">
        <is>
          <t>Yağ, kalorinin payı</t>
        </is>
      </c>
      <c r="B11" s="10" t="n">
        <v>0.25</v>
      </c>
      <c r="C11" s="9" t="inlineStr">
        <is>
          <t>20–30%</t>
        </is>
      </c>
    </row>
    <row r="12"/>
    <row r="13">
      <c r="A13" s="6" t="inlineStr">
        <is>
          <t>Nəticə</t>
        </is>
      </c>
    </row>
    <row r="14">
      <c r="A14" s="7" t="inlineStr">
        <is>
          <t>Bazal metabolizm (BMR), kkal</t>
        </is>
      </c>
      <c r="B14" s="11">
        <f>ROUND(10*B4+6.25*B5-5*B6+5,0)</f>
        <v/>
      </c>
      <c r="C14" s="9" t="inlineStr">
        <is>
          <t>Mifflin–St Jeor, kişi</t>
        </is>
      </c>
    </row>
    <row r="15">
      <c r="A15" s="7" t="inlineStr">
        <is>
          <t>Gündəlik xərc, məşqsiz, kkal</t>
        </is>
      </c>
      <c r="B15" s="11">
        <f>ROUND((10*B4+6.25*B5-5*B6+5)*B7,0)</f>
        <v/>
      </c>
      <c r="C15" s="9" t="inlineStr">
        <is>
          <t>BMR × aktivlik</t>
        </is>
      </c>
    </row>
    <row r="16">
      <c r="A16" s="6" t="inlineStr">
        <is>
          <t>İstirahət günü norması, kkal</t>
        </is>
      </c>
      <c r="B16" s="12">
        <f>ROUND(((10*B4+6.25*B5-5*B6+5)*B7+B8)/10,0)*10</f>
        <v/>
      </c>
      <c r="C16" s="9" t="inlineStr">
        <is>
          <t>xərc + artıq</t>
        </is>
      </c>
    </row>
    <row r="17">
      <c r="A17" s="6" t="inlineStr">
        <is>
          <t>Zal günü norması, kkal</t>
        </is>
      </c>
      <c r="B17" s="12">
        <f>ROUND(((10*B4+6.25*B5-5*B6+5)*B7+B8+B9)/10,0)*10</f>
        <v/>
      </c>
      <c r="C17" s="9" t="inlineStr">
        <is>
          <t>xərc + artıq + məşq</t>
        </is>
      </c>
    </row>
    <row r="18">
      <c r="A18" s="7" t="inlineStr">
        <is>
          <t>Tennis tək, 60 dəq, kkal</t>
        </is>
      </c>
      <c r="B18" s="11">
        <f>ROUND(7*B4,0)</f>
        <v/>
      </c>
      <c r="C18" s="9" t="inlineStr">
        <is>
          <t>(MET 8 − 1) × çəki</t>
        </is>
      </c>
    </row>
    <row r="19">
      <c r="A19" s="7" t="inlineStr">
        <is>
          <t>Tennis cüt, 60 dəq, kkal</t>
        </is>
      </c>
      <c r="B19" s="11">
        <f>ROUND(5*B4,0)</f>
        <v/>
      </c>
      <c r="C19" s="9" t="inlineStr">
        <is>
          <t>(MET 6 − 1) × çəki</t>
        </is>
      </c>
    </row>
    <row r="20">
      <c r="A20" s="7" t="inlineStr">
        <is>
          <t>Protein, minimum q/gün</t>
        </is>
      </c>
      <c r="B20" s="11">
        <f>ROUND(B10*B4,0)</f>
        <v/>
      </c>
      <c r="C20" s="9" t="inlineStr"/>
    </row>
    <row r="21">
      <c r="A21" s="7" t="inlineStr">
        <is>
          <t>Yağ, istirahət / zal, q</t>
        </is>
      </c>
      <c r="B21" s="11">
        <f>ROUND(B16*B11/9,0)&amp;" / "&amp;ROUND(B17*B11/9,0)</f>
        <v/>
      </c>
      <c r="C21" s="9" t="inlineStr"/>
    </row>
    <row r="22">
      <c r="A22" s="7" t="inlineStr">
        <is>
          <t>Karbohidrat, istirahət, q</t>
        </is>
      </c>
      <c r="B22" s="11">
        <f>ROUND((B16-B20*4-ROUND(B16*B11/9,0)*9)/4,0)</f>
        <v/>
      </c>
      <c r="C22" s="9" t="inlineStr">
        <is>
          <t>qalan kalori</t>
        </is>
      </c>
    </row>
    <row r="23">
      <c r="A23" s="7" t="inlineStr">
        <is>
          <t>Karbohidrat, zal, q</t>
        </is>
      </c>
      <c r="B23" s="11">
        <f>ROUND((B17-B20*4-ROUND(B17*B11/9,0)*9)/4,0)</f>
        <v/>
      </c>
      <c r="C23" s="9" t="inlineStr"/>
    </row>
    <row r="24">
      <c r="A24" s="7" t="inlineStr">
        <is>
          <t>Su, l/gün</t>
        </is>
      </c>
      <c r="B24" s="7" t="inlineStr">
        <is>
          <t>2,5–3</t>
        </is>
      </c>
      <c r="C24" s="9" t="inlineStr">
        <is>
          <t>tennis/zal günü +0,5–1 l</t>
        </is>
      </c>
    </row>
    <row r="25">
      <c r="A25" s="7" t="inlineStr">
        <is>
          <t>Hədəf çəki artımı, kq/həftə</t>
        </is>
      </c>
      <c r="B25" s="7" t="inlineStr">
        <is>
          <t>0,2–0,3</t>
        </is>
      </c>
      <c r="C25" s="9" t="inlineStr">
        <is>
          <t>təmiz kütlə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6" customWidth="1" min="3" max="3"/>
    <col width="12" customWidth="1" min="4" max="4"/>
    <col width="11" customWidth="1" min="5" max="5"/>
    <col width="13" customWidth="1" min="6" max="6"/>
    <col width="9" customWidth="1" min="7" max="7"/>
    <col width="40" customWidth="1" min="8" max="8"/>
  </cols>
  <sheetData>
    <row r="1">
      <c r="A1" s="13" t="inlineStr">
        <is>
          <t>Məhsul (italyanca)</t>
        </is>
      </c>
      <c r="B1" s="13" t="inlineStr">
        <is>
          <t>İtalyanca</t>
        </is>
      </c>
      <c r="C1" s="13" t="inlineStr">
        <is>
          <t>Qrup</t>
        </is>
      </c>
      <c r="D1" s="13" t="inlineStr">
        <is>
          <t>kkal / 100 q</t>
        </is>
      </c>
      <c r="E1" s="13" t="inlineStr">
        <is>
          <t>Protein, q</t>
        </is>
      </c>
      <c r="F1" s="13" t="inlineStr">
        <is>
          <t>Karbohidrat, q</t>
        </is>
      </c>
      <c r="G1" s="13" t="inlineStr">
        <is>
          <t>Yağ, q</t>
        </is>
      </c>
      <c r="H1" s="13" t="inlineStr">
        <is>
          <t>Porsiya</t>
        </is>
      </c>
    </row>
    <row r="2">
      <c r="A2" s="7" t="inlineStr">
        <is>
          <t>Yulaf yarması (fiocchi d'avena)</t>
        </is>
      </c>
      <c r="B2" s="7" t="inlineStr">
        <is>
          <t>fiocchi d'avena</t>
        </is>
      </c>
      <c r="C2" s="7" t="inlineStr">
        <is>
          <t>Taxıl</t>
        </is>
      </c>
      <c r="D2" s="7" t="n">
        <v>372</v>
      </c>
      <c r="E2" s="7" t="n">
        <v>13.5</v>
      </c>
      <c r="F2" s="7" t="n">
        <v>58.7</v>
      </c>
      <c r="G2" s="7" t="n">
        <v>7</v>
      </c>
      <c r="H2" s="7" t="inlineStr">
        <is>
          <t>1 xörək qaşığı ≈ 10 q</t>
        </is>
      </c>
    </row>
    <row r="3">
      <c r="A3" s="7" t="inlineStr">
        <is>
          <t>Süd 1,5% (latte parzialmente scremato)</t>
        </is>
      </c>
      <c r="B3" s="7" t="inlineStr">
        <is>
          <t>latte parzialmente scremato</t>
        </is>
      </c>
      <c r="C3" s="7" t="inlineStr">
        <is>
          <t>Süd</t>
        </is>
      </c>
      <c r="D3" s="7" t="n">
        <v>46</v>
      </c>
      <c r="E3" s="7" t="n">
        <v>3.3</v>
      </c>
      <c r="F3" s="7" t="n">
        <v>4.9</v>
      </c>
      <c r="G3" s="7" t="n">
        <v>1.6</v>
      </c>
      <c r="H3" s="7" t="inlineStr">
        <is>
          <t>1 stəkan ≈ 250 q</t>
        </is>
      </c>
    </row>
    <row r="4">
      <c r="A4" s="7" t="inlineStr">
        <is>
          <t>Süd 3,5% (latte intero)</t>
        </is>
      </c>
      <c r="B4" s="7" t="inlineStr">
        <is>
          <t>latte intero</t>
        </is>
      </c>
      <c r="C4" s="7" t="inlineStr">
        <is>
          <t>Süd</t>
        </is>
      </c>
      <c r="D4" s="7" t="n">
        <v>64</v>
      </c>
      <c r="E4" s="7" t="n">
        <v>3.3</v>
      </c>
      <c r="F4" s="7" t="n">
        <v>4.8</v>
      </c>
      <c r="G4" s="7" t="n">
        <v>3.6</v>
      </c>
      <c r="H4" s="7" t="inlineStr">
        <is>
          <t>1 stəkan ≈ 250 q</t>
        </is>
      </c>
    </row>
    <row r="5">
      <c r="A5" s="7" t="inlineStr">
        <is>
          <t>Kefir (kefir)</t>
        </is>
      </c>
      <c r="B5" s="7" t="inlineStr">
        <is>
          <t>kefir</t>
        </is>
      </c>
      <c r="C5" s="7" t="inlineStr">
        <is>
          <t>Süd</t>
        </is>
      </c>
      <c r="D5" s="7" t="n">
        <v>60</v>
      </c>
      <c r="E5" s="7" t="n">
        <v>3.5</v>
      </c>
      <c r="F5" s="7" t="n">
        <v>4.5</v>
      </c>
      <c r="G5" s="7" t="n">
        <v>3</v>
      </c>
      <c r="H5" s="7" t="inlineStr">
        <is>
          <t>1 stəkan ≈ 250 q</t>
        </is>
      </c>
    </row>
    <row r="6">
      <c r="A6" s="7" t="inlineStr">
        <is>
          <t>Yunan yoqurtu 0% (yogurt greco 0%)</t>
        </is>
      </c>
      <c r="B6" s="7" t="inlineStr">
        <is>
          <t>yogurt greco 0%</t>
        </is>
      </c>
      <c r="C6" s="7" t="inlineStr">
        <is>
          <t>Süd</t>
        </is>
      </c>
      <c r="D6" s="7" t="n">
        <v>57</v>
      </c>
      <c r="E6" s="7" t="n">
        <v>10</v>
      </c>
      <c r="F6" s="7" t="n">
        <v>4</v>
      </c>
      <c r="G6" s="7" t="n">
        <v>0</v>
      </c>
      <c r="H6" s="7" t="inlineStr">
        <is>
          <t>1 qutu ≈ 170 q</t>
        </is>
      </c>
    </row>
    <row r="7">
      <c r="A7" s="7" t="inlineStr">
        <is>
          <t>Yunan yoqurtu 2% (yogurt greco 2%)</t>
        </is>
      </c>
      <c r="B7" s="7" t="inlineStr">
        <is>
          <t>yogurt greco 2%</t>
        </is>
      </c>
      <c r="C7" s="7" t="inlineStr">
        <is>
          <t>Süd</t>
        </is>
      </c>
      <c r="D7" s="7" t="n">
        <v>73</v>
      </c>
      <c r="E7" s="7" t="n">
        <v>10</v>
      </c>
      <c r="F7" s="7" t="n">
        <v>3</v>
      </c>
      <c r="G7" s="7" t="n">
        <v>2</v>
      </c>
      <c r="H7" s="7" t="inlineStr">
        <is>
          <t>1 qutu ≈ 170 q</t>
        </is>
      </c>
    </row>
    <row r="8">
      <c r="A8" s="7" t="inlineStr">
        <is>
          <t>Skyr (skyr)</t>
        </is>
      </c>
      <c r="B8" s="7" t="inlineStr">
        <is>
          <t>skyr</t>
        </is>
      </c>
      <c r="C8" s="7" t="inlineStr">
        <is>
          <t>Süd</t>
        </is>
      </c>
      <c r="D8" s="7" t="n">
        <v>63</v>
      </c>
      <c r="E8" s="7" t="n">
        <v>11</v>
      </c>
      <c r="F8" s="7" t="n">
        <v>4</v>
      </c>
      <c r="G8" s="7" t="n">
        <v>0.2</v>
      </c>
      <c r="H8" s="7" t="inlineStr">
        <is>
          <t>1 qutu ≈ 150 q</t>
        </is>
      </c>
    </row>
    <row r="9">
      <c r="A9" s="7" t="inlineStr">
        <is>
          <t>Dənəli kəsmik (fiocchi di latte)</t>
        </is>
      </c>
      <c r="B9" s="7" t="inlineStr">
        <is>
          <t>fiocchi di latte</t>
        </is>
      </c>
      <c r="C9" s="7" t="inlineStr">
        <is>
          <t>Süd</t>
        </is>
      </c>
      <c r="D9" s="7" t="n">
        <v>100</v>
      </c>
      <c r="E9" s="7" t="n">
        <v>12</v>
      </c>
      <c r="F9" s="7" t="n">
        <v>3</v>
      </c>
      <c r="G9" s="7" t="n">
        <v>4.5</v>
      </c>
      <c r="H9" s="7" t="inlineStr">
        <is>
          <t>1 qutu ≈ 150 q</t>
        </is>
      </c>
    </row>
    <row r="10">
      <c r="A10" s="7" t="inlineStr">
        <is>
          <t>Rikotta (ricotta vaccina)</t>
        </is>
      </c>
      <c r="B10" s="7" t="inlineStr">
        <is>
          <t>ricotta vaccina</t>
        </is>
      </c>
      <c r="C10" s="7" t="inlineStr">
        <is>
          <t>Süd</t>
        </is>
      </c>
      <c r="D10" s="7" t="n">
        <v>146</v>
      </c>
      <c r="E10" s="7" t="n">
        <v>8.800000000000001</v>
      </c>
      <c r="F10" s="7" t="n">
        <v>3.5</v>
      </c>
      <c r="G10" s="7" t="n">
        <v>10.9</v>
      </c>
      <c r="H10" s="7" t="inlineStr">
        <is>
          <t>1 qutu ≈ 250 q</t>
        </is>
      </c>
    </row>
    <row r="11">
      <c r="A11" s="7" t="inlineStr">
        <is>
          <t>Motsarella (mozzarella)</t>
        </is>
      </c>
      <c r="B11" s="7" t="inlineStr">
        <is>
          <t>mozzarella</t>
        </is>
      </c>
      <c r="C11" s="7" t="inlineStr">
        <is>
          <t>Süd</t>
        </is>
      </c>
      <c r="D11" s="7" t="n">
        <v>253</v>
      </c>
      <c r="E11" s="7" t="n">
        <v>18.7</v>
      </c>
      <c r="F11" s="7" t="n">
        <v>0.7</v>
      </c>
      <c r="G11" s="7" t="n">
        <v>19.5</v>
      </c>
      <c r="H11" s="7" t="inlineStr">
        <is>
          <t>1 top ≈ 125 q</t>
        </is>
      </c>
    </row>
    <row r="12">
      <c r="A12" s="7" t="inlineStr">
        <is>
          <t>Parmezan (Parmigiano Reggiano)</t>
        </is>
      </c>
      <c r="B12" s="7" t="inlineStr">
        <is>
          <t>Parmigiano Reggiano</t>
        </is>
      </c>
      <c r="C12" s="7" t="inlineStr">
        <is>
          <t>Süd</t>
        </is>
      </c>
      <c r="D12" s="7" t="n">
        <v>392</v>
      </c>
      <c r="E12" s="7" t="n">
        <v>33</v>
      </c>
      <c r="F12" s="7" t="n">
        <v>0</v>
      </c>
      <c r="G12" s="7" t="n">
        <v>28</v>
      </c>
      <c r="H12" s="7" t="inlineStr">
        <is>
          <t>1 xörək qaşığı rəndələnmiş ≈ 8 q</t>
        </is>
      </c>
    </row>
    <row r="13">
      <c r="A13" s="7" t="inlineStr">
        <is>
          <t>Yumurta (uova)</t>
        </is>
      </c>
      <c r="B13" s="7" t="inlineStr">
        <is>
          <t>uova</t>
        </is>
      </c>
      <c r="C13" s="7" t="inlineStr">
        <is>
          <t>Protein</t>
        </is>
      </c>
      <c r="D13" s="7" t="n">
        <v>140</v>
      </c>
      <c r="E13" s="7" t="n">
        <v>12.5</v>
      </c>
      <c r="F13" s="7" t="n">
        <v>0.7</v>
      </c>
      <c r="G13" s="7" t="n">
        <v>9.5</v>
      </c>
      <c r="H13" s="7" t="inlineStr">
        <is>
          <t>1 ədəd (L) ≈ 55 q</t>
        </is>
      </c>
    </row>
    <row r="14">
      <c r="A14" s="7" t="inlineStr">
        <is>
          <t>Yumurta ağı (albume)</t>
        </is>
      </c>
      <c r="B14" s="7" t="inlineStr">
        <is>
          <t>albume</t>
        </is>
      </c>
      <c r="C14" s="7" t="inlineStr">
        <is>
          <t>Protein</t>
        </is>
      </c>
      <c r="D14" s="7" t="n">
        <v>52</v>
      </c>
      <c r="E14" s="7" t="n">
        <v>10.9</v>
      </c>
      <c r="F14" s="7" t="n">
        <v>0.7</v>
      </c>
      <c r="G14" s="7" t="n">
        <v>0.2</v>
      </c>
      <c r="H14" s="7" t="inlineStr">
        <is>
          <t>1 yumurtanın ağı ≈ 33 q</t>
        </is>
      </c>
    </row>
    <row r="15">
      <c r="A15" s="7" t="inlineStr">
        <is>
          <t>Toyuq döşü (çiy) (petto di pollo)</t>
        </is>
      </c>
      <c r="B15" s="7" t="inlineStr">
        <is>
          <t>petto di pollo</t>
        </is>
      </c>
      <c r="C15" s="7" t="inlineStr">
        <is>
          <t>Protein</t>
        </is>
      </c>
      <c r="D15" s="7" t="n">
        <v>105</v>
      </c>
      <c r="E15" s="7" t="n">
        <v>23</v>
      </c>
      <c r="F15" s="7" t="n">
        <v>0</v>
      </c>
      <c r="G15" s="7" t="n">
        <v>1.2</v>
      </c>
      <c r="H15" s="7" t="inlineStr">
        <is>
          <t>bişəndə ~25% yüngülləşir</t>
        </is>
      </c>
    </row>
    <row r="16">
      <c r="A16" s="7" t="inlineStr">
        <is>
          <t>Hind toyuğu döşü (çiy) (fesa di tacchino)</t>
        </is>
      </c>
      <c r="B16" s="7" t="inlineStr">
        <is>
          <t>fesa di tacchino</t>
        </is>
      </c>
      <c r="C16" s="7" t="inlineStr">
        <is>
          <t>Protein</t>
        </is>
      </c>
      <c r="D16" s="7" t="n">
        <v>107</v>
      </c>
      <c r="E16" s="7" t="n">
        <v>24</v>
      </c>
      <c r="F16" s="7" t="n">
        <v>0</v>
      </c>
      <c r="G16" s="7" t="n">
        <v>1.2</v>
      </c>
      <c r="H16" s="7" t="inlineStr"/>
    </row>
    <row r="17">
      <c r="A17" s="7" t="inlineStr">
        <is>
          <t>Mal qiyməsi 5% (çiy) (macinato magro di manzo)</t>
        </is>
      </c>
      <c r="B17" s="7" t="inlineStr">
        <is>
          <t>macinato magro di manzo</t>
        </is>
      </c>
      <c r="C17" s="7" t="inlineStr">
        <is>
          <t>Protein</t>
        </is>
      </c>
      <c r="D17" s="7" t="n">
        <v>137</v>
      </c>
      <c r="E17" s="7" t="n">
        <v>21</v>
      </c>
      <c r="F17" s="7" t="n">
        <v>0</v>
      </c>
      <c r="G17" s="7" t="n">
        <v>5.5</v>
      </c>
      <c r="H17" s="7" t="inlineStr"/>
    </row>
    <row r="18">
      <c r="A18" s="7" t="inlineStr">
        <is>
          <t>Mal əti, yağsız (çiy) (fesa di manzo)</t>
        </is>
      </c>
      <c r="B18" s="7" t="inlineStr">
        <is>
          <t>fesa di manzo</t>
        </is>
      </c>
      <c r="C18" s="7" t="inlineStr">
        <is>
          <t>Protein</t>
        </is>
      </c>
      <c r="D18" s="7" t="n">
        <v>125</v>
      </c>
      <c r="E18" s="7" t="n">
        <v>22</v>
      </c>
      <c r="F18" s="7" t="n">
        <v>0</v>
      </c>
      <c r="G18" s="7" t="n">
        <v>4</v>
      </c>
      <c r="H18" s="7" t="inlineStr"/>
    </row>
    <row r="19">
      <c r="A19" s="7" t="inlineStr">
        <is>
          <t>Bresaola (bresaola)</t>
        </is>
      </c>
      <c r="B19" s="7" t="inlineStr">
        <is>
          <t>bresaola</t>
        </is>
      </c>
      <c r="C19" s="7" t="inlineStr">
        <is>
          <t>Protein</t>
        </is>
      </c>
      <c r="D19" s="7" t="n">
        <v>151</v>
      </c>
      <c r="E19" s="7" t="n">
        <v>32</v>
      </c>
      <c r="F19" s="7" t="n">
        <v>0</v>
      </c>
      <c r="G19" s="7" t="n">
        <v>2.6</v>
      </c>
      <c r="H19" s="7" t="inlineStr">
        <is>
          <t>1 dilim ≈ 10 q</t>
        </is>
      </c>
    </row>
    <row r="20">
      <c r="A20" s="7" t="inlineStr">
        <is>
          <t>Bişmiş vetçina (prosciutto cotto)</t>
        </is>
      </c>
      <c r="B20" s="7" t="inlineStr">
        <is>
          <t>prosciutto cotto</t>
        </is>
      </c>
      <c r="C20" s="7" t="inlineStr">
        <is>
          <t>Protein</t>
        </is>
      </c>
      <c r="D20" s="7" t="n">
        <v>130</v>
      </c>
      <c r="E20" s="7" t="n">
        <v>19.5</v>
      </c>
      <c r="F20" s="7" t="n">
        <v>1</v>
      </c>
      <c r="G20" s="7" t="n">
        <v>5</v>
      </c>
      <c r="H20" s="7" t="inlineStr">
        <is>
          <t>1 dilim ≈ 20 q</t>
        </is>
      </c>
    </row>
    <row r="21">
      <c r="A21" s="7" t="inlineStr">
        <is>
          <t>Qurudulmuş vetçina (prosciutto crudo)</t>
        </is>
      </c>
      <c r="B21" s="7" t="inlineStr">
        <is>
          <t>prosciutto crudo</t>
        </is>
      </c>
      <c r="C21" s="7" t="inlineStr">
        <is>
          <t>Protein</t>
        </is>
      </c>
      <c r="D21" s="7" t="n">
        <v>268</v>
      </c>
      <c r="E21" s="7" t="n">
        <v>26</v>
      </c>
      <c r="F21" s="7" t="n">
        <v>0</v>
      </c>
      <c r="G21" s="7" t="n">
        <v>18</v>
      </c>
      <c r="H21" s="7" t="inlineStr">
        <is>
          <t>1 dilim ≈ 15 q</t>
        </is>
      </c>
    </row>
    <row r="22">
      <c r="A22" s="7" t="inlineStr">
        <is>
          <t>Mortadella (Bolonya) (mortadella)</t>
        </is>
      </c>
      <c r="B22" s="7" t="inlineStr">
        <is>
          <t>mortadella</t>
        </is>
      </c>
      <c r="C22" s="7" t="inlineStr">
        <is>
          <t>Protein</t>
        </is>
      </c>
      <c r="D22" s="7" t="n">
        <v>288</v>
      </c>
      <c r="E22" s="7" t="n">
        <v>15</v>
      </c>
      <c r="F22" s="7" t="n">
        <v>0</v>
      </c>
      <c r="G22" s="7" t="n">
        <v>25</v>
      </c>
      <c r="H22" s="7" t="inlineStr">
        <is>
          <t>1 dilim ≈ 15 q</t>
        </is>
      </c>
    </row>
    <row r="23">
      <c r="A23" s="7" t="inlineStr">
        <is>
          <t>Tuna, öz suyunda (tonno al naturale)</t>
        </is>
      </c>
      <c r="B23" s="7" t="inlineStr">
        <is>
          <t>tonno al naturale</t>
        </is>
      </c>
      <c r="C23" s="7" t="inlineStr">
        <is>
          <t>Protein</t>
        </is>
      </c>
      <c r="D23" s="7" t="n">
        <v>103</v>
      </c>
      <c r="E23" s="7" t="n">
        <v>24</v>
      </c>
      <c r="F23" s="7" t="n">
        <v>0</v>
      </c>
      <c r="G23" s="7" t="n">
        <v>0.8</v>
      </c>
      <c r="H23" s="7" t="inlineStr">
        <is>
          <t>1 kiçik qutu süzülmüş ≈ 56–80 q</t>
        </is>
      </c>
    </row>
    <row r="24">
      <c r="A24" s="7" t="inlineStr">
        <is>
          <t>Tuna, yağda (süzülmüş) (tonno sott'olio)</t>
        </is>
      </c>
      <c r="B24" s="7" t="inlineStr">
        <is>
          <t>tonno sott'olio</t>
        </is>
      </c>
      <c r="C24" s="7" t="inlineStr">
        <is>
          <t>Protein</t>
        </is>
      </c>
      <c r="D24" s="7" t="n">
        <v>192</v>
      </c>
      <c r="E24" s="7" t="n">
        <v>25.2</v>
      </c>
      <c r="F24" s="7" t="n">
        <v>0</v>
      </c>
      <c r="G24" s="7" t="n">
        <v>10.1</v>
      </c>
      <c r="H24" s="7" t="inlineStr"/>
    </row>
    <row r="25">
      <c r="A25" s="7" t="inlineStr">
        <is>
          <t>Qızılbalıq (çiy) (salmone)</t>
        </is>
      </c>
      <c r="B25" s="7" t="inlineStr">
        <is>
          <t>salmone</t>
        </is>
      </c>
      <c r="C25" s="7" t="inlineStr">
        <is>
          <t>Protein</t>
        </is>
      </c>
      <c r="D25" s="7" t="n">
        <v>200</v>
      </c>
      <c r="E25" s="7" t="n">
        <v>20</v>
      </c>
      <c r="F25" s="7" t="n">
        <v>0</v>
      </c>
      <c r="G25" s="7" t="n">
        <v>13</v>
      </c>
      <c r="H25" s="7" t="inlineStr"/>
    </row>
    <row r="26">
      <c r="A26" s="7" t="inlineStr">
        <is>
          <t>Treska (çiy) (merluzzo)</t>
        </is>
      </c>
      <c r="B26" s="7" t="inlineStr">
        <is>
          <t>merluzzo</t>
        </is>
      </c>
      <c r="C26" s="7" t="inlineStr">
        <is>
          <t>Protein</t>
        </is>
      </c>
      <c r="D26" s="7" t="n">
        <v>82</v>
      </c>
      <c r="E26" s="7" t="n">
        <v>17.8</v>
      </c>
      <c r="F26" s="7" t="n">
        <v>0</v>
      </c>
      <c r="G26" s="7" t="n">
        <v>0.7</v>
      </c>
      <c r="H26" s="7" t="inlineStr"/>
    </row>
    <row r="27">
      <c r="A27" s="7" t="inlineStr">
        <is>
          <t>Krevet (çiy) (gamberi)</t>
        </is>
      </c>
      <c r="B27" s="7" t="inlineStr">
        <is>
          <t>gamberi</t>
        </is>
      </c>
      <c r="C27" s="7" t="inlineStr">
        <is>
          <t>Protein</t>
        </is>
      </c>
      <c r="D27" s="7" t="n">
        <v>85</v>
      </c>
      <c r="E27" s="7" t="n">
        <v>18</v>
      </c>
      <c r="F27" s="7" t="n">
        <v>0</v>
      </c>
      <c r="G27" s="7" t="n">
        <v>1</v>
      </c>
      <c r="H27" s="7" t="inlineStr"/>
    </row>
    <row r="28">
      <c r="A28" s="7" t="inlineStr">
        <is>
          <t>Protein tozu (whey) (proteine whey)</t>
        </is>
      </c>
      <c r="B28" s="7" t="inlineStr">
        <is>
          <t>proteine whey</t>
        </is>
      </c>
      <c r="C28" s="7" t="inlineStr">
        <is>
          <t>Protein</t>
        </is>
      </c>
      <c r="D28" s="7" t="n">
        <v>380</v>
      </c>
      <c r="E28" s="7" t="n">
        <v>78</v>
      </c>
      <c r="F28" s="7" t="n">
        <v>6</v>
      </c>
      <c r="G28" s="7" t="n">
        <v>5</v>
      </c>
      <c r="H28" s="7" t="inlineStr">
        <is>
          <t>1 ölçü qaşığı ≈ 30 q</t>
        </is>
      </c>
    </row>
    <row r="29">
      <c r="A29" s="7" t="inlineStr">
        <is>
          <t>Makaron (çiy) (pasta di semola)</t>
        </is>
      </c>
      <c r="B29" s="7" t="inlineStr">
        <is>
          <t>pasta di semola</t>
        </is>
      </c>
      <c r="C29" s="7" t="inlineStr">
        <is>
          <t>Karbohidrat</t>
        </is>
      </c>
      <c r="D29" s="7" t="n">
        <v>357</v>
      </c>
      <c r="E29" s="7" t="n">
        <v>13</v>
      </c>
      <c r="F29" s="7" t="n">
        <v>71</v>
      </c>
      <c r="G29" s="7" t="n">
        <v>1.5</v>
      </c>
      <c r="H29" s="7" t="inlineStr">
        <is>
          <t>çiy çəki ilə yaz</t>
        </is>
      </c>
    </row>
    <row r="30">
      <c r="A30" s="7" t="inlineStr">
        <is>
          <t>Tam taxıl makaron (çiy) (pasta integrale)</t>
        </is>
      </c>
      <c r="B30" s="7" t="inlineStr">
        <is>
          <t>pasta integrale</t>
        </is>
      </c>
      <c r="C30" s="7" t="inlineStr">
        <is>
          <t>Karbohidrat</t>
        </is>
      </c>
      <c r="D30" s="7" t="n">
        <v>340</v>
      </c>
      <c r="E30" s="7" t="n">
        <v>13.5</v>
      </c>
      <c r="F30" s="7" t="n">
        <v>64</v>
      </c>
      <c r="G30" s="7" t="n">
        <v>2.5</v>
      </c>
      <c r="H30" s="7" t="inlineStr">
        <is>
          <t>çiy çəki ilə yaz</t>
        </is>
      </c>
    </row>
    <row r="31">
      <c r="A31" s="7" t="inlineStr">
        <is>
          <t>Makaron (bişmiş) (pasta cotta)</t>
        </is>
      </c>
      <c r="B31" s="7" t="inlineStr">
        <is>
          <t>pasta cotta</t>
        </is>
      </c>
      <c r="C31" s="7" t="inlineStr">
        <is>
          <t>Karbohidrat</t>
        </is>
      </c>
      <c r="D31" s="7" t="n">
        <v>158</v>
      </c>
      <c r="E31" s="7" t="n">
        <v>5.8</v>
      </c>
      <c r="F31" s="7" t="n">
        <v>31</v>
      </c>
      <c r="G31" s="7" t="n">
        <v>0.9</v>
      </c>
      <c r="H31" s="7" t="inlineStr"/>
    </row>
    <row r="32">
      <c r="A32" s="7" t="inlineStr">
        <is>
          <t>Düyü (çiy) (riso)</t>
        </is>
      </c>
      <c r="B32" s="7" t="inlineStr">
        <is>
          <t>riso</t>
        </is>
      </c>
      <c r="C32" s="7" t="inlineStr">
        <is>
          <t>Karbohidrat</t>
        </is>
      </c>
      <c r="D32" s="7" t="n">
        <v>355</v>
      </c>
      <c r="E32" s="7" t="n">
        <v>7</v>
      </c>
      <c r="F32" s="7" t="n">
        <v>79</v>
      </c>
      <c r="G32" s="7" t="n">
        <v>0.6</v>
      </c>
      <c r="H32" s="7" t="inlineStr">
        <is>
          <t>çiy çəki ilə yaz</t>
        </is>
      </c>
    </row>
    <row r="33">
      <c r="A33" s="7" t="inlineStr">
        <is>
          <t>Düyü (bişmiş) (riso cotto)</t>
        </is>
      </c>
      <c r="B33" s="7" t="inlineStr">
        <is>
          <t>riso cotto</t>
        </is>
      </c>
      <c r="C33" s="7" t="inlineStr">
        <is>
          <t>Karbohidrat</t>
        </is>
      </c>
      <c r="D33" s="7" t="n">
        <v>130</v>
      </c>
      <c r="E33" s="7" t="n">
        <v>2.7</v>
      </c>
      <c r="F33" s="7" t="n">
        <v>28</v>
      </c>
      <c r="G33" s="7" t="n">
        <v>0.3</v>
      </c>
      <c r="H33" s="7" t="inlineStr"/>
    </row>
    <row r="34">
      <c r="A34" s="7" t="inlineStr">
        <is>
          <t>Kartof (patate)</t>
        </is>
      </c>
      <c r="B34" s="7" t="inlineStr">
        <is>
          <t>patate</t>
        </is>
      </c>
      <c r="C34" s="7" t="inlineStr">
        <is>
          <t>Karbohidrat</t>
        </is>
      </c>
      <c r="D34" s="7" t="n">
        <v>80</v>
      </c>
      <c r="E34" s="7" t="n">
        <v>2</v>
      </c>
      <c r="F34" s="7" t="n">
        <v>17.5</v>
      </c>
      <c r="G34" s="7" t="n">
        <v>0.1</v>
      </c>
      <c r="H34" s="7" t="inlineStr">
        <is>
          <t>1 orta ≈ 170 q</t>
        </is>
      </c>
    </row>
    <row r="35">
      <c r="A35" s="7" t="inlineStr">
        <is>
          <t>Batat (patata dolce)</t>
        </is>
      </c>
      <c r="B35" s="7" t="inlineStr">
        <is>
          <t>patata dolce</t>
        </is>
      </c>
      <c r="C35" s="7" t="inlineStr">
        <is>
          <t>Karbohidrat</t>
        </is>
      </c>
      <c r="D35" s="7" t="n">
        <v>86</v>
      </c>
      <c r="E35" s="7" t="n">
        <v>1.6</v>
      </c>
      <c r="F35" s="7" t="n">
        <v>20</v>
      </c>
      <c r="G35" s="7" t="n">
        <v>0.1</v>
      </c>
      <c r="H35" s="7" t="inlineStr"/>
    </row>
    <row r="36">
      <c r="A36" s="7" t="inlineStr">
        <is>
          <t>Ağ çörək (pane comune)</t>
        </is>
      </c>
      <c r="B36" s="7" t="inlineStr">
        <is>
          <t>pane comune</t>
        </is>
      </c>
      <c r="C36" s="7" t="inlineStr">
        <is>
          <t>Karbohidrat</t>
        </is>
      </c>
      <c r="D36" s="7" t="n">
        <v>270</v>
      </c>
      <c r="E36" s="7" t="n">
        <v>8.5</v>
      </c>
      <c r="F36" s="7" t="n">
        <v>55</v>
      </c>
      <c r="G36" s="7" t="n">
        <v>1.5</v>
      </c>
      <c r="H36" s="7" t="inlineStr">
        <is>
          <t>1 dilim ≈ 30 q</t>
        </is>
      </c>
    </row>
    <row r="37">
      <c r="A37" s="7" t="inlineStr">
        <is>
          <t>Tam taxıl çörək (pane integrale)</t>
        </is>
      </c>
      <c r="B37" s="7" t="inlineStr">
        <is>
          <t>pane integrale</t>
        </is>
      </c>
      <c r="C37" s="7" t="inlineStr">
        <is>
          <t>Karbohidrat</t>
        </is>
      </c>
      <c r="D37" s="7" t="n">
        <v>240</v>
      </c>
      <c r="E37" s="7" t="n">
        <v>9</v>
      </c>
      <c r="F37" s="7" t="n">
        <v>46</v>
      </c>
      <c r="G37" s="7" t="n">
        <v>2.5</v>
      </c>
      <c r="H37" s="7" t="inlineStr">
        <is>
          <t>1 dilim ≈ 30 q</t>
        </is>
      </c>
    </row>
    <row r="38">
      <c r="A38" s="7" t="inlineStr">
        <is>
          <t>Piadina (piadina romagnola)</t>
        </is>
      </c>
      <c r="B38" s="7" t="inlineStr">
        <is>
          <t>piadina romagnola</t>
        </is>
      </c>
      <c r="C38" s="7" t="inlineStr">
        <is>
          <t>Karbohidrat</t>
        </is>
      </c>
      <c r="D38" s="7" t="n">
        <v>310</v>
      </c>
      <c r="E38" s="7" t="n">
        <v>8</v>
      </c>
      <c r="F38" s="7" t="n">
        <v>50</v>
      </c>
      <c r="G38" s="7" t="n">
        <v>9</v>
      </c>
      <c r="H38" s="7" t="inlineStr">
        <is>
          <t>1 ədəd ≈ 110 q</t>
        </is>
      </c>
    </row>
    <row r="39">
      <c r="A39" s="7" t="inlineStr">
        <is>
          <t>Düyü qalletası (gallette di riso)</t>
        </is>
      </c>
      <c r="B39" s="7" t="inlineStr">
        <is>
          <t>gallette di riso</t>
        </is>
      </c>
      <c r="C39" s="7" t="inlineStr">
        <is>
          <t>Karbohidrat</t>
        </is>
      </c>
      <c r="D39" s="7" t="n">
        <v>380</v>
      </c>
      <c r="E39" s="7" t="n">
        <v>8</v>
      </c>
      <c r="F39" s="7" t="n">
        <v>81</v>
      </c>
      <c r="G39" s="7" t="n">
        <v>2.8</v>
      </c>
      <c r="H39" s="7" t="inlineStr">
        <is>
          <t>1 ədəd ≈ 8 q</t>
        </is>
      </c>
    </row>
    <row r="40">
      <c r="A40" s="7" t="inlineStr">
        <is>
          <t>Kruasan (bar) (cornetto / brioche)</t>
        </is>
      </c>
      <c r="B40" s="7" t="inlineStr">
        <is>
          <t>cornetto / brioche</t>
        </is>
      </c>
      <c r="C40" s="7" t="inlineStr">
        <is>
          <t>Karbohidrat</t>
        </is>
      </c>
      <c r="D40" s="7" t="n">
        <v>410</v>
      </c>
      <c r="E40" s="7" t="n">
        <v>7</v>
      </c>
      <c r="F40" s="7" t="n">
        <v>48</v>
      </c>
      <c r="G40" s="7" t="n">
        <v>21</v>
      </c>
      <c r="H40" s="7" t="inlineStr">
        <is>
          <t>1 ədəd ≈ 60 q</t>
        </is>
      </c>
    </row>
    <row r="41">
      <c r="A41" s="7" t="inlineStr">
        <is>
          <t>Mərcimək (quru) (lenticchie secche)</t>
        </is>
      </c>
      <c r="B41" s="7" t="inlineStr">
        <is>
          <t>lenticchie secche</t>
        </is>
      </c>
      <c r="C41" s="7" t="inlineStr">
        <is>
          <t>Paxlalı</t>
        </is>
      </c>
      <c r="D41" s="7" t="n">
        <v>340</v>
      </c>
      <c r="E41" s="7" t="n">
        <v>24</v>
      </c>
      <c r="F41" s="7" t="n">
        <v>55</v>
      </c>
      <c r="G41" s="7" t="n">
        <v>1.5</v>
      </c>
      <c r="H41" s="7" t="inlineStr">
        <is>
          <t>quru çəki ilə yaz</t>
        </is>
      </c>
    </row>
    <row r="42">
      <c r="A42" s="7" t="inlineStr">
        <is>
          <t>Noxud (konserv, süzülmüş) (ceci lessati)</t>
        </is>
      </c>
      <c r="B42" s="7" t="inlineStr">
        <is>
          <t>ceci lessati</t>
        </is>
      </c>
      <c r="C42" s="7" t="inlineStr">
        <is>
          <t>Paxlalı</t>
        </is>
      </c>
      <c r="D42" s="7" t="n">
        <v>120</v>
      </c>
      <c r="E42" s="7" t="n">
        <v>7</v>
      </c>
      <c r="F42" s="7" t="n">
        <v>16</v>
      </c>
      <c r="G42" s="7" t="n">
        <v>2.5</v>
      </c>
      <c r="H42" s="7" t="inlineStr">
        <is>
          <t>1 qutu süzülmüş ≈ 240 q</t>
        </is>
      </c>
    </row>
    <row r="43">
      <c r="A43" s="7" t="inlineStr">
        <is>
          <t>Lobya (konserv, süzülmüş) (fagioli borlotti)</t>
        </is>
      </c>
      <c r="B43" s="7" t="inlineStr">
        <is>
          <t>fagioli borlotti</t>
        </is>
      </c>
      <c r="C43" s="7" t="inlineStr">
        <is>
          <t>Paxlalı</t>
        </is>
      </c>
      <c r="D43" s="7" t="n">
        <v>100</v>
      </c>
      <c r="E43" s="7" t="n">
        <v>7</v>
      </c>
      <c r="F43" s="7" t="n">
        <v>14</v>
      </c>
      <c r="G43" s="7" t="n">
        <v>0.5</v>
      </c>
      <c r="H43" s="7" t="inlineStr"/>
    </row>
    <row r="44">
      <c r="A44" s="7" t="inlineStr">
        <is>
          <t>Banan (banana)</t>
        </is>
      </c>
      <c r="B44" s="7" t="inlineStr">
        <is>
          <t>banana</t>
        </is>
      </c>
      <c r="C44" s="7" t="inlineStr">
        <is>
          <t>Meyvə</t>
        </is>
      </c>
      <c r="D44" s="7" t="n">
        <v>89</v>
      </c>
      <c r="E44" s="7" t="n">
        <v>1.1</v>
      </c>
      <c r="F44" s="7" t="n">
        <v>23</v>
      </c>
      <c r="G44" s="7" t="n">
        <v>0.3</v>
      </c>
      <c r="H44" s="7" t="inlineStr">
        <is>
          <t>1 orta (qabıqsız) ≈ 120 q</t>
        </is>
      </c>
    </row>
    <row r="45">
      <c r="A45" s="7" t="inlineStr">
        <is>
          <t>Alma (mela)</t>
        </is>
      </c>
      <c r="B45" s="7" t="inlineStr">
        <is>
          <t>mela</t>
        </is>
      </c>
      <c r="C45" s="7" t="inlineStr">
        <is>
          <t>Meyvə</t>
        </is>
      </c>
      <c r="D45" s="7" t="n">
        <v>52</v>
      </c>
      <c r="E45" s="7" t="n">
        <v>0.3</v>
      </c>
      <c r="F45" s="7" t="n">
        <v>14</v>
      </c>
      <c r="G45" s="7" t="n">
        <v>0.2</v>
      </c>
      <c r="H45" s="7" t="inlineStr">
        <is>
          <t>1 orta ≈ 180 q</t>
        </is>
      </c>
    </row>
    <row r="46">
      <c r="A46" s="7" t="inlineStr">
        <is>
          <t>Üzüm (uva)</t>
        </is>
      </c>
      <c r="B46" s="7" t="inlineStr">
        <is>
          <t>uva</t>
        </is>
      </c>
      <c r="C46" s="7" t="inlineStr">
        <is>
          <t>Meyvə</t>
        </is>
      </c>
      <c r="D46" s="7" t="n">
        <v>69</v>
      </c>
      <c r="E46" s="7" t="n">
        <v>0.7</v>
      </c>
      <c r="F46" s="7" t="n">
        <v>18</v>
      </c>
      <c r="G46" s="7" t="n">
        <v>0.2</v>
      </c>
      <c r="H46" s="7" t="inlineStr"/>
    </row>
    <row r="47">
      <c r="A47" s="7" t="inlineStr">
        <is>
          <t>Xurma (cachi)</t>
        </is>
      </c>
      <c r="B47" s="7" t="inlineStr">
        <is>
          <t>cachi</t>
        </is>
      </c>
      <c r="C47" s="7" t="inlineStr">
        <is>
          <t>Meyvə</t>
        </is>
      </c>
      <c r="D47" s="7" t="n">
        <v>70</v>
      </c>
      <c r="E47" s="7" t="n">
        <v>0.6</v>
      </c>
      <c r="F47" s="7" t="n">
        <v>18.6</v>
      </c>
      <c r="G47" s="7" t="n">
        <v>0.2</v>
      </c>
      <c r="H47" s="7" t="inlineStr">
        <is>
          <t>1 ədəd ≈ 200 q</t>
        </is>
      </c>
    </row>
    <row r="48">
      <c r="A48" s="7" t="inlineStr">
        <is>
          <t>Portağal (arancia)</t>
        </is>
      </c>
      <c r="B48" s="7" t="inlineStr">
        <is>
          <t>arancia</t>
        </is>
      </c>
      <c r="C48" s="7" t="inlineStr">
        <is>
          <t>Meyvə</t>
        </is>
      </c>
      <c r="D48" s="7" t="n">
        <v>47</v>
      </c>
      <c r="E48" s="7" t="n">
        <v>0.9</v>
      </c>
      <c r="F48" s="7" t="n">
        <v>12</v>
      </c>
      <c r="G48" s="7" t="n">
        <v>0.1</v>
      </c>
      <c r="H48" s="7" t="inlineStr">
        <is>
          <t>1 orta ≈ 150 q</t>
        </is>
      </c>
    </row>
    <row r="49">
      <c r="A49" s="7" t="inlineStr">
        <is>
          <t>Kivi (kiwi)</t>
        </is>
      </c>
      <c r="B49" s="7" t="inlineStr">
        <is>
          <t>kiwi</t>
        </is>
      </c>
      <c r="C49" s="7" t="inlineStr">
        <is>
          <t>Meyvə</t>
        </is>
      </c>
      <c r="D49" s="7" t="n">
        <v>61</v>
      </c>
      <c r="E49" s="7" t="n">
        <v>1.1</v>
      </c>
      <c r="F49" s="7" t="n">
        <v>15</v>
      </c>
      <c r="G49" s="7" t="n">
        <v>0.5</v>
      </c>
      <c r="H49" s="7" t="inlineStr">
        <is>
          <t>1 ədəd ≈ 75 q</t>
        </is>
      </c>
    </row>
    <row r="50">
      <c r="A50" s="7" t="inlineStr">
        <is>
          <t>Brokoli (broccoli)</t>
        </is>
      </c>
      <c r="B50" s="7" t="inlineStr">
        <is>
          <t>broccoli</t>
        </is>
      </c>
      <c r="C50" s="7" t="inlineStr">
        <is>
          <t>Tərəvəz</t>
        </is>
      </c>
      <c r="D50" s="7" t="n">
        <v>34</v>
      </c>
      <c r="E50" s="7" t="n">
        <v>2.8</v>
      </c>
      <c r="F50" s="7" t="n">
        <v>7</v>
      </c>
      <c r="G50" s="7" t="n">
        <v>0.4</v>
      </c>
      <c r="H50" s="7" t="inlineStr"/>
    </row>
    <row r="51">
      <c r="A51" s="7" t="inlineStr">
        <is>
          <t>İspanaq (spinaci)</t>
        </is>
      </c>
      <c r="B51" s="7" t="inlineStr">
        <is>
          <t>spinaci</t>
        </is>
      </c>
      <c r="C51" s="7" t="inlineStr">
        <is>
          <t>Tərəvəz</t>
        </is>
      </c>
      <c r="D51" s="7" t="n">
        <v>23</v>
      </c>
      <c r="E51" s="7" t="n">
        <v>2.9</v>
      </c>
      <c r="F51" s="7" t="n">
        <v>3.6</v>
      </c>
      <c r="G51" s="7" t="n">
        <v>0.4</v>
      </c>
      <c r="H51" s="7" t="inlineStr"/>
    </row>
    <row r="52">
      <c r="A52" s="7" t="inlineStr">
        <is>
          <t>Pomidor (pomodori)</t>
        </is>
      </c>
      <c r="B52" s="7" t="inlineStr">
        <is>
          <t>pomodori</t>
        </is>
      </c>
      <c r="C52" s="7" t="inlineStr">
        <is>
          <t>Tərəvəz</t>
        </is>
      </c>
      <c r="D52" s="7" t="n">
        <v>18</v>
      </c>
      <c r="E52" s="7" t="n">
        <v>0.9</v>
      </c>
      <c r="F52" s="7" t="n">
        <v>3.9</v>
      </c>
      <c r="G52" s="7" t="n">
        <v>0.2</v>
      </c>
      <c r="H52" s="7" t="inlineStr">
        <is>
          <t>1 orta ≈ 120 q</t>
        </is>
      </c>
    </row>
    <row r="53">
      <c r="A53" s="7" t="inlineStr">
        <is>
          <t>Yaşıl salat (insalata)</t>
        </is>
      </c>
      <c r="B53" s="7" t="inlineStr">
        <is>
          <t>insalata</t>
        </is>
      </c>
      <c r="C53" s="7" t="inlineStr">
        <is>
          <t>Tərəvəz</t>
        </is>
      </c>
      <c r="D53" s="7" t="n">
        <v>15</v>
      </c>
      <c r="E53" s="7" t="n">
        <v>1.4</v>
      </c>
      <c r="F53" s="7" t="n">
        <v>2.9</v>
      </c>
      <c r="G53" s="7" t="n">
        <v>0.2</v>
      </c>
      <c r="H53" s="7" t="inlineStr"/>
    </row>
    <row r="54">
      <c r="A54" s="7" t="inlineStr">
        <is>
          <t>Yerkökü (carote)</t>
        </is>
      </c>
      <c r="B54" s="7" t="inlineStr">
        <is>
          <t>carote</t>
        </is>
      </c>
      <c r="C54" s="7" t="inlineStr">
        <is>
          <t>Tərəvəz</t>
        </is>
      </c>
      <c r="D54" s="7" t="n">
        <v>41</v>
      </c>
      <c r="E54" s="7" t="n">
        <v>0.9</v>
      </c>
      <c r="F54" s="7" t="n">
        <v>10</v>
      </c>
      <c r="G54" s="7" t="n">
        <v>0.2</v>
      </c>
      <c r="H54" s="7" t="inlineStr"/>
    </row>
    <row r="55">
      <c r="A55" s="7" t="inlineStr">
        <is>
          <t>Sukkini (balqabaq) (zucchine)</t>
        </is>
      </c>
      <c r="B55" s="7" t="inlineStr">
        <is>
          <t>zucchine</t>
        </is>
      </c>
      <c r="C55" s="7" t="inlineStr">
        <is>
          <t>Tərəvəz</t>
        </is>
      </c>
      <c r="D55" s="7" t="n">
        <v>17</v>
      </c>
      <c r="E55" s="7" t="n">
        <v>1.2</v>
      </c>
      <c r="F55" s="7" t="n">
        <v>3.1</v>
      </c>
      <c r="G55" s="7" t="n">
        <v>0.3</v>
      </c>
      <c r="H55" s="7" t="inlineStr"/>
    </row>
    <row r="56">
      <c r="A56" s="7" t="inlineStr">
        <is>
          <t>Xiyar (cetrioli)</t>
        </is>
      </c>
      <c r="B56" s="7" t="inlineStr">
        <is>
          <t>cetrioli</t>
        </is>
      </c>
      <c r="C56" s="7" t="inlineStr">
        <is>
          <t>Tərəvəz</t>
        </is>
      </c>
      <c r="D56" s="7" t="n">
        <v>15</v>
      </c>
      <c r="E56" s="7" t="n">
        <v>0.7</v>
      </c>
      <c r="F56" s="7" t="n">
        <v>3.6</v>
      </c>
      <c r="G56" s="7" t="n">
        <v>0.1</v>
      </c>
      <c r="H56" s="7" t="inlineStr"/>
    </row>
    <row r="57">
      <c r="A57" s="7" t="inlineStr">
        <is>
          <t>Pomidor sousu (passata di pomodoro)</t>
        </is>
      </c>
      <c r="B57" s="7" t="inlineStr">
        <is>
          <t>passata di pomodoro</t>
        </is>
      </c>
      <c r="C57" s="7" t="inlineStr">
        <is>
          <t>Tərəvəz</t>
        </is>
      </c>
      <c r="D57" s="7" t="n">
        <v>30</v>
      </c>
      <c r="E57" s="7" t="n">
        <v>1.3</v>
      </c>
      <c r="F57" s="7" t="n">
        <v>5</v>
      </c>
      <c r="G57" s="7" t="n">
        <v>0.2</v>
      </c>
      <c r="H57" s="7" t="inlineStr"/>
    </row>
    <row r="58">
      <c r="A58" s="7" t="inlineStr">
        <is>
          <t>Zeytun yağı (olio extravergine)</t>
        </is>
      </c>
      <c r="B58" s="7" t="inlineStr">
        <is>
          <t>olio extravergine</t>
        </is>
      </c>
      <c r="C58" s="7" t="inlineStr">
        <is>
          <t>Yağ/qoz</t>
        </is>
      </c>
      <c r="D58" s="7" t="n">
        <v>899</v>
      </c>
      <c r="E58" s="7" t="n">
        <v>0</v>
      </c>
      <c r="F58" s="7" t="n">
        <v>0</v>
      </c>
      <c r="G58" s="7" t="n">
        <v>99.90000000000001</v>
      </c>
      <c r="H58" s="7" t="inlineStr">
        <is>
          <t>1 xörək qaşığı ≈ 10 q</t>
        </is>
      </c>
    </row>
    <row r="59">
      <c r="A59" s="7" t="inlineStr">
        <is>
          <t>Kərə yağı (burro)</t>
        </is>
      </c>
      <c r="B59" s="7" t="inlineStr">
        <is>
          <t>burro</t>
        </is>
      </c>
      <c r="C59" s="7" t="inlineStr">
        <is>
          <t>Yağ/qoz</t>
        </is>
      </c>
      <c r="D59" s="7" t="n">
        <v>717</v>
      </c>
      <c r="E59" s="7" t="n">
        <v>0.9</v>
      </c>
      <c r="F59" s="7" t="n">
        <v>0.1</v>
      </c>
      <c r="G59" s="7" t="n">
        <v>81</v>
      </c>
      <c r="H59" s="7" t="inlineStr"/>
    </row>
    <row r="60">
      <c r="A60" s="7" t="inlineStr">
        <is>
          <t>Fıstıq pastası (burro d'arachidi)</t>
        </is>
      </c>
      <c r="B60" s="7" t="inlineStr">
        <is>
          <t>burro d'arachidi</t>
        </is>
      </c>
      <c r="C60" s="7" t="inlineStr">
        <is>
          <t>Yağ/qoz</t>
        </is>
      </c>
      <c r="D60" s="7" t="n">
        <v>588</v>
      </c>
      <c r="E60" s="7" t="n">
        <v>25</v>
      </c>
      <c r="F60" s="7" t="n">
        <v>20</v>
      </c>
      <c r="G60" s="7" t="n">
        <v>50</v>
      </c>
      <c r="H60" s="7" t="inlineStr">
        <is>
          <t>1 xörək qaşığı ≈ 15 q</t>
        </is>
      </c>
    </row>
    <row r="61">
      <c r="A61" s="7" t="inlineStr">
        <is>
          <t>Badam (mandorle)</t>
        </is>
      </c>
      <c r="B61" s="7" t="inlineStr">
        <is>
          <t>mandorle</t>
        </is>
      </c>
      <c r="C61" s="7" t="inlineStr">
        <is>
          <t>Yağ/qoz</t>
        </is>
      </c>
      <c r="D61" s="7" t="n">
        <v>600</v>
      </c>
      <c r="E61" s="7" t="n">
        <v>22</v>
      </c>
      <c r="F61" s="7" t="n">
        <v>5</v>
      </c>
      <c r="G61" s="7" t="n">
        <v>53</v>
      </c>
      <c r="H61" s="7" t="inlineStr">
        <is>
          <t>1 ovuc ≈ 25 q</t>
        </is>
      </c>
    </row>
    <row r="62">
      <c r="A62" s="7" t="inlineStr">
        <is>
          <t>Qoz (noci)</t>
        </is>
      </c>
      <c r="B62" s="7" t="inlineStr">
        <is>
          <t>noci</t>
        </is>
      </c>
      <c r="C62" s="7" t="inlineStr">
        <is>
          <t>Yağ/qoz</t>
        </is>
      </c>
      <c r="D62" s="7" t="n">
        <v>680</v>
      </c>
      <c r="E62" s="7" t="n">
        <v>15</v>
      </c>
      <c r="F62" s="7" t="n">
        <v>5</v>
      </c>
      <c r="G62" s="7" t="n">
        <v>66</v>
      </c>
      <c r="H62" s="7" t="inlineStr">
        <is>
          <t>1 ovuc ≈ 25 q</t>
        </is>
      </c>
    </row>
    <row r="63">
      <c r="A63" s="7" t="inlineStr">
        <is>
          <t>Qara şokolad 85% (cioccolato fondente 85%)</t>
        </is>
      </c>
      <c r="B63" s="7" t="inlineStr">
        <is>
          <t>cioccolato fondente 85%</t>
        </is>
      </c>
      <c r="C63" s="7" t="inlineStr">
        <is>
          <t>Şirin</t>
        </is>
      </c>
      <c r="D63" s="7" t="n">
        <v>580</v>
      </c>
      <c r="E63" s="7" t="n">
        <v>12.5</v>
      </c>
      <c r="F63" s="7" t="n">
        <v>19</v>
      </c>
      <c r="G63" s="7" t="n">
        <v>46</v>
      </c>
      <c r="H63" s="7" t="inlineStr">
        <is>
          <t>1 kvadrat ≈ 10 q</t>
        </is>
      </c>
    </row>
    <row r="64">
      <c r="A64" s="7" t="inlineStr">
        <is>
          <t>Bal (miele)</t>
        </is>
      </c>
      <c r="B64" s="7" t="inlineStr">
        <is>
          <t>miele</t>
        </is>
      </c>
      <c r="C64" s="7" t="inlineStr">
        <is>
          <t>Şirin</t>
        </is>
      </c>
      <c r="D64" s="7" t="n">
        <v>304</v>
      </c>
      <c r="E64" s="7" t="n">
        <v>0.3</v>
      </c>
      <c r="F64" s="7" t="n">
        <v>82</v>
      </c>
      <c r="G64" s="7" t="n">
        <v>0</v>
      </c>
      <c r="H64" s="7" t="inlineStr">
        <is>
          <t>1 çay qaşığı ≈ 7 q</t>
        </is>
      </c>
    </row>
    <row r="65">
      <c r="A65" s="7" t="inlineStr">
        <is>
          <t>Şəkər (zucchero)</t>
        </is>
      </c>
      <c r="B65" s="7" t="inlineStr">
        <is>
          <t>zucchero</t>
        </is>
      </c>
      <c r="C65" s="7" t="inlineStr">
        <is>
          <t>Şirin</t>
        </is>
      </c>
      <c r="D65" s="7" t="n">
        <v>392</v>
      </c>
      <c r="E65" s="7" t="n">
        <v>0</v>
      </c>
      <c r="F65" s="7" t="n">
        <v>100</v>
      </c>
      <c r="G65" s="7" t="n">
        <v>0</v>
      </c>
      <c r="H65" s="7" t="inlineStr">
        <is>
          <t>1 çay qaşığı ≈ 5 q</t>
        </is>
      </c>
    </row>
    <row r="66">
      <c r="A66" s="7" t="inlineStr">
        <is>
          <t>Dondurma (gelato)</t>
        </is>
      </c>
      <c r="B66" s="7" t="inlineStr">
        <is>
          <t>gelato</t>
        </is>
      </c>
      <c r="C66" s="7" t="inlineStr">
        <is>
          <t>Şirin</t>
        </is>
      </c>
      <c r="D66" s="7" t="n">
        <v>200</v>
      </c>
      <c r="E66" s="7" t="n">
        <v>4</v>
      </c>
      <c r="F66" s="7" t="n">
        <v>25</v>
      </c>
      <c r="G66" s="7" t="n">
        <v>9</v>
      </c>
      <c r="H66" s="7" t="inlineStr">
        <is>
          <t>1 kiçik fincan ≈ 100 q</t>
        </is>
      </c>
    </row>
    <row r="67">
      <c r="A67" s="7" t="inlineStr">
        <is>
          <t>Kapuçino (cappuccino)</t>
        </is>
      </c>
      <c r="B67" s="7" t="inlineStr">
        <is>
          <t>cappuccino</t>
        </is>
      </c>
      <c r="C67" s="7" t="inlineStr">
        <is>
          <t>İçki</t>
        </is>
      </c>
      <c r="D67" s="7" t="n">
        <v>45</v>
      </c>
      <c r="E67" s="7" t="n">
        <v>2.4</v>
      </c>
      <c r="F67" s="7" t="n">
        <v>3.6</v>
      </c>
      <c r="G67" s="7" t="n">
        <v>2.4</v>
      </c>
      <c r="H67" s="7" t="inlineStr">
        <is>
          <t>1 fincan ≈ 150 q</t>
        </is>
      </c>
    </row>
    <row r="68">
      <c r="A68" s="7" t="inlineStr">
        <is>
          <t>Tagliatelle al ragù (hazır) (tagliatelle al ragù)</t>
        </is>
      </c>
      <c r="B68" s="7" t="inlineStr">
        <is>
          <t>tagliatelle al ragù</t>
        </is>
      </c>
      <c r="C68" s="7" t="inlineStr">
        <is>
          <t>Bolonya yeməyi</t>
        </is>
      </c>
      <c r="D68" s="7" t="n">
        <v>180</v>
      </c>
      <c r="E68" s="7" t="n">
        <v>8</v>
      </c>
      <c r="F68" s="7" t="n">
        <v>22</v>
      </c>
      <c r="G68" s="7" t="n">
        <v>6.5</v>
      </c>
      <c r="H68" s="7" t="inlineStr">
        <is>
          <t>restoran porsiyası ≈ 280 q</t>
        </is>
      </c>
    </row>
    <row r="69">
      <c r="A69" s="7" t="inlineStr">
        <is>
          <t>Tortellini (təzə, çiy) (tortellini freschi)</t>
        </is>
      </c>
      <c r="B69" s="7" t="inlineStr">
        <is>
          <t>tortellini freschi</t>
        </is>
      </c>
      <c r="C69" s="7" t="inlineStr">
        <is>
          <t>Bolonya yeməyi</t>
        </is>
      </c>
      <c r="D69" s="7" t="n">
        <v>310</v>
      </c>
      <c r="E69" s="7" t="n">
        <v>12</v>
      </c>
      <c r="F69" s="7" t="n">
        <v>45</v>
      </c>
      <c r="G69" s="7" t="n">
        <v>9</v>
      </c>
      <c r="H69" s="7" t="inlineStr">
        <is>
          <t>porsiya ≈ 100 q</t>
        </is>
      </c>
    </row>
    <row r="70">
      <c r="A70" s="7" t="inlineStr">
        <is>
          <t>Tortellini in brodo (hazır) (tortellini in brodo)</t>
        </is>
      </c>
      <c r="B70" s="7" t="inlineStr">
        <is>
          <t>tortellini in brodo</t>
        </is>
      </c>
      <c r="C70" s="7" t="inlineStr">
        <is>
          <t>Bolonya yeməyi</t>
        </is>
      </c>
      <c r="D70" s="7" t="n">
        <v>100</v>
      </c>
      <c r="E70" s="7" t="n">
        <v>4.5</v>
      </c>
      <c r="F70" s="7" t="n">
        <v>13</v>
      </c>
      <c r="G70" s="7" t="n">
        <v>3.5</v>
      </c>
      <c r="H70" s="7" t="inlineStr">
        <is>
          <t>restoran porsiyası ≈ 300 q</t>
        </is>
      </c>
    </row>
    <row r="71">
      <c r="A71" s="7" t="inlineStr">
        <is>
          <t>Lazanya alla bolognese (lasagne alla bolognese)</t>
        </is>
      </c>
      <c r="B71" s="7" t="inlineStr">
        <is>
          <t>lasagne alla bolognese</t>
        </is>
      </c>
      <c r="C71" s="7" t="inlineStr">
        <is>
          <t>Bolonya yeməyi</t>
        </is>
      </c>
      <c r="D71" s="7" t="n">
        <v>160</v>
      </c>
      <c r="E71" s="7" t="n">
        <v>8</v>
      </c>
      <c r="F71" s="7" t="n">
        <v>13</v>
      </c>
      <c r="G71" s="7" t="n">
        <v>8.5</v>
      </c>
      <c r="H71" s="7" t="inlineStr">
        <is>
          <t>porsiya ≈ 300 q</t>
        </is>
      </c>
    </row>
    <row r="72">
      <c r="A72" s="7" t="inlineStr">
        <is>
          <t>Tigelle / crescentine (tigelle)</t>
        </is>
      </c>
      <c r="B72" s="7" t="inlineStr">
        <is>
          <t>tigelle</t>
        </is>
      </c>
      <c r="C72" s="7" t="inlineStr">
        <is>
          <t>Bolonya yeməyi</t>
        </is>
      </c>
      <c r="D72" s="7" t="n">
        <v>330</v>
      </c>
      <c r="E72" s="7" t="n">
        <v>8.5</v>
      </c>
      <c r="F72" s="7" t="n">
        <v>52</v>
      </c>
      <c r="G72" s="7" t="n">
        <v>9.5</v>
      </c>
      <c r="H72" s="7" t="inlineStr">
        <is>
          <t>1 ədəd ≈ 30 q</t>
        </is>
      </c>
    </row>
    <row r="73">
      <c r="A73" s="7" t="inlineStr">
        <is>
          <t>Pizza margherita (pizza margherita)</t>
        </is>
      </c>
      <c r="B73" s="7" t="inlineStr">
        <is>
          <t>pizza margherita</t>
        </is>
      </c>
      <c r="C73" s="7" t="inlineStr">
        <is>
          <t>Bolonya yeməyi</t>
        </is>
      </c>
      <c r="D73" s="7" t="n">
        <v>250</v>
      </c>
      <c r="E73" s="7" t="n">
        <v>10</v>
      </c>
      <c r="F73" s="7" t="n">
        <v>33</v>
      </c>
      <c r="G73" s="7" t="n">
        <v>8.5</v>
      </c>
      <c r="H73" s="7" t="inlineStr">
        <is>
          <t>1 pizza ≈ 300 q</t>
        </is>
      </c>
    </row>
    <row r="74">
      <c r="A74" s="14" t="n"/>
      <c r="B74" s="14" t="n"/>
      <c r="C74" s="15" t="inlineStr">
        <is>
          <t>Öz məhsulum</t>
        </is>
      </c>
      <c r="D74" s="14" t="n"/>
      <c r="E74" s="14" t="n"/>
      <c r="F74" s="14" t="n"/>
      <c r="G74" s="14" t="n"/>
    </row>
    <row r="75">
      <c r="A75" s="14" t="n"/>
      <c r="B75" s="14" t="n"/>
      <c r="C75" s="14" t="n"/>
      <c r="D75" s="14" t="n"/>
      <c r="E75" s="14" t="n"/>
      <c r="F75" s="14" t="n"/>
      <c r="G75" s="14" t="n"/>
    </row>
    <row r="76">
      <c r="A76" s="14" t="n"/>
      <c r="B76" s="14" t="n"/>
      <c r="C76" s="14" t="n"/>
      <c r="D76" s="14" t="n"/>
      <c r="E76" s="14" t="n"/>
      <c r="F76" s="14" t="n"/>
      <c r="G76" s="14" t="n"/>
    </row>
    <row r="77">
      <c r="A77" s="14" t="n"/>
      <c r="B77" s="14" t="n"/>
      <c r="C77" s="14" t="n"/>
      <c r="D77" s="14" t="n"/>
      <c r="E77" s="14" t="n"/>
      <c r="F77" s="14" t="n"/>
      <c r="G77" s="14" t="n"/>
    </row>
    <row r="78">
      <c r="A78" s="14" t="n"/>
      <c r="B78" s="14" t="n"/>
      <c r="C78" s="14" t="n"/>
      <c r="D78" s="14" t="n"/>
      <c r="E78" s="14" t="n"/>
      <c r="F78" s="14" t="n"/>
      <c r="G78" s="14" t="n"/>
    </row>
    <row r="79">
      <c r="A79" s="14" t="n"/>
      <c r="B79" s="14" t="n"/>
      <c r="C79" s="14" t="n"/>
      <c r="D79" s="14" t="n"/>
      <c r="E79" s="14" t="n"/>
      <c r="F79" s="14" t="n"/>
      <c r="G79" s="14" t="n"/>
    </row>
    <row r="80">
      <c r="A80" s="14" t="n"/>
      <c r="B80" s="14" t="n"/>
      <c r="C80" s="14" t="n"/>
      <c r="D80" s="14" t="n"/>
      <c r="E80" s="14" t="n"/>
      <c r="F80" s="14" t="n"/>
      <c r="G80" s="14" t="n"/>
    </row>
    <row r="81">
      <c r="A81" s="14" t="n"/>
      <c r="B81" s="14" t="n"/>
      <c r="C81" s="14" t="n"/>
      <c r="D81" s="14" t="n"/>
      <c r="E81" s="14" t="n"/>
      <c r="F81" s="14" t="n"/>
      <c r="G81" s="14" t="n"/>
    </row>
    <row r="82">
      <c r="A82" s="14" t="n"/>
      <c r="B82" s="14" t="n"/>
      <c r="C82" s="14" t="n"/>
      <c r="D82" s="14" t="n"/>
      <c r="E82" s="14" t="n"/>
      <c r="F82" s="14" t="n"/>
      <c r="G82" s="14" t="n"/>
    </row>
    <row r="83">
      <c r="A83" s="14" t="n"/>
      <c r="B83" s="14" t="n"/>
      <c r="C83" s="14" t="n"/>
      <c r="D83" s="14" t="n"/>
      <c r="E83" s="14" t="n"/>
      <c r="F83" s="14" t="n"/>
      <c r="G83" s="14" t="n"/>
    </row>
    <row r="84">
      <c r="A84" s="14" t="n"/>
      <c r="B84" s="14" t="n"/>
      <c r="C84" s="14" t="n"/>
      <c r="D84" s="14" t="n"/>
      <c r="E84" s="14" t="n"/>
      <c r="F84" s="14" t="n"/>
      <c r="G84" s="14" t="n"/>
    </row>
    <row r="85">
      <c r="A85" s="14" t="n"/>
      <c r="B85" s="14" t="n"/>
      <c r="C85" s="14" t="n"/>
      <c r="D85" s="14" t="n"/>
      <c r="E85" s="14" t="n"/>
      <c r="F85" s="14" t="n"/>
      <c r="G85" s="14" t="n"/>
    </row>
    <row r="86">
      <c r="A86" s="14" t="n"/>
      <c r="B86" s="14" t="n"/>
      <c r="C86" s="14" t="n"/>
      <c r="D86" s="14" t="n"/>
      <c r="E86" s="14" t="n"/>
      <c r="F86" s="14" t="n"/>
      <c r="G86" s="14" t="n"/>
    </row>
    <row r="87">
      <c r="A87" s="14" t="n"/>
      <c r="B87" s="14" t="n"/>
      <c r="C87" s="14" t="n"/>
      <c r="D87" s="14" t="n"/>
      <c r="E87" s="14" t="n"/>
      <c r="F87" s="14" t="n"/>
      <c r="G87" s="14" t="n"/>
    </row>
    <row r="88">
      <c r="A88" s="14" t="n"/>
      <c r="B88" s="14" t="n"/>
      <c r="C88" s="14" t="n"/>
      <c r="D88" s="14" t="n"/>
      <c r="E88" s="14" t="n"/>
      <c r="F88" s="14" t="n"/>
      <c r="G88" s="14" t="n"/>
    </row>
    <row r="89">
      <c r="A89" s="14" t="n"/>
      <c r="B89" s="14" t="n"/>
      <c r="C89" s="14" t="n"/>
      <c r="D89" s="14" t="n"/>
      <c r="E89" s="14" t="n"/>
      <c r="F89" s="14" t="n"/>
      <c r="G89" s="14" t="n"/>
    </row>
    <row r="90">
      <c r="A90" s="14" t="n"/>
      <c r="B90" s="14" t="n"/>
      <c r="C90" s="14" t="n"/>
      <c r="D90" s="14" t="n"/>
      <c r="E90" s="14" t="n"/>
      <c r="F90" s="14" t="n"/>
      <c r="G90" s="14" t="n"/>
    </row>
    <row r="91">
      <c r="A91" s="14" t="n"/>
      <c r="B91" s="14" t="n"/>
      <c r="C91" s="14" t="n"/>
      <c r="D91" s="14" t="n"/>
      <c r="E91" s="14" t="n"/>
      <c r="F91" s="14" t="n"/>
      <c r="G91" s="14" t="n"/>
    </row>
    <row r="92">
      <c r="A92" s="14" t="n"/>
      <c r="B92" s="14" t="n"/>
      <c r="C92" s="14" t="n"/>
      <c r="D92" s="14" t="n"/>
      <c r="E92" s="14" t="n"/>
      <c r="F92" s="14" t="n"/>
      <c r="G92" s="14" t="n"/>
    </row>
    <row r="93">
      <c r="A93" s="14" t="n"/>
      <c r="B93" s="14" t="n"/>
      <c r="C93" s="14" t="n"/>
      <c r="D93" s="14" t="n"/>
      <c r="E93" s="14" t="n"/>
      <c r="F93" s="14" t="n"/>
      <c r="G93" s="14" t="n"/>
    </row>
    <row r="94">
      <c r="A94" s="14" t="n"/>
      <c r="B94" s="14" t="n"/>
      <c r="C94" s="14" t="n"/>
      <c r="D94" s="14" t="n"/>
      <c r="E94" s="14" t="n"/>
      <c r="F94" s="14" t="n"/>
      <c r="G94" s="14" t="n"/>
    </row>
    <row r="95">
      <c r="A95" s="14" t="n"/>
      <c r="B95" s="14" t="n"/>
      <c r="C95" s="14" t="n"/>
      <c r="D95" s="14" t="n"/>
      <c r="E95" s="14" t="n"/>
      <c r="F95" s="14" t="n"/>
      <c r="G95" s="14" t="n"/>
    </row>
    <row r="96">
      <c r="A96" s="14" t="n"/>
      <c r="B96" s="14" t="n"/>
      <c r="C96" s="14" t="n"/>
      <c r="D96" s="14" t="n"/>
      <c r="E96" s="14" t="n"/>
      <c r="F96" s="14" t="n"/>
      <c r="G96" s="14" t="n"/>
    </row>
    <row r="97">
      <c r="A97" s="14" t="n"/>
      <c r="B97" s="14" t="n"/>
      <c r="C97" s="14" t="n"/>
      <c r="D97" s="14" t="n"/>
      <c r="E97" s="14" t="n"/>
      <c r="F97" s="14" t="n"/>
      <c r="G97" s="14" t="n"/>
    </row>
    <row r="98">
      <c r="A98" s="14" t="n"/>
      <c r="B98" s="14" t="n"/>
      <c r="C98" s="14" t="n"/>
      <c r="D98" s="14" t="n"/>
      <c r="E98" s="14" t="n"/>
      <c r="F98" s="14" t="n"/>
      <c r="G98" s="14" t="n"/>
    </row>
    <row r="99">
      <c r="A99" s="14" t="n"/>
      <c r="B99" s="14" t="n"/>
      <c r="C99" s="14" t="n"/>
      <c r="D99" s="14" t="n"/>
      <c r="E99" s="14" t="n"/>
      <c r="F99" s="14" t="n"/>
      <c r="G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30" customWidth="1" min="9" max="9"/>
  </cols>
  <sheetData>
    <row r="1">
      <c r="A1" s="13" t="inlineStr">
        <is>
          <t>Tarix</t>
        </is>
      </c>
      <c r="B1" s="13" t="inlineStr">
        <is>
          <t>Yemək</t>
        </is>
      </c>
      <c r="C1" s="13" t="inlineStr">
        <is>
          <t>Məhsul</t>
        </is>
      </c>
      <c r="D1" s="13" t="inlineStr">
        <is>
          <t>Qram</t>
        </is>
      </c>
      <c r="E1" s="13" t="inlineStr">
        <is>
          <t>kkal</t>
        </is>
      </c>
      <c r="F1" s="13" t="inlineStr">
        <is>
          <t>Protein</t>
        </is>
      </c>
      <c r="G1" s="13" t="inlineStr">
        <is>
          <t>Karb.</t>
        </is>
      </c>
      <c r="H1" s="13" t="inlineStr">
        <is>
          <t>Yağ</t>
        </is>
      </c>
      <c r="I1" s="13" t="inlineStr">
        <is>
          <t>Qeyd</t>
        </is>
      </c>
    </row>
    <row r="2">
      <c r="A2" s="16" t="n">
        <v>46304</v>
      </c>
      <c r="B2" s="17" t="inlineStr">
        <is>
          <t>Səhər yeməyi</t>
        </is>
      </c>
      <c r="C2" s="17" t="inlineStr">
        <is>
          <t>Yumurta (uova)</t>
        </is>
      </c>
      <c r="D2" s="17" t="n">
        <v>110</v>
      </c>
      <c r="E2" s="18">
        <f>IF(OR(C2="",D2=""),"",IFERROR(INDEX('Qida bazası'!$D$2:$D$103,MATCH(C2,'Qida bazası'!$A$2:$A$103,0))*D2/100,"?"))</f>
        <v/>
      </c>
      <c r="F2" s="19">
        <f>IF(OR(C2="",D2=""),"",IFERROR(INDEX('Qida bazası'!$E$2:$E$103,MATCH(C2,'Qida bazası'!$A$2:$A$103,0))*D2/100,"?"))</f>
        <v/>
      </c>
      <c r="G2" s="19">
        <f>IF(OR(C2="",D2=""),"",IFERROR(INDEX('Qida bazası'!$F$2:$F$103,MATCH(C2,'Qida bazası'!$A$2:$A$103,0))*D2/100,"?"))</f>
        <v/>
      </c>
      <c r="H2" s="19">
        <f>IF(OR(C2="",D2=""),"",IFERROR(INDEX('Qida bazası'!$G$2:$G$103,MATCH(C2,'Qida bazası'!$A$2:$A$103,0))*D2/100,"?"))</f>
        <v/>
      </c>
      <c r="I2" s="9" t="inlineStr">
        <is>
          <t>nümunə — dəyiş və ya sil</t>
        </is>
      </c>
    </row>
    <row r="3">
      <c r="A3" s="16" t="n">
        <v>46304</v>
      </c>
      <c r="B3" s="17" t="inlineStr">
        <is>
          <t>Səhər yeməyi</t>
        </is>
      </c>
      <c r="C3" s="17" t="inlineStr">
        <is>
          <t>Yumurta ağı (albume)</t>
        </is>
      </c>
      <c r="D3" s="17" t="n">
        <v>100</v>
      </c>
      <c r="E3" s="18">
        <f>IF(OR(C3="",D3=""),"",IFERROR(INDEX('Qida bazası'!$D$2:$D$103,MATCH(C3,'Qida bazası'!$A$2:$A$103,0))*D3/100,"?"))</f>
        <v/>
      </c>
      <c r="F3" s="19">
        <f>IF(OR(C3="",D3=""),"",IFERROR(INDEX('Qida bazası'!$E$2:$E$103,MATCH(C3,'Qida bazası'!$A$2:$A$103,0))*D3/100,"?"))</f>
        <v/>
      </c>
      <c r="G3" s="19">
        <f>IF(OR(C3="",D3=""),"",IFERROR(INDEX('Qida bazası'!$F$2:$F$103,MATCH(C3,'Qida bazası'!$A$2:$A$103,0))*D3/100,"?"))</f>
        <v/>
      </c>
      <c r="H3" s="19">
        <f>IF(OR(C3="",D3=""),"",IFERROR(INDEX('Qida bazası'!$G$2:$G$103,MATCH(C3,'Qida bazası'!$A$2:$A$103,0))*D3/100,"?"))</f>
        <v/>
      </c>
      <c r="I3" s="9" t="n"/>
    </row>
    <row r="4">
      <c r="A4" s="16" t="n">
        <v>46304</v>
      </c>
      <c r="B4" s="17" t="inlineStr">
        <is>
          <t>Səhər yeməyi</t>
        </is>
      </c>
      <c r="C4" s="17" t="inlineStr">
        <is>
          <t>Tam taxıl çörək (pane integrale)</t>
        </is>
      </c>
      <c r="D4" s="17" t="n">
        <v>100</v>
      </c>
      <c r="E4" s="18">
        <f>IF(OR(C4="",D4=""),"",IFERROR(INDEX('Qida bazası'!$D$2:$D$103,MATCH(C4,'Qida bazası'!$A$2:$A$103,0))*D4/100,"?"))</f>
        <v/>
      </c>
      <c r="F4" s="19">
        <f>IF(OR(C4="",D4=""),"",IFERROR(INDEX('Qida bazası'!$E$2:$E$103,MATCH(C4,'Qida bazası'!$A$2:$A$103,0))*D4/100,"?"))</f>
        <v/>
      </c>
      <c r="G4" s="19">
        <f>IF(OR(C4="",D4=""),"",IFERROR(INDEX('Qida bazası'!$F$2:$F$103,MATCH(C4,'Qida bazası'!$A$2:$A$103,0))*D4/100,"?"))</f>
        <v/>
      </c>
      <c r="H4" s="19">
        <f>IF(OR(C4="",D4=""),"",IFERROR(INDEX('Qida bazası'!$G$2:$G$103,MATCH(C4,'Qida bazası'!$A$2:$A$103,0))*D4/100,"?"))</f>
        <v/>
      </c>
      <c r="I4" s="9" t="n"/>
    </row>
    <row r="5">
      <c r="A5" s="16" t="n">
        <v>46304</v>
      </c>
      <c r="B5" s="17" t="inlineStr">
        <is>
          <t>Səhər yeməyi</t>
        </is>
      </c>
      <c r="C5" s="17" t="inlineStr">
        <is>
          <t>Portağal (arancia)</t>
        </is>
      </c>
      <c r="D5" s="17" t="n">
        <v>150</v>
      </c>
      <c r="E5" s="18">
        <f>IF(OR(C5="",D5=""),"",IFERROR(INDEX('Qida bazası'!$D$2:$D$103,MATCH(C5,'Qida bazası'!$A$2:$A$103,0))*D5/100,"?"))</f>
        <v/>
      </c>
      <c r="F5" s="19">
        <f>IF(OR(C5="",D5=""),"",IFERROR(INDEX('Qida bazası'!$E$2:$E$103,MATCH(C5,'Qida bazası'!$A$2:$A$103,0))*D5/100,"?"))</f>
        <v/>
      </c>
      <c r="G5" s="19">
        <f>IF(OR(C5="",D5=""),"",IFERROR(INDEX('Qida bazası'!$F$2:$F$103,MATCH(C5,'Qida bazası'!$A$2:$A$103,0))*D5/100,"?"))</f>
        <v/>
      </c>
      <c r="H5" s="19">
        <f>IF(OR(C5="",D5=""),"",IFERROR(INDEX('Qida bazası'!$G$2:$G$103,MATCH(C5,'Qida bazası'!$A$2:$A$103,0))*D5/100,"?"))</f>
        <v/>
      </c>
      <c r="I5" s="9" t="n"/>
    </row>
    <row r="6">
      <c r="A6" s="16" t="n">
        <v>46304</v>
      </c>
      <c r="B6" s="17" t="inlineStr">
        <is>
          <t>Səhər yeməyi</t>
        </is>
      </c>
      <c r="C6" s="17" t="inlineStr">
        <is>
          <t>Zeytun yağı (olio extravergine)</t>
        </is>
      </c>
      <c r="D6" s="17" t="n">
        <v>5</v>
      </c>
      <c r="E6" s="18">
        <f>IF(OR(C6="",D6=""),"",IFERROR(INDEX('Qida bazası'!$D$2:$D$103,MATCH(C6,'Qida bazası'!$A$2:$A$103,0))*D6/100,"?"))</f>
        <v/>
      </c>
      <c r="F6" s="19">
        <f>IF(OR(C6="",D6=""),"",IFERROR(INDEX('Qida bazası'!$E$2:$E$103,MATCH(C6,'Qida bazası'!$A$2:$A$103,0))*D6/100,"?"))</f>
        <v/>
      </c>
      <c r="G6" s="19">
        <f>IF(OR(C6="",D6=""),"",IFERROR(INDEX('Qida bazası'!$F$2:$F$103,MATCH(C6,'Qida bazası'!$A$2:$A$103,0))*D6/100,"?"))</f>
        <v/>
      </c>
      <c r="H6" s="19">
        <f>IF(OR(C6="",D6=""),"",IFERROR(INDEX('Qida bazası'!$G$2:$G$103,MATCH(C6,'Qida bazası'!$A$2:$A$103,0))*D6/100,"?"))</f>
        <v/>
      </c>
      <c r="I6" s="9" t="n"/>
    </row>
    <row r="7">
      <c r="A7" s="16" t="n">
        <v>46304</v>
      </c>
      <c r="B7" s="17" t="inlineStr">
        <is>
          <t>Qəlyanaltı 1</t>
        </is>
      </c>
      <c r="C7" s="17" t="inlineStr">
        <is>
          <t>Yunan yoqurtu 0% (yogurt greco 0%)</t>
        </is>
      </c>
      <c r="D7" s="17" t="n">
        <v>170</v>
      </c>
      <c r="E7" s="18">
        <f>IF(OR(C7="",D7=""),"",IFERROR(INDEX('Qida bazası'!$D$2:$D$103,MATCH(C7,'Qida bazası'!$A$2:$A$103,0))*D7/100,"?"))</f>
        <v/>
      </c>
      <c r="F7" s="19">
        <f>IF(OR(C7="",D7=""),"",IFERROR(INDEX('Qida bazası'!$E$2:$E$103,MATCH(C7,'Qida bazası'!$A$2:$A$103,0))*D7/100,"?"))</f>
        <v/>
      </c>
      <c r="G7" s="19">
        <f>IF(OR(C7="",D7=""),"",IFERROR(INDEX('Qida bazası'!$F$2:$F$103,MATCH(C7,'Qida bazası'!$A$2:$A$103,0))*D7/100,"?"))</f>
        <v/>
      </c>
      <c r="H7" s="19">
        <f>IF(OR(C7="",D7=""),"",IFERROR(INDEX('Qida bazası'!$G$2:$G$103,MATCH(C7,'Qida bazası'!$A$2:$A$103,0))*D7/100,"?"))</f>
        <v/>
      </c>
      <c r="I7" s="9" t="n"/>
    </row>
    <row r="8">
      <c r="A8" s="16" t="n">
        <v>46304</v>
      </c>
      <c r="B8" s="17" t="inlineStr">
        <is>
          <t>Qəlyanaltı 1</t>
        </is>
      </c>
      <c r="C8" s="17" t="inlineStr">
        <is>
          <t>Yulaf yarması (fiocchi d'avena)</t>
        </is>
      </c>
      <c r="D8" s="17" t="n">
        <v>60</v>
      </c>
      <c r="E8" s="18">
        <f>IF(OR(C8="",D8=""),"",IFERROR(INDEX('Qida bazası'!$D$2:$D$103,MATCH(C8,'Qida bazası'!$A$2:$A$103,0))*D8/100,"?"))</f>
        <v/>
      </c>
      <c r="F8" s="19">
        <f>IF(OR(C8="",D8=""),"",IFERROR(INDEX('Qida bazası'!$E$2:$E$103,MATCH(C8,'Qida bazası'!$A$2:$A$103,0))*D8/100,"?"))</f>
        <v/>
      </c>
      <c r="G8" s="19">
        <f>IF(OR(C8="",D8=""),"",IFERROR(INDEX('Qida bazası'!$F$2:$F$103,MATCH(C8,'Qida bazası'!$A$2:$A$103,0))*D8/100,"?"))</f>
        <v/>
      </c>
      <c r="H8" s="19">
        <f>IF(OR(C8="",D8=""),"",IFERROR(INDEX('Qida bazası'!$G$2:$G$103,MATCH(C8,'Qida bazası'!$A$2:$A$103,0))*D8/100,"?"))</f>
        <v/>
      </c>
      <c r="I8" s="9" t="n"/>
    </row>
    <row r="9">
      <c r="A9" s="16" t="n">
        <v>46304</v>
      </c>
      <c r="B9" s="17" t="inlineStr">
        <is>
          <t>Qəlyanaltı 1</t>
        </is>
      </c>
      <c r="C9" s="17" t="inlineStr">
        <is>
          <t>Banan (banana)</t>
        </is>
      </c>
      <c r="D9" s="17" t="n">
        <v>120</v>
      </c>
      <c r="E9" s="18">
        <f>IF(OR(C9="",D9=""),"",IFERROR(INDEX('Qida bazası'!$D$2:$D$103,MATCH(C9,'Qida bazası'!$A$2:$A$103,0))*D9/100,"?"))</f>
        <v/>
      </c>
      <c r="F9" s="19">
        <f>IF(OR(C9="",D9=""),"",IFERROR(INDEX('Qida bazası'!$E$2:$E$103,MATCH(C9,'Qida bazası'!$A$2:$A$103,0))*D9/100,"?"))</f>
        <v/>
      </c>
      <c r="G9" s="19">
        <f>IF(OR(C9="",D9=""),"",IFERROR(INDEX('Qida bazası'!$F$2:$F$103,MATCH(C9,'Qida bazası'!$A$2:$A$103,0))*D9/100,"?"))</f>
        <v/>
      </c>
      <c r="H9" s="19">
        <f>IF(OR(C9="",D9=""),"",IFERROR(INDEX('Qida bazası'!$G$2:$G$103,MATCH(C9,'Qida bazası'!$A$2:$A$103,0))*D9/100,"?"))</f>
        <v/>
      </c>
      <c r="I9" s="9" t="n"/>
    </row>
    <row r="10">
      <c r="A10" s="16" t="n">
        <v>46304</v>
      </c>
      <c r="B10" s="17" t="inlineStr">
        <is>
          <t>Nahar</t>
        </is>
      </c>
      <c r="C10" s="17" t="inlineStr">
        <is>
          <t>Tagliatelle al ragù (hazır) (tagliatelle al ragù)</t>
        </is>
      </c>
      <c r="D10" s="17" t="n">
        <v>280</v>
      </c>
      <c r="E10" s="18">
        <f>IF(OR(C10="",D10=""),"",IFERROR(INDEX('Qida bazası'!$D$2:$D$103,MATCH(C10,'Qida bazası'!$A$2:$A$103,0))*D10/100,"?"))</f>
        <v/>
      </c>
      <c r="F10" s="19">
        <f>IF(OR(C10="",D10=""),"",IFERROR(INDEX('Qida bazası'!$E$2:$E$103,MATCH(C10,'Qida bazası'!$A$2:$A$103,0))*D10/100,"?"))</f>
        <v/>
      </c>
      <c r="G10" s="19">
        <f>IF(OR(C10="",D10=""),"",IFERROR(INDEX('Qida bazası'!$F$2:$F$103,MATCH(C10,'Qida bazası'!$A$2:$A$103,0))*D10/100,"?"))</f>
        <v/>
      </c>
      <c r="H10" s="19">
        <f>IF(OR(C10="",D10=""),"",IFERROR(INDEX('Qida bazası'!$G$2:$G$103,MATCH(C10,'Qida bazası'!$A$2:$A$103,0))*D10/100,"?"))</f>
        <v/>
      </c>
      <c r="I10" s="9" t="n"/>
    </row>
    <row r="11">
      <c r="A11" s="16" t="n">
        <v>46304</v>
      </c>
      <c r="B11" s="17" t="inlineStr">
        <is>
          <t>Nahar</t>
        </is>
      </c>
      <c r="C11" s="17" t="inlineStr">
        <is>
          <t>Yaşıl salat (insalata)</t>
        </is>
      </c>
      <c r="D11" s="17" t="n">
        <v>100</v>
      </c>
      <c r="E11" s="18">
        <f>IF(OR(C11="",D11=""),"",IFERROR(INDEX('Qida bazası'!$D$2:$D$103,MATCH(C11,'Qida bazası'!$A$2:$A$103,0))*D11/100,"?"))</f>
        <v/>
      </c>
      <c r="F11" s="19">
        <f>IF(OR(C11="",D11=""),"",IFERROR(INDEX('Qida bazası'!$E$2:$E$103,MATCH(C11,'Qida bazası'!$A$2:$A$103,0))*D11/100,"?"))</f>
        <v/>
      </c>
      <c r="G11" s="19">
        <f>IF(OR(C11="",D11=""),"",IFERROR(INDEX('Qida bazası'!$F$2:$F$103,MATCH(C11,'Qida bazası'!$A$2:$A$103,0))*D11/100,"?"))</f>
        <v/>
      </c>
      <c r="H11" s="19">
        <f>IF(OR(C11="",D11=""),"",IFERROR(INDEX('Qida bazası'!$G$2:$G$103,MATCH(C11,'Qida bazası'!$A$2:$A$103,0))*D11/100,"?"))</f>
        <v/>
      </c>
      <c r="I11" s="9" t="n"/>
    </row>
    <row r="12">
      <c r="A12" s="16" t="n">
        <v>46304</v>
      </c>
      <c r="B12" s="17" t="inlineStr">
        <is>
          <t>Nahar</t>
        </is>
      </c>
      <c r="C12" s="17" t="inlineStr">
        <is>
          <t>Zeytun yağı (olio extravergine)</t>
        </is>
      </c>
      <c r="D12" s="17" t="n">
        <v>5</v>
      </c>
      <c r="E12" s="18">
        <f>IF(OR(C12="",D12=""),"",IFERROR(INDEX('Qida bazası'!$D$2:$D$103,MATCH(C12,'Qida bazası'!$A$2:$A$103,0))*D12/100,"?"))</f>
        <v/>
      </c>
      <c r="F12" s="19">
        <f>IF(OR(C12="",D12=""),"",IFERROR(INDEX('Qida bazası'!$E$2:$E$103,MATCH(C12,'Qida bazası'!$A$2:$A$103,0))*D12/100,"?"))</f>
        <v/>
      </c>
      <c r="G12" s="19">
        <f>IF(OR(C12="",D12=""),"",IFERROR(INDEX('Qida bazası'!$F$2:$F$103,MATCH(C12,'Qida bazası'!$A$2:$A$103,0))*D12/100,"?"))</f>
        <v/>
      </c>
      <c r="H12" s="19">
        <f>IF(OR(C12="",D12=""),"",IFERROR(INDEX('Qida bazası'!$G$2:$G$103,MATCH(C12,'Qida bazası'!$A$2:$A$103,0))*D12/100,"?"))</f>
        <v/>
      </c>
      <c r="I12" s="9" t="n"/>
    </row>
    <row r="13">
      <c r="A13" s="16" t="n">
        <v>46304</v>
      </c>
      <c r="B13" s="17" t="inlineStr">
        <is>
          <t>Qəlyanaltı 2</t>
        </is>
      </c>
      <c r="C13" s="17" t="inlineStr">
        <is>
          <t>Düyü qalletası (gallette di riso)</t>
        </is>
      </c>
      <c r="D13" s="17" t="n">
        <v>50</v>
      </c>
      <c r="E13" s="18">
        <f>IF(OR(C13="",D13=""),"",IFERROR(INDEX('Qida bazası'!$D$2:$D$103,MATCH(C13,'Qida bazası'!$A$2:$A$103,0))*D13/100,"?"))</f>
        <v/>
      </c>
      <c r="F13" s="19">
        <f>IF(OR(C13="",D13=""),"",IFERROR(INDEX('Qida bazası'!$E$2:$E$103,MATCH(C13,'Qida bazası'!$A$2:$A$103,0))*D13/100,"?"))</f>
        <v/>
      </c>
      <c r="G13" s="19">
        <f>IF(OR(C13="",D13=""),"",IFERROR(INDEX('Qida bazası'!$F$2:$F$103,MATCH(C13,'Qida bazası'!$A$2:$A$103,0))*D13/100,"?"))</f>
        <v/>
      </c>
      <c r="H13" s="19">
        <f>IF(OR(C13="",D13=""),"",IFERROR(INDEX('Qida bazası'!$G$2:$G$103,MATCH(C13,'Qida bazası'!$A$2:$A$103,0))*D13/100,"?"))</f>
        <v/>
      </c>
      <c r="I13" s="9" t="n"/>
    </row>
    <row r="14">
      <c r="A14" s="16" t="n">
        <v>46304</v>
      </c>
      <c r="B14" s="17" t="inlineStr">
        <is>
          <t>Qəlyanaltı 2</t>
        </is>
      </c>
      <c r="C14" s="17" t="inlineStr">
        <is>
          <t>Bresaola (bresaola)</t>
        </is>
      </c>
      <c r="D14" s="17" t="n">
        <v>60</v>
      </c>
      <c r="E14" s="18">
        <f>IF(OR(C14="",D14=""),"",IFERROR(INDEX('Qida bazası'!$D$2:$D$103,MATCH(C14,'Qida bazası'!$A$2:$A$103,0))*D14/100,"?"))</f>
        <v/>
      </c>
      <c r="F14" s="19">
        <f>IF(OR(C14="",D14=""),"",IFERROR(INDEX('Qida bazası'!$E$2:$E$103,MATCH(C14,'Qida bazası'!$A$2:$A$103,0))*D14/100,"?"))</f>
        <v/>
      </c>
      <c r="G14" s="19">
        <f>IF(OR(C14="",D14=""),"",IFERROR(INDEX('Qida bazası'!$F$2:$F$103,MATCH(C14,'Qida bazası'!$A$2:$A$103,0))*D14/100,"?"))</f>
        <v/>
      </c>
      <c r="H14" s="19">
        <f>IF(OR(C14="",D14=""),"",IFERROR(INDEX('Qida bazası'!$G$2:$G$103,MATCH(C14,'Qida bazası'!$A$2:$A$103,0))*D14/100,"?"))</f>
        <v/>
      </c>
      <c r="I14" s="9" t="n"/>
    </row>
    <row r="15">
      <c r="A15" s="16" t="n">
        <v>46304</v>
      </c>
      <c r="B15" s="17" t="inlineStr">
        <is>
          <t>Qəlyanaltı 2</t>
        </is>
      </c>
      <c r="C15" s="17" t="inlineStr">
        <is>
          <t>Alma (mela)</t>
        </is>
      </c>
      <c r="D15" s="17" t="n">
        <v>180</v>
      </c>
      <c r="E15" s="18">
        <f>IF(OR(C15="",D15=""),"",IFERROR(INDEX('Qida bazası'!$D$2:$D$103,MATCH(C15,'Qida bazası'!$A$2:$A$103,0))*D15/100,"?"))</f>
        <v/>
      </c>
      <c r="F15" s="19">
        <f>IF(OR(C15="",D15=""),"",IFERROR(INDEX('Qida bazası'!$E$2:$E$103,MATCH(C15,'Qida bazası'!$A$2:$A$103,0))*D15/100,"?"))</f>
        <v/>
      </c>
      <c r="G15" s="19">
        <f>IF(OR(C15="",D15=""),"",IFERROR(INDEX('Qida bazası'!$F$2:$F$103,MATCH(C15,'Qida bazası'!$A$2:$A$103,0))*D15/100,"?"))</f>
        <v/>
      </c>
      <c r="H15" s="19">
        <f>IF(OR(C15="",D15=""),"",IFERROR(INDEX('Qida bazası'!$G$2:$G$103,MATCH(C15,'Qida bazası'!$A$2:$A$103,0))*D15/100,"?"))</f>
        <v/>
      </c>
      <c r="I15" s="9" t="n"/>
    </row>
    <row r="16">
      <c r="A16" s="16" t="n">
        <v>46304</v>
      </c>
      <c r="B16" s="17" t="inlineStr">
        <is>
          <t>Şam yeməyi</t>
        </is>
      </c>
      <c r="C16" s="17" t="inlineStr">
        <is>
          <t>Treska (çiy) (merluzzo)</t>
        </is>
      </c>
      <c r="D16" s="17" t="n">
        <v>200</v>
      </c>
      <c r="E16" s="18">
        <f>IF(OR(C16="",D16=""),"",IFERROR(INDEX('Qida bazası'!$D$2:$D$103,MATCH(C16,'Qida bazası'!$A$2:$A$103,0))*D16/100,"?"))</f>
        <v/>
      </c>
      <c r="F16" s="19">
        <f>IF(OR(C16="",D16=""),"",IFERROR(INDEX('Qida bazası'!$E$2:$E$103,MATCH(C16,'Qida bazası'!$A$2:$A$103,0))*D16/100,"?"))</f>
        <v/>
      </c>
      <c r="G16" s="19">
        <f>IF(OR(C16="",D16=""),"",IFERROR(INDEX('Qida bazası'!$F$2:$F$103,MATCH(C16,'Qida bazası'!$A$2:$A$103,0))*D16/100,"?"))</f>
        <v/>
      </c>
      <c r="H16" s="19">
        <f>IF(OR(C16="",D16=""),"",IFERROR(INDEX('Qida bazası'!$G$2:$G$103,MATCH(C16,'Qida bazası'!$A$2:$A$103,0))*D16/100,"?"))</f>
        <v/>
      </c>
      <c r="I16" s="9" t="n"/>
    </row>
    <row r="17">
      <c r="A17" s="16" t="n">
        <v>46304</v>
      </c>
      <c r="B17" s="17" t="inlineStr">
        <is>
          <t>Şam yeməyi</t>
        </is>
      </c>
      <c r="C17" s="17" t="inlineStr">
        <is>
          <t>Düyü (çiy) (riso)</t>
        </is>
      </c>
      <c r="D17" s="17" t="n">
        <v>120</v>
      </c>
      <c r="E17" s="18">
        <f>IF(OR(C17="",D17=""),"",IFERROR(INDEX('Qida bazası'!$D$2:$D$103,MATCH(C17,'Qida bazası'!$A$2:$A$103,0))*D17/100,"?"))</f>
        <v/>
      </c>
      <c r="F17" s="19">
        <f>IF(OR(C17="",D17=""),"",IFERROR(INDEX('Qida bazası'!$E$2:$E$103,MATCH(C17,'Qida bazası'!$A$2:$A$103,0))*D17/100,"?"))</f>
        <v/>
      </c>
      <c r="G17" s="19">
        <f>IF(OR(C17="",D17=""),"",IFERROR(INDEX('Qida bazası'!$F$2:$F$103,MATCH(C17,'Qida bazası'!$A$2:$A$103,0))*D17/100,"?"))</f>
        <v/>
      </c>
      <c r="H17" s="19">
        <f>IF(OR(C17="",D17=""),"",IFERROR(INDEX('Qida bazası'!$G$2:$G$103,MATCH(C17,'Qida bazası'!$A$2:$A$103,0))*D17/100,"?"))</f>
        <v/>
      </c>
      <c r="I17" s="9" t="n"/>
    </row>
    <row r="18">
      <c r="A18" s="16" t="n">
        <v>46304</v>
      </c>
      <c r="B18" s="17" t="inlineStr">
        <is>
          <t>Şam yeməyi</t>
        </is>
      </c>
      <c r="C18" s="17" t="inlineStr">
        <is>
          <t>Brokoli (broccoli)</t>
        </is>
      </c>
      <c r="D18" s="17" t="n">
        <v>200</v>
      </c>
      <c r="E18" s="18">
        <f>IF(OR(C18="",D18=""),"",IFERROR(INDEX('Qida bazası'!$D$2:$D$103,MATCH(C18,'Qida bazası'!$A$2:$A$103,0))*D18/100,"?"))</f>
        <v/>
      </c>
      <c r="F18" s="19">
        <f>IF(OR(C18="",D18=""),"",IFERROR(INDEX('Qida bazası'!$E$2:$E$103,MATCH(C18,'Qida bazası'!$A$2:$A$103,0))*D18/100,"?"))</f>
        <v/>
      </c>
      <c r="G18" s="19">
        <f>IF(OR(C18="",D18=""),"",IFERROR(INDEX('Qida bazası'!$F$2:$F$103,MATCH(C18,'Qida bazası'!$A$2:$A$103,0))*D18/100,"?"))</f>
        <v/>
      </c>
      <c r="H18" s="19">
        <f>IF(OR(C18="",D18=""),"",IFERROR(INDEX('Qida bazası'!$G$2:$G$103,MATCH(C18,'Qida bazası'!$A$2:$A$103,0))*D18/100,"?"))</f>
        <v/>
      </c>
      <c r="I18" s="9" t="n"/>
    </row>
    <row r="19">
      <c r="A19" s="16" t="n">
        <v>46304</v>
      </c>
      <c r="B19" s="17" t="inlineStr">
        <is>
          <t>Şam yeməyi</t>
        </is>
      </c>
      <c r="C19" s="17" t="inlineStr">
        <is>
          <t>Zeytun yağı (olio extravergine)</t>
        </is>
      </c>
      <c r="D19" s="17" t="n">
        <v>10</v>
      </c>
      <c r="E19" s="18">
        <f>IF(OR(C19="",D19=""),"",IFERROR(INDEX('Qida bazası'!$D$2:$D$103,MATCH(C19,'Qida bazası'!$A$2:$A$103,0))*D19/100,"?"))</f>
        <v/>
      </c>
      <c r="F19" s="19">
        <f>IF(OR(C19="",D19=""),"",IFERROR(INDEX('Qida bazası'!$E$2:$E$103,MATCH(C19,'Qida bazası'!$A$2:$A$103,0))*D19/100,"?"))</f>
        <v/>
      </c>
      <c r="G19" s="19">
        <f>IF(OR(C19="",D19=""),"",IFERROR(INDEX('Qida bazası'!$F$2:$F$103,MATCH(C19,'Qida bazası'!$A$2:$A$103,0))*D19/100,"?"))</f>
        <v/>
      </c>
      <c r="H19" s="19">
        <f>IF(OR(C19="",D19=""),"",IFERROR(INDEX('Qida bazası'!$G$2:$G$103,MATCH(C19,'Qida bazası'!$A$2:$A$103,0))*D19/100,"?"))</f>
        <v/>
      </c>
      <c r="I19" s="9" t="n"/>
    </row>
    <row r="20">
      <c r="A20" s="20" t="n"/>
      <c r="B20" s="14" t="n"/>
      <c r="C20" s="14" t="n"/>
      <c r="D20" s="14" t="n"/>
      <c r="E20" s="18">
        <f>IF(OR(C20="",D20=""),"",IFERROR(INDEX('Qida bazası'!$D$2:$D$103,MATCH(C20,'Qida bazası'!$A$2:$A$103,0))*D20/100,"?"))</f>
        <v/>
      </c>
      <c r="F20" s="19">
        <f>IF(OR(C20="",D20=""),"",IFERROR(INDEX('Qida bazası'!$E$2:$E$103,MATCH(C20,'Qida bazası'!$A$2:$A$103,0))*D20/100,"?"))</f>
        <v/>
      </c>
      <c r="G20" s="19">
        <f>IF(OR(C20="",D20=""),"",IFERROR(INDEX('Qida bazası'!$F$2:$F$103,MATCH(C20,'Qida bazası'!$A$2:$A$103,0))*D20/100,"?"))</f>
        <v/>
      </c>
      <c r="H20" s="19">
        <f>IF(OR(C20="",D20=""),"",IFERROR(INDEX('Qida bazası'!$G$2:$G$103,MATCH(C20,'Qida bazası'!$A$2:$A$103,0))*D20/100,"?"))</f>
        <v/>
      </c>
    </row>
    <row r="21">
      <c r="A21" s="20" t="n"/>
      <c r="B21" s="14" t="n"/>
      <c r="C21" s="14" t="n"/>
      <c r="D21" s="14" t="n"/>
      <c r="E21" s="18">
        <f>IF(OR(C21="",D21=""),"",IFERROR(INDEX('Qida bazası'!$D$2:$D$103,MATCH(C21,'Qida bazası'!$A$2:$A$103,0))*D21/100,"?"))</f>
        <v/>
      </c>
      <c r="F21" s="19">
        <f>IF(OR(C21="",D21=""),"",IFERROR(INDEX('Qida bazası'!$E$2:$E$103,MATCH(C21,'Qida bazası'!$A$2:$A$103,0))*D21/100,"?"))</f>
        <v/>
      </c>
      <c r="G21" s="19">
        <f>IF(OR(C21="",D21=""),"",IFERROR(INDEX('Qida bazası'!$F$2:$F$103,MATCH(C21,'Qida bazası'!$A$2:$A$103,0))*D21/100,"?"))</f>
        <v/>
      </c>
      <c r="H21" s="19">
        <f>IF(OR(C21="",D21=""),"",IFERROR(INDEX('Qida bazası'!$G$2:$G$103,MATCH(C21,'Qida bazası'!$A$2:$A$103,0))*D21/100,"?"))</f>
        <v/>
      </c>
    </row>
    <row r="22">
      <c r="A22" s="20" t="n"/>
      <c r="B22" s="14" t="n"/>
      <c r="C22" s="14" t="n"/>
      <c r="D22" s="14" t="n"/>
      <c r="E22" s="18">
        <f>IF(OR(C22="",D22=""),"",IFERROR(INDEX('Qida bazası'!$D$2:$D$103,MATCH(C22,'Qida bazası'!$A$2:$A$103,0))*D22/100,"?"))</f>
        <v/>
      </c>
      <c r="F22" s="19">
        <f>IF(OR(C22="",D22=""),"",IFERROR(INDEX('Qida bazası'!$E$2:$E$103,MATCH(C22,'Qida bazası'!$A$2:$A$103,0))*D22/100,"?"))</f>
        <v/>
      </c>
      <c r="G22" s="19">
        <f>IF(OR(C22="",D22=""),"",IFERROR(INDEX('Qida bazası'!$F$2:$F$103,MATCH(C22,'Qida bazası'!$A$2:$A$103,0))*D22/100,"?"))</f>
        <v/>
      </c>
      <c r="H22" s="19">
        <f>IF(OR(C22="",D22=""),"",IFERROR(INDEX('Qida bazası'!$G$2:$G$103,MATCH(C22,'Qida bazası'!$A$2:$A$103,0))*D22/100,"?"))</f>
        <v/>
      </c>
    </row>
    <row r="23">
      <c r="A23" s="20" t="n"/>
      <c r="B23" s="14" t="n"/>
      <c r="C23" s="14" t="n"/>
      <c r="D23" s="14" t="n"/>
      <c r="E23" s="18">
        <f>IF(OR(C23="",D23=""),"",IFERROR(INDEX('Qida bazası'!$D$2:$D$103,MATCH(C23,'Qida bazası'!$A$2:$A$103,0))*D23/100,"?"))</f>
        <v/>
      </c>
      <c r="F23" s="19">
        <f>IF(OR(C23="",D23=""),"",IFERROR(INDEX('Qida bazası'!$E$2:$E$103,MATCH(C23,'Qida bazası'!$A$2:$A$103,0))*D23/100,"?"))</f>
        <v/>
      </c>
      <c r="G23" s="19">
        <f>IF(OR(C23="",D23=""),"",IFERROR(INDEX('Qida bazası'!$F$2:$F$103,MATCH(C23,'Qida bazası'!$A$2:$A$103,0))*D23/100,"?"))</f>
        <v/>
      </c>
      <c r="H23" s="19">
        <f>IF(OR(C23="",D23=""),"",IFERROR(INDEX('Qida bazası'!$G$2:$G$103,MATCH(C23,'Qida bazası'!$A$2:$A$103,0))*D23/100,"?"))</f>
        <v/>
      </c>
    </row>
    <row r="24">
      <c r="A24" s="20" t="n"/>
      <c r="B24" s="14" t="n"/>
      <c r="C24" s="14" t="n"/>
      <c r="D24" s="14" t="n"/>
      <c r="E24" s="18">
        <f>IF(OR(C24="",D24=""),"",IFERROR(INDEX('Qida bazası'!$D$2:$D$103,MATCH(C24,'Qida bazası'!$A$2:$A$103,0))*D24/100,"?"))</f>
        <v/>
      </c>
      <c r="F24" s="19">
        <f>IF(OR(C24="",D24=""),"",IFERROR(INDEX('Qida bazası'!$E$2:$E$103,MATCH(C24,'Qida bazası'!$A$2:$A$103,0))*D24/100,"?"))</f>
        <v/>
      </c>
      <c r="G24" s="19">
        <f>IF(OR(C24="",D24=""),"",IFERROR(INDEX('Qida bazası'!$F$2:$F$103,MATCH(C24,'Qida bazası'!$A$2:$A$103,0))*D24/100,"?"))</f>
        <v/>
      </c>
      <c r="H24" s="19">
        <f>IF(OR(C24="",D24=""),"",IFERROR(INDEX('Qida bazası'!$G$2:$G$103,MATCH(C24,'Qida bazası'!$A$2:$A$103,0))*D24/100,"?"))</f>
        <v/>
      </c>
    </row>
    <row r="25">
      <c r="A25" s="20" t="n"/>
      <c r="B25" s="14" t="n"/>
      <c r="C25" s="14" t="n"/>
      <c r="D25" s="14" t="n"/>
      <c r="E25" s="18">
        <f>IF(OR(C25="",D25=""),"",IFERROR(INDEX('Qida bazası'!$D$2:$D$103,MATCH(C25,'Qida bazası'!$A$2:$A$103,0))*D25/100,"?"))</f>
        <v/>
      </c>
      <c r="F25" s="19">
        <f>IF(OR(C25="",D25=""),"",IFERROR(INDEX('Qida bazası'!$E$2:$E$103,MATCH(C25,'Qida bazası'!$A$2:$A$103,0))*D25/100,"?"))</f>
        <v/>
      </c>
      <c r="G25" s="19">
        <f>IF(OR(C25="",D25=""),"",IFERROR(INDEX('Qida bazası'!$F$2:$F$103,MATCH(C25,'Qida bazası'!$A$2:$A$103,0))*D25/100,"?"))</f>
        <v/>
      </c>
      <c r="H25" s="19">
        <f>IF(OR(C25="",D25=""),"",IFERROR(INDEX('Qida bazası'!$G$2:$G$103,MATCH(C25,'Qida bazası'!$A$2:$A$103,0))*D25/100,"?"))</f>
        <v/>
      </c>
    </row>
    <row r="26">
      <c r="A26" s="20" t="n"/>
      <c r="B26" s="14" t="n"/>
      <c r="C26" s="14" t="n"/>
      <c r="D26" s="14" t="n"/>
      <c r="E26" s="18">
        <f>IF(OR(C26="",D26=""),"",IFERROR(INDEX('Qida bazası'!$D$2:$D$103,MATCH(C26,'Qida bazası'!$A$2:$A$103,0))*D26/100,"?"))</f>
        <v/>
      </c>
      <c r="F26" s="19">
        <f>IF(OR(C26="",D26=""),"",IFERROR(INDEX('Qida bazası'!$E$2:$E$103,MATCH(C26,'Qida bazası'!$A$2:$A$103,0))*D26/100,"?"))</f>
        <v/>
      </c>
      <c r="G26" s="19">
        <f>IF(OR(C26="",D26=""),"",IFERROR(INDEX('Qida bazası'!$F$2:$F$103,MATCH(C26,'Qida bazası'!$A$2:$A$103,0))*D26/100,"?"))</f>
        <v/>
      </c>
      <c r="H26" s="19">
        <f>IF(OR(C26="",D26=""),"",IFERROR(INDEX('Qida bazası'!$G$2:$G$103,MATCH(C26,'Qida bazası'!$A$2:$A$103,0))*D26/100,"?"))</f>
        <v/>
      </c>
    </row>
    <row r="27">
      <c r="A27" s="20" t="n"/>
      <c r="B27" s="14" t="n"/>
      <c r="C27" s="14" t="n"/>
      <c r="D27" s="14" t="n"/>
      <c r="E27" s="18">
        <f>IF(OR(C27="",D27=""),"",IFERROR(INDEX('Qida bazası'!$D$2:$D$103,MATCH(C27,'Qida bazası'!$A$2:$A$103,0))*D27/100,"?"))</f>
        <v/>
      </c>
      <c r="F27" s="19">
        <f>IF(OR(C27="",D27=""),"",IFERROR(INDEX('Qida bazası'!$E$2:$E$103,MATCH(C27,'Qida bazası'!$A$2:$A$103,0))*D27/100,"?"))</f>
        <v/>
      </c>
      <c r="G27" s="19">
        <f>IF(OR(C27="",D27=""),"",IFERROR(INDEX('Qida bazası'!$F$2:$F$103,MATCH(C27,'Qida bazası'!$A$2:$A$103,0))*D27/100,"?"))</f>
        <v/>
      </c>
      <c r="H27" s="19">
        <f>IF(OR(C27="",D27=""),"",IFERROR(INDEX('Qida bazası'!$G$2:$G$103,MATCH(C27,'Qida bazası'!$A$2:$A$103,0))*D27/100,"?"))</f>
        <v/>
      </c>
    </row>
    <row r="28">
      <c r="A28" s="20" t="n"/>
      <c r="B28" s="14" t="n"/>
      <c r="C28" s="14" t="n"/>
      <c r="D28" s="14" t="n"/>
      <c r="E28" s="18">
        <f>IF(OR(C28="",D28=""),"",IFERROR(INDEX('Qida bazası'!$D$2:$D$103,MATCH(C28,'Qida bazası'!$A$2:$A$103,0))*D28/100,"?"))</f>
        <v/>
      </c>
      <c r="F28" s="19">
        <f>IF(OR(C28="",D28=""),"",IFERROR(INDEX('Qida bazası'!$E$2:$E$103,MATCH(C28,'Qida bazası'!$A$2:$A$103,0))*D28/100,"?"))</f>
        <v/>
      </c>
      <c r="G28" s="19">
        <f>IF(OR(C28="",D28=""),"",IFERROR(INDEX('Qida bazası'!$F$2:$F$103,MATCH(C28,'Qida bazası'!$A$2:$A$103,0))*D28/100,"?"))</f>
        <v/>
      </c>
      <c r="H28" s="19">
        <f>IF(OR(C28="",D28=""),"",IFERROR(INDEX('Qida bazası'!$G$2:$G$103,MATCH(C28,'Qida bazası'!$A$2:$A$103,0))*D28/100,"?"))</f>
        <v/>
      </c>
    </row>
    <row r="29">
      <c r="A29" s="20" t="n"/>
      <c r="B29" s="14" t="n"/>
      <c r="C29" s="14" t="n"/>
      <c r="D29" s="14" t="n"/>
      <c r="E29" s="18">
        <f>IF(OR(C29="",D29=""),"",IFERROR(INDEX('Qida bazası'!$D$2:$D$103,MATCH(C29,'Qida bazası'!$A$2:$A$103,0))*D29/100,"?"))</f>
        <v/>
      </c>
      <c r="F29" s="19">
        <f>IF(OR(C29="",D29=""),"",IFERROR(INDEX('Qida bazası'!$E$2:$E$103,MATCH(C29,'Qida bazası'!$A$2:$A$103,0))*D29/100,"?"))</f>
        <v/>
      </c>
      <c r="G29" s="19">
        <f>IF(OR(C29="",D29=""),"",IFERROR(INDEX('Qida bazası'!$F$2:$F$103,MATCH(C29,'Qida bazası'!$A$2:$A$103,0))*D29/100,"?"))</f>
        <v/>
      </c>
      <c r="H29" s="19">
        <f>IF(OR(C29="",D29=""),"",IFERROR(INDEX('Qida bazası'!$G$2:$G$103,MATCH(C29,'Qida bazası'!$A$2:$A$103,0))*D29/100,"?"))</f>
        <v/>
      </c>
    </row>
    <row r="30">
      <c r="A30" s="20" t="n"/>
      <c r="B30" s="14" t="n"/>
      <c r="C30" s="14" t="n"/>
      <c r="D30" s="14" t="n"/>
      <c r="E30" s="18">
        <f>IF(OR(C30="",D30=""),"",IFERROR(INDEX('Qida bazası'!$D$2:$D$103,MATCH(C30,'Qida bazası'!$A$2:$A$103,0))*D30/100,"?"))</f>
        <v/>
      </c>
      <c r="F30" s="19">
        <f>IF(OR(C30="",D30=""),"",IFERROR(INDEX('Qida bazası'!$E$2:$E$103,MATCH(C30,'Qida bazası'!$A$2:$A$103,0))*D30/100,"?"))</f>
        <v/>
      </c>
      <c r="G30" s="19">
        <f>IF(OR(C30="",D30=""),"",IFERROR(INDEX('Qida bazası'!$F$2:$F$103,MATCH(C30,'Qida bazası'!$A$2:$A$103,0))*D30/100,"?"))</f>
        <v/>
      </c>
      <c r="H30" s="19">
        <f>IF(OR(C30="",D30=""),"",IFERROR(INDEX('Qida bazası'!$G$2:$G$103,MATCH(C30,'Qida bazası'!$A$2:$A$103,0))*D30/100,"?"))</f>
        <v/>
      </c>
    </row>
    <row r="31">
      <c r="A31" s="20" t="n"/>
      <c r="B31" s="14" t="n"/>
      <c r="C31" s="14" t="n"/>
      <c r="D31" s="14" t="n"/>
      <c r="E31" s="18">
        <f>IF(OR(C31="",D31=""),"",IFERROR(INDEX('Qida bazası'!$D$2:$D$103,MATCH(C31,'Qida bazası'!$A$2:$A$103,0))*D31/100,"?"))</f>
        <v/>
      </c>
      <c r="F31" s="19">
        <f>IF(OR(C31="",D31=""),"",IFERROR(INDEX('Qida bazası'!$E$2:$E$103,MATCH(C31,'Qida bazası'!$A$2:$A$103,0))*D31/100,"?"))</f>
        <v/>
      </c>
      <c r="G31" s="19">
        <f>IF(OR(C31="",D31=""),"",IFERROR(INDEX('Qida bazası'!$F$2:$F$103,MATCH(C31,'Qida bazası'!$A$2:$A$103,0))*D31/100,"?"))</f>
        <v/>
      </c>
      <c r="H31" s="19">
        <f>IF(OR(C31="",D31=""),"",IFERROR(INDEX('Qida bazası'!$G$2:$G$103,MATCH(C31,'Qida bazası'!$A$2:$A$103,0))*D31/100,"?"))</f>
        <v/>
      </c>
    </row>
    <row r="32">
      <c r="A32" s="20" t="n"/>
      <c r="B32" s="14" t="n"/>
      <c r="C32" s="14" t="n"/>
      <c r="D32" s="14" t="n"/>
      <c r="E32" s="18">
        <f>IF(OR(C32="",D32=""),"",IFERROR(INDEX('Qida bazası'!$D$2:$D$103,MATCH(C32,'Qida bazası'!$A$2:$A$103,0))*D32/100,"?"))</f>
        <v/>
      </c>
      <c r="F32" s="19">
        <f>IF(OR(C32="",D32=""),"",IFERROR(INDEX('Qida bazası'!$E$2:$E$103,MATCH(C32,'Qida bazası'!$A$2:$A$103,0))*D32/100,"?"))</f>
        <v/>
      </c>
      <c r="G32" s="19">
        <f>IF(OR(C32="",D32=""),"",IFERROR(INDEX('Qida bazası'!$F$2:$F$103,MATCH(C32,'Qida bazası'!$A$2:$A$103,0))*D32/100,"?"))</f>
        <v/>
      </c>
      <c r="H32" s="19">
        <f>IF(OR(C32="",D32=""),"",IFERROR(INDEX('Qida bazası'!$G$2:$G$103,MATCH(C32,'Qida bazası'!$A$2:$A$103,0))*D32/100,"?"))</f>
        <v/>
      </c>
    </row>
    <row r="33">
      <c r="A33" s="20" t="n"/>
      <c r="B33" s="14" t="n"/>
      <c r="C33" s="14" t="n"/>
      <c r="D33" s="14" t="n"/>
      <c r="E33" s="18">
        <f>IF(OR(C33="",D33=""),"",IFERROR(INDEX('Qida bazası'!$D$2:$D$103,MATCH(C33,'Qida bazası'!$A$2:$A$103,0))*D33/100,"?"))</f>
        <v/>
      </c>
      <c r="F33" s="19">
        <f>IF(OR(C33="",D33=""),"",IFERROR(INDEX('Qida bazası'!$E$2:$E$103,MATCH(C33,'Qida bazası'!$A$2:$A$103,0))*D33/100,"?"))</f>
        <v/>
      </c>
      <c r="G33" s="19">
        <f>IF(OR(C33="",D33=""),"",IFERROR(INDEX('Qida bazası'!$F$2:$F$103,MATCH(C33,'Qida bazası'!$A$2:$A$103,0))*D33/100,"?"))</f>
        <v/>
      </c>
      <c r="H33" s="19">
        <f>IF(OR(C33="",D33=""),"",IFERROR(INDEX('Qida bazası'!$G$2:$G$103,MATCH(C33,'Qida bazası'!$A$2:$A$103,0))*D33/100,"?"))</f>
        <v/>
      </c>
    </row>
    <row r="34">
      <c r="A34" s="20" t="n"/>
      <c r="B34" s="14" t="n"/>
      <c r="C34" s="14" t="n"/>
      <c r="D34" s="14" t="n"/>
      <c r="E34" s="18">
        <f>IF(OR(C34="",D34=""),"",IFERROR(INDEX('Qida bazası'!$D$2:$D$103,MATCH(C34,'Qida bazası'!$A$2:$A$103,0))*D34/100,"?"))</f>
        <v/>
      </c>
      <c r="F34" s="19">
        <f>IF(OR(C34="",D34=""),"",IFERROR(INDEX('Qida bazası'!$E$2:$E$103,MATCH(C34,'Qida bazası'!$A$2:$A$103,0))*D34/100,"?"))</f>
        <v/>
      </c>
      <c r="G34" s="19">
        <f>IF(OR(C34="",D34=""),"",IFERROR(INDEX('Qida bazası'!$F$2:$F$103,MATCH(C34,'Qida bazası'!$A$2:$A$103,0))*D34/100,"?"))</f>
        <v/>
      </c>
      <c r="H34" s="19">
        <f>IF(OR(C34="",D34=""),"",IFERROR(INDEX('Qida bazası'!$G$2:$G$103,MATCH(C34,'Qida bazası'!$A$2:$A$103,0))*D34/100,"?"))</f>
        <v/>
      </c>
    </row>
    <row r="35">
      <c r="A35" s="20" t="n"/>
      <c r="B35" s="14" t="n"/>
      <c r="C35" s="14" t="n"/>
      <c r="D35" s="14" t="n"/>
      <c r="E35" s="18">
        <f>IF(OR(C35="",D35=""),"",IFERROR(INDEX('Qida bazası'!$D$2:$D$103,MATCH(C35,'Qida bazası'!$A$2:$A$103,0))*D35/100,"?"))</f>
        <v/>
      </c>
      <c r="F35" s="19">
        <f>IF(OR(C35="",D35=""),"",IFERROR(INDEX('Qida bazası'!$E$2:$E$103,MATCH(C35,'Qida bazası'!$A$2:$A$103,0))*D35/100,"?"))</f>
        <v/>
      </c>
      <c r="G35" s="19">
        <f>IF(OR(C35="",D35=""),"",IFERROR(INDEX('Qida bazası'!$F$2:$F$103,MATCH(C35,'Qida bazası'!$A$2:$A$103,0))*D35/100,"?"))</f>
        <v/>
      </c>
      <c r="H35" s="19">
        <f>IF(OR(C35="",D35=""),"",IFERROR(INDEX('Qida bazası'!$G$2:$G$103,MATCH(C35,'Qida bazası'!$A$2:$A$103,0))*D35/100,"?"))</f>
        <v/>
      </c>
    </row>
    <row r="36">
      <c r="A36" s="20" t="n"/>
      <c r="B36" s="14" t="n"/>
      <c r="C36" s="14" t="n"/>
      <c r="D36" s="14" t="n"/>
      <c r="E36" s="18">
        <f>IF(OR(C36="",D36=""),"",IFERROR(INDEX('Qida bazası'!$D$2:$D$103,MATCH(C36,'Qida bazası'!$A$2:$A$103,0))*D36/100,"?"))</f>
        <v/>
      </c>
      <c r="F36" s="19">
        <f>IF(OR(C36="",D36=""),"",IFERROR(INDEX('Qida bazası'!$E$2:$E$103,MATCH(C36,'Qida bazası'!$A$2:$A$103,0))*D36/100,"?"))</f>
        <v/>
      </c>
      <c r="G36" s="19">
        <f>IF(OR(C36="",D36=""),"",IFERROR(INDEX('Qida bazası'!$F$2:$F$103,MATCH(C36,'Qida bazası'!$A$2:$A$103,0))*D36/100,"?"))</f>
        <v/>
      </c>
      <c r="H36" s="19">
        <f>IF(OR(C36="",D36=""),"",IFERROR(INDEX('Qida bazası'!$G$2:$G$103,MATCH(C36,'Qida bazası'!$A$2:$A$103,0))*D36/100,"?"))</f>
        <v/>
      </c>
    </row>
    <row r="37">
      <c r="A37" s="20" t="n"/>
      <c r="B37" s="14" t="n"/>
      <c r="C37" s="14" t="n"/>
      <c r="D37" s="14" t="n"/>
      <c r="E37" s="18">
        <f>IF(OR(C37="",D37=""),"",IFERROR(INDEX('Qida bazası'!$D$2:$D$103,MATCH(C37,'Qida bazası'!$A$2:$A$103,0))*D37/100,"?"))</f>
        <v/>
      </c>
      <c r="F37" s="19">
        <f>IF(OR(C37="",D37=""),"",IFERROR(INDEX('Qida bazası'!$E$2:$E$103,MATCH(C37,'Qida bazası'!$A$2:$A$103,0))*D37/100,"?"))</f>
        <v/>
      </c>
      <c r="G37" s="19">
        <f>IF(OR(C37="",D37=""),"",IFERROR(INDEX('Qida bazası'!$F$2:$F$103,MATCH(C37,'Qida bazası'!$A$2:$A$103,0))*D37/100,"?"))</f>
        <v/>
      </c>
      <c r="H37" s="19">
        <f>IF(OR(C37="",D37=""),"",IFERROR(INDEX('Qida bazası'!$G$2:$G$103,MATCH(C37,'Qida bazası'!$A$2:$A$103,0))*D37/100,"?"))</f>
        <v/>
      </c>
    </row>
    <row r="38">
      <c r="A38" s="20" t="n"/>
      <c r="B38" s="14" t="n"/>
      <c r="C38" s="14" t="n"/>
      <c r="D38" s="14" t="n"/>
      <c r="E38" s="18">
        <f>IF(OR(C38="",D38=""),"",IFERROR(INDEX('Qida bazası'!$D$2:$D$103,MATCH(C38,'Qida bazası'!$A$2:$A$103,0))*D38/100,"?"))</f>
        <v/>
      </c>
      <c r="F38" s="19">
        <f>IF(OR(C38="",D38=""),"",IFERROR(INDEX('Qida bazası'!$E$2:$E$103,MATCH(C38,'Qida bazası'!$A$2:$A$103,0))*D38/100,"?"))</f>
        <v/>
      </c>
      <c r="G38" s="19">
        <f>IF(OR(C38="",D38=""),"",IFERROR(INDEX('Qida bazası'!$F$2:$F$103,MATCH(C38,'Qida bazası'!$A$2:$A$103,0))*D38/100,"?"))</f>
        <v/>
      </c>
      <c r="H38" s="19">
        <f>IF(OR(C38="",D38=""),"",IFERROR(INDEX('Qida bazası'!$G$2:$G$103,MATCH(C38,'Qida bazası'!$A$2:$A$103,0))*D38/100,"?"))</f>
        <v/>
      </c>
    </row>
    <row r="39">
      <c r="A39" s="20" t="n"/>
      <c r="B39" s="14" t="n"/>
      <c r="C39" s="14" t="n"/>
      <c r="D39" s="14" t="n"/>
      <c r="E39" s="18">
        <f>IF(OR(C39="",D39=""),"",IFERROR(INDEX('Qida bazası'!$D$2:$D$103,MATCH(C39,'Qida bazası'!$A$2:$A$103,0))*D39/100,"?"))</f>
        <v/>
      </c>
      <c r="F39" s="19">
        <f>IF(OR(C39="",D39=""),"",IFERROR(INDEX('Qida bazası'!$E$2:$E$103,MATCH(C39,'Qida bazası'!$A$2:$A$103,0))*D39/100,"?"))</f>
        <v/>
      </c>
      <c r="G39" s="19">
        <f>IF(OR(C39="",D39=""),"",IFERROR(INDEX('Qida bazası'!$F$2:$F$103,MATCH(C39,'Qida bazası'!$A$2:$A$103,0))*D39/100,"?"))</f>
        <v/>
      </c>
      <c r="H39" s="19">
        <f>IF(OR(C39="",D39=""),"",IFERROR(INDEX('Qida bazası'!$G$2:$G$103,MATCH(C39,'Qida bazası'!$A$2:$A$103,0))*D39/100,"?"))</f>
        <v/>
      </c>
    </row>
    <row r="40">
      <c r="A40" s="20" t="n"/>
      <c r="B40" s="14" t="n"/>
      <c r="C40" s="14" t="n"/>
      <c r="D40" s="14" t="n"/>
      <c r="E40" s="18">
        <f>IF(OR(C40="",D40=""),"",IFERROR(INDEX('Qida bazası'!$D$2:$D$103,MATCH(C40,'Qida bazası'!$A$2:$A$103,0))*D40/100,"?"))</f>
        <v/>
      </c>
      <c r="F40" s="19">
        <f>IF(OR(C40="",D40=""),"",IFERROR(INDEX('Qida bazası'!$E$2:$E$103,MATCH(C40,'Qida bazası'!$A$2:$A$103,0))*D40/100,"?"))</f>
        <v/>
      </c>
      <c r="G40" s="19">
        <f>IF(OR(C40="",D40=""),"",IFERROR(INDEX('Qida bazası'!$F$2:$F$103,MATCH(C40,'Qida bazası'!$A$2:$A$103,0))*D40/100,"?"))</f>
        <v/>
      </c>
      <c r="H40" s="19">
        <f>IF(OR(C40="",D40=""),"",IFERROR(INDEX('Qida bazası'!$G$2:$G$103,MATCH(C40,'Qida bazası'!$A$2:$A$103,0))*D40/100,"?"))</f>
        <v/>
      </c>
    </row>
    <row r="41">
      <c r="A41" s="20" t="n"/>
      <c r="B41" s="14" t="n"/>
      <c r="C41" s="14" t="n"/>
      <c r="D41" s="14" t="n"/>
      <c r="E41" s="18">
        <f>IF(OR(C41="",D41=""),"",IFERROR(INDEX('Qida bazası'!$D$2:$D$103,MATCH(C41,'Qida bazası'!$A$2:$A$103,0))*D41/100,"?"))</f>
        <v/>
      </c>
      <c r="F41" s="19">
        <f>IF(OR(C41="",D41=""),"",IFERROR(INDEX('Qida bazası'!$E$2:$E$103,MATCH(C41,'Qida bazası'!$A$2:$A$103,0))*D41/100,"?"))</f>
        <v/>
      </c>
      <c r="G41" s="19">
        <f>IF(OR(C41="",D41=""),"",IFERROR(INDEX('Qida bazası'!$F$2:$F$103,MATCH(C41,'Qida bazası'!$A$2:$A$103,0))*D41/100,"?"))</f>
        <v/>
      </c>
      <c r="H41" s="19">
        <f>IF(OR(C41="",D41=""),"",IFERROR(INDEX('Qida bazası'!$G$2:$G$103,MATCH(C41,'Qida bazası'!$A$2:$A$103,0))*D41/100,"?"))</f>
        <v/>
      </c>
    </row>
    <row r="42">
      <c r="A42" s="20" t="n"/>
      <c r="B42" s="14" t="n"/>
      <c r="C42" s="14" t="n"/>
      <c r="D42" s="14" t="n"/>
      <c r="E42" s="18">
        <f>IF(OR(C42="",D42=""),"",IFERROR(INDEX('Qida bazası'!$D$2:$D$103,MATCH(C42,'Qida bazası'!$A$2:$A$103,0))*D42/100,"?"))</f>
        <v/>
      </c>
      <c r="F42" s="19">
        <f>IF(OR(C42="",D42=""),"",IFERROR(INDEX('Qida bazası'!$E$2:$E$103,MATCH(C42,'Qida bazası'!$A$2:$A$103,0))*D42/100,"?"))</f>
        <v/>
      </c>
      <c r="G42" s="19">
        <f>IF(OR(C42="",D42=""),"",IFERROR(INDEX('Qida bazası'!$F$2:$F$103,MATCH(C42,'Qida bazası'!$A$2:$A$103,0))*D42/100,"?"))</f>
        <v/>
      </c>
      <c r="H42" s="19">
        <f>IF(OR(C42="",D42=""),"",IFERROR(INDEX('Qida bazası'!$G$2:$G$103,MATCH(C42,'Qida bazası'!$A$2:$A$103,0))*D42/100,"?"))</f>
        <v/>
      </c>
    </row>
    <row r="43">
      <c r="A43" s="20" t="n"/>
      <c r="B43" s="14" t="n"/>
      <c r="C43" s="14" t="n"/>
      <c r="D43" s="14" t="n"/>
      <c r="E43" s="18">
        <f>IF(OR(C43="",D43=""),"",IFERROR(INDEX('Qida bazası'!$D$2:$D$103,MATCH(C43,'Qida bazası'!$A$2:$A$103,0))*D43/100,"?"))</f>
        <v/>
      </c>
      <c r="F43" s="19">
        <f>IF(OR(C43="",D43=""),"",IFERROR(INDEX('Qida bazası'!$E$2:$E$103,MATCH(C43,'Qida bazası'!$A$2:$A$103,0))*D43/100,"?"))</f>
        <v/>
      </c>
      <c r="G43" s="19">
        <f>IF(OR(C43="",D43=""),"",IFERROR(INDEX('Qida bazası'!$F$2:$F$103,MATCH(C43,'Qida bazası'!$A$2:$A$103,0))*D43/100,"?"))</f>
        <v/>
      </c>
      <c r="H43" s="19">
        <f>IF(OR(C43="",D43=""),"",IFERROR(INDEX('Qida bazası'!$G$2:$G$103,MATCH(C43,'Qida bazası'!$A$2:$A$103,0))*D43/100,"?"))</f>
        <v/>
      </c>
    </row>
    <row r="44">
      <c r="A44" s="20" t="n"/>
      <c r="B44" s="14" t="n"/>
      <c r="C44" s="14" t="n"/>
      <c r="D44" s="14" t="n"/>
      <c r="E44" s="18">
        <f>IF(OR(C44="",D44=""),"",IFERROR(INDEX('Qida bazası'!$D$2:$D$103,MATCH(C44,'Qida bazası'!$A$2:$A$103,0))*D44/100,"?"))</f>
        <v/>
      </c>
      <c r="F44" s="19">
        <f>IF(OR(C44="",D44=""),"",IFERROR(INDEX('Qida bazası'!$E$2:$E$103,MATCH(C44,'Qida bazası'!$A$2:$A$103,0))*D44/100,"?"))</f>
        <v/>
      </c>
      <c r="G44" s="19">
        <f>IF(OR(C44="",D44=""),"",IFERROR(INDEX('Qida bazası'!$F$2:$F$103,MATCH(C44,'Qida bazası'!$A$2:$A$103,0))*D44/100,"?"))</f>
        <v/>
      </c>
      <c r="H44" s="19">
        <f>IF(OR(C44="",D44=""),"",IFERROR(INDEX('Qida bazası'!$G$2:$G$103,MATCH(C44,'Qida bazası'!$A$2:$A$103,0))*D44/100,"?"))</f>
        <v/>
      </c>
    </row>
    <row r="45">
      <c r="A45" s="20" t="n"/>
      <c r="B45" s="14" t="n"/>
      <c r="C45" s="14" t="n"/>
      <c r="D45" s="14" t="n"/>
      <c r="E45" s="18">
        <f>IF(OR(C45="",D45=""),"",IFERROR(INDEX('Qida bazası'!$D$2:$D$103,MATCH(C45,'Qida bazası'!$A$2:$A$103,0))*D45/100,"?"))</f>
        <v/>
      </c>
      <c r="F45" s="19">
        <f>IF(OR(C45="",D45=""),"",IFERROR(INDEX('Qida bazası'!$E$2:$E$103,MATCH(C45,'Qida bazası'!$A$2:$A$103,0))*D45/100,"?"))</f>
        <v/>
      </c>
      <c r="G45" s="19">
        <f>IF(OR(C45="",D45=""),"",IFERROR(INDEX('Qida bazası'!$F$2:$F$103,MATCH(C45,'Qida bazası'!$A$2:$A$103,0))*D45/100,"?"))</f>
        <v/>
      </c>
      <c r="H45" s="19">
        <f>IF(OR(C45="",D45=""),"",IFERROR(INDEX('Qida bazası'!$G$2:$G$103,MATCH(C45,'Qida bazası'!$A$2:$A$103,0))*D45/100,"?"))</f>
        <v/>
      </c>
    </row>
    <row r="46">
      <c r="A46" s="20" t="n"/>
      <c r="B46" s="14" t="n"/>
      <c r="C46" s="14" t="n"/>
      <c r="D46" s="14" t="n"/>
      <c r="E46" s="18">
        <f>IF(OR(C46="",D46=""),"",IFERROR(INDEX('Qida bazası'!$D$2:$D$103,MATCH(C46,'Qida bazası'!$A$2:$A$103,0))*D46/100,"?"))</f>
        <v/>
      </c>
      <c r="F46" s="19">
        <f>IF(OR(C46="",D46=""),"",IFERROR(INDEX('Qida bazası'!$E$2:$E$103,MATCH(C46,'Qida bazası'!$A$2:$A$103,0))*D46/100,"?"))</f>
        <v/>
      </c>
      <c r="G46" s="19">
        <f>IF(OR(C46="",D46=""),"",IFERROR(INDEX('Qida bazası'!$F$2:$F$103,MATCH(C46,'Qida bazası'!$A$2:$A$103,0))*D46/100,"?"))</f>
        <v/>
      </c>
      <c r="H46" s="19">
        <f>IF(OR(C46="",D46=""),"",IFERROR(INDEX('Qida bazası'!$G$2:$G$103,MATCH(C46,'Qida bazası'!$A$2:$A$103,0))*D46/100,"?"))</f>
        <v/>
      </c>
    </row>
    <row r="47">
      <c r="A47" s="20" t="n"/>
      <c r="B47" s="14" t="n"/>
      <c r="C47" s="14" t="n"/>
      <c r="D47" s="14" t="n"/>
      <c r="E47" s="18">
        <f>IF(OR(C47="",D47=""),"",IFERROR(INDEX('Qida bazası'!$D$2:$D$103,MATCH(C47,'Qida bazası'!$A$2:$A$103,0))*D47/100,"?"))</f>
        <v/>
      </c>
      <c r="F47" s="19">
        <f>IF(OR(C47="",D47=""),"",IFERROR(INDEX('Qida bazası'!$E$2:$E$103,MATCH(C47,'Qida bazası'!$A$2:$A$103,0))*D47/100,"?"))</f>
        <v/>
      </c>
      <c r="G47" s="19">
        <f>IF(OR(C47="",D47=""),"",IFERROR(INDEX('Qida bazası'!$F$2:$F$103,MATCH(C47,'Qida bazası'!$A$2:$A$103,0))*D47/100,"?"))</f>
        <v/>
      </c>
      <c r="H47" s="19">
        <f>IF(OR(C47="",D47=""),"",IFERROR(INDEX('Qida bazası'!$G$2:$G$103,MATCH(C47,'Qida bazası'!$A$2:$A$103,0))*D47/100,"?"))</f>
        <v/>
      </c>
    </row>
    <row r="48">
      <c r="A48" s="20" t="n"/>
      <c r="B48" s="14" t="n"/>
      <c r="C48" s="14" t="n"/>
      <c r="D48" s="14" t="n"/>
      <c r="E48" s="18">
        <f>IF(OR(C48="",D48=""),"",IFERROR(INDEX('Qida bazası'!$D$2:$D$103,MATCH(C48,'Qida bazası'!$A$2:$A$103,0))*D48/100,"?"))</f>
        <v/>
      </c>
      <c r="F48" s="19">
        <f>IF(OR(C48="",D48=""),"",IFERROR(INDEX('Qida bazası'!$E$2:$E$103,MATCH(C48,'Qida bazası'!$A$2:$A$103,0))*D48/100,"?"))</f>
        <v/>
      </c>
      <c r="G48" s="19">
        <f>IF(OR(C48="",D48=""),"",IFERROR(INDEX('Qida bazası'!$F$2:$F$103,MATCH(C48,'Qida bazası'!$A$2:$A$103,0))*D48/100,"?"))</f>
        <v/>
      </c>
      <c r="H48" s="19">
        <f>IF(OR(C48="",D48=""),"",IFERROR(INDEX('Qida bazası'!$G$2:$G$103,MATCH(C48,'Qida bazası'!$A$2:$A$103,0))*D48/100,"?"))</f>
        <v/>
      </c>
    </row>
    <row r="49">
      <c r="A49" s="20" t="n"/>
      <c r="B49" s="14" t="n"/>
      <c r="C49" s="14" t="n"/>
      <c r="D49" s="14" t="n"/>
      <c r="E49" s="18">
        <f>IF(OR(C49="",D49=""),"",IFERROR(INDEX('Qida bazası'!$D$2:$D$103,MATCH(C49,'Qida bazası'!$A$2:$A$103,0))*D49/100,"?"))</f>
        <v/>
      </c>
      <c r="F49" s="19">
        <f>IF(OR(C49="",D49=""),"",IFERROR(INDEX('Qida bazası'!$E$2:$E$103,MATCH(C49,'Qida bazası'!$A$2:$A$103,0))*D49/100,"?"))</f>
        <v/>
      </c>
      <c r="G49" s="19">
        <f>IF(OR(C49="",D49=""),"",IFERROR(INDEX('Qida bazası'!$F$2:$F$103,MATCH(C49,'Qida bazası'!$A$2:$A$103,0))*D49/100,"?"))</f>
        <v/>
      </c>
      <c r="H49" s="19">
        <f>IF(OR(C49="",D49=""),"",IFERROR(INDEX('Qida bazası'!$G$2:$G$103,MATCH(C49,'Qida bazası'!$A$2:$A$103,0))*D49/100,"?"))</f>
        <v/>
      </c>
    </row>
    <row r="50">
      <c r="A50" s="20" t="n"/>
      <c r="B50" s="14" t="n"/>
      <c r="C50" s="14" t="n"/>
      <c r="D50" s="14" t="n"/>
      <c r="E50" s="18">
        <f>IF(OR(C50="",D50=""),"",IFERROR(INDEX('Qida bazası'!$D$2:$D$103,MATCH(C50,'Qida bazası'!$A$2:$A$103,0))*D50/100,"?"))</f>
        <v/>
      </c>
      <c r="F50" s="19">
        <f>IF(OR(C50="",D50=""),"",IFERROR(INDEX('Qida bazası'!$E$2:$E$103,MATCH(C50,'Qida bazası'!$A$2:$A$103,0))*D50/100,"?"))</f>
        <v/>
      </c>
      <c r="G50" s="19">
        <f>IF(OR(C50="",D50=""),"",IFERROR(INDEX('Qida bazası'!$F$2:$F$103,MATCH(C50,'Qida bazası'!$A$2:$A$103,0))*D50/100,"?"))</f>
        <v/>
      </c>
      <c r="H50" s="19">
        <f>IF(OR(C50="",D50=""),"",IFERROR(INDEX('Qida bazası'!$G$2:$G$103,MATCH(C50,'Qida bazası'!$A$2:$A$103,0))*D50/100,"?"))</f>
        <v/>
      </c>
    </row>
    <row r="51">
      <c r="A51" s="20" t="n"/>
      <c r="B51" s="14" t="n"/>
      <c r="C51" s="14" t="n"/>
      <c r="D51" s="14" t="n"/>
      <c r="E51" s="18">
        <f>IF(OR(C51="",D51=""),"",IFERROR(INDEX('Qida bazası'!$D$2:$D$103,MATCH(C51,'Qida bazası'!$A$2:$A$103,0))*D51/100,"?"))</f>
        <v/>
      </c>
      <c r="F51" s="19">
        <f>IF(OR(C51="",D51=""),"",IFERROR(INDEX('Qida bazası'!$E$2:$E$103,MATCH(C51,'Qida bazası'!$A$2:$A$103,0))*D51/100,"?"))</f>
        <v/>
      </c>
      <c r="G51" s="19">
        <f>IF(OR(C51="",D51=""),"",IFERROR(INDEX('Qida bazası'!$F$2:$F$103,MATCH(C51,'Qida bazası'!$A$2:$A$103,0))*D51/100,"?"))</f>
        <v/>
      </c>
      <c r="H51" s="19">
        <f>IF(OR(C51="",D51=""),"",IFERROR(INDEX('Qida bazası'!$G$2:$G$103,MATCH(C51,'Qida bazası'!$A$2:$A$103,0))*D51/100,"?"))</f>
        <v/>
      </c>
    </row>
    <row r="52">
      <c r="A52" s="20" t="n"/>
      <c r="B52" s="14" t="n"/>
      <c r="C52" s="14" t="n"/>
      <c r="D52" s="14" t="n"/>
      <c r="E52" s="18">
        <f>IF(OR(C52="",D52=""),"",IFERROR(INDEX('Qida bazası'!$D$2:$D$103,MATCH(C52,'Qida bazası'!$A$2:$A$103,0))*D52/100,"?"))</f>
        <v/>
      </c>
      <c r="F52" s="19">
        <f>IF(OR(C52="",D52=""),"",IFERROR(INDEX('Qida bazası'!$E$2:$E$103,MATCH(C52,'Qida bazası'!$A$2:$A$103,0))*D52/100,"?"))</f>
        <v/>
      </c>
      <c r="G52" s="19">
        <f>IF(OR(C52="",D52=""),"",IFERROR(INDEX('Qida bazası'!$F$2:$F$103,MATCH(C52,'Qida bazası'!$A$2:$A$103,0))*D52/100,"?"))</f>
        <v/>
      </c>
      <c r="H52" s="19">
        <f>IF(OR(C52="",D52=""),"",IFERROR(INDEX('Qida bazası'!$G$2:$G$103,MATCH(C52,'Qida bazası'!$A$2:$A$103,0))*D52/100,"?"))</f>
        <v/>
      </c>
    </row>
    <row r="53">
      <c r="A53" s="20" t="n"/>
      <c r="B53" s="14" t="n"/>
      <c r="C53" s="14" t="n"/>
      <c r="D53" s="14" t="n"/>
      <c r="E53" s="18">
        <f>IF(OR(C53="",D53=""),"",IFERROR(INDEX('Qida bazası'!$D$2:$D$103,MATCH(C53,'Qida bazası'!$A$2:$A$103,0))*D53/100,"?"))</f>
        <v/>
      </c>
      <c r="F53" s="19">
        <f>IF(OR(C53="",D53=""),"",IFERROR(INDEX('Qida bazası'!$E$2:$E$103,MATCH(C53,'Qida bazası'!$A$2:$A$103,0))*D53/100,"?"))</f>
        <v/>
      </c>
      <c r="G53" s="19">
        <f>IF(OR(C53="",D53=""),"",IFERROR(INDEX('Qida bazası'!$F$2:$F$103,MATCH(C53,'Qida bazası'!$A$2:$A$103,0))*D53/100,"?"))</f>
        <v/>
      </c>
      <c r="H53" s="19">
        <f>IF(OR(C53="",D53=""),"",IFERROR(INDEX('Qida bazası'!$G$2:$G$103,MATCH(C53,'Qida bazası'!$A$2:$A$103,0))*D53/100,"?"))</f>
        <v/>
      </c>
    </row>
    <row r="54">
      <c r="A54" s="20" t="n"/>
      <c r="B54" s="14" t="n"/>
      <c r="C54" s="14" t="n"/>
      <c r="D54" s="14" t="n"/>
      <c r="E54" s="18">
        <f>IF(OR(C54="",D54=""),"",IFERROR(INDEX('Qida bazası'!$D$2:$D$103,MATCH(C54,'Qida bazası'!$A$2:$A$103,0))*D54/100,"?"))</f>
        <v/>
      </c>
      <c r="F54" s="19">
        <f>IF(OR(C54="",D54=""),"",IFERROR(INDEX('Qida bazası'!$E$2:$E$103,MATCH(C54,'Qida bazası'!$A$2:$A$103,0))*D54/100,"?"))</f>
        <v/>
      </c>
      <c r="G54" s="19">
        <f>IF(OR(C54="",D54=""),"",IFERROR(INDEX('Qida bazası'!$F$2:$F$103,MATCH(C54,'Qida bazası'!$A$2:$A$103,0))*D54/100,"?"))</f>
        <v/>
      </c>
      <c r="H54" s="19">
        <f>IF(OR(C54="",D54=""),"",IFERROR(INDEX('Qida bazası'!$G$2:$G$103,MATCH(C54,'Qida bazası'!$A$2:$A$103,0))*D54/100,"?"))</f>
        <v/>
      </c>
    </row>
    <row r="55">
      <c r="A55" s="20" t="n"/>
      <c r="B55" s="14" t="n"/>
      <c r="C55" s="14" t="n"/>
      <c r="D55" s="14" t="n"/>
      <c r="E55" s="18">
        <f>IF(OR(C55="",D55=""),"",IFERROR(INDEX('Qida bazası'!$D$2:$D$103,MATCH(C55,'Qida bazası'!$A$2:$A$103,0))*D55/100,"?"))</f>
        <v/>
      </c>
      <c r="F55" s="19">
        <f>IF(OR(C55="",D55=""),"",IFERROR(INDEX('Qida bazası'!$E$2:$E$103,MATCH(C55,'Qida bazası'!$A$2:$A$103,0))*D55/100,"?"))</f>
        <v/>
      </c>
      <c r="G55" s="19">
        <f>IF(OR(C55="",D55=""),"",IFERROR(INDEX('Qida bazası'!$F$2:$F$103,MATCH(C55,'Qida bazası'!$A$2:$A$103,0))*D55/100,"?"))</f>
        <v/>
      </c>
      <c r="H55" s="19">
        <f>IF(OR(C55="",D55=""),"",IFERROR(INDEX('Qida bazası'!$G$2:$G$103,MATCH(C55,'Qida bazası'!$A$2:$A$103,0))*D55/100,"?"))</f>
        <v/>
      </c>
    </row>
    <row r="56">
      <c r="A56" s="20" t="n"/>
      <c r="B56" s="14" t="n"/>
      <c r="C56" s="14" t="n"/>
      <c r="D56" s="14" t="n"/>
      <c r="E56" s="18">
        <f>IF(OR(C56="",D56=""),"",IFERROR(INDEX('Qida bazası'!$D$2:$D$103,MATCH(C56,'Qida bazası'!$A$2:$A$103,0))*D56/100,"?"))</f>
        <v/>
      </c>
      <c r="F56" s="19">
        <f>IF(OR(C56="",D56=""),"",IFERROR(INDEX('Qida bazası'!$E$2:$E$103,MATCH(C56,'Qida bazası'!$A$2:$A$103,0))*D56/100,"?"))</f>
        <v/>
      </c>
      <c r="G56" s="19">
        <f>IF(OR(C56="",D56=""),"",IFERROR(INDEX('Qida bazası'!$F$2:$F$103,MATCH(C56,'Qida bazası'!$A$2:$A$103,0))*D56/100,"?"))</f>
        <v/>
      </c>
      <c r="H56" s="19">
        <f>IF(OR(C56="",D56=""),"",IFERROR(INDEX('Qida bazası'!$G$2:$G$103,MATCH(C56,'Qida bazası'!$A$2:$A$103,0))*D56/100,"?"))</f>
        <v/>
      </c>
    </row>
    <row r="57">
      <c r="A57" s="20" t="n"/>
      <c r="B57" s="14" t="n"/>
      <c r="C57" s="14" t="n"/>
      <c r="D57" s="14" t="n"/>
      <c r="E57" s="18">
        <f>IF(OR(C57="",D57=""),"",IFERROR(INDEX('Qida bazası'!$D$2:$D$103,MATCH(C57,'Qida bazası'!$A$2:$A$103,0))*D57/100,"?"))</f>
        <v/>
      </c>
      <c r="F57" s="19">
        <f>IF(OR(C57="",D57=""),"",IFERROR(INDEX('Qida bazası'!$E$2:$E$103,MATCH(C57,'Qida bazası'!$A$2:$A$103,0))*D57/100,"?"))</f>
        <v/>
      </c>
      <c r="G57" s="19">
        <f>IF(OR(C57="",D57=""),"",IFERROR(INDEX('Qida bazası'!$F$2:$F$103,MATCH(C57,'Qida bazası'!$A$2:$A$103,0))*D57/100,"?"))</f>
        <v/>
      </c>
      <c r="H57" s="19">
        <f>IF(OR(C57="",D57=""),"",IFERROR(INDEX('Qida bazası'!$G$2:$G$103,MATCH(C57,'Qida bazası'!$A$2:$A$103,0))*D57/100,"?"))</f>
        <v/>
      </c>
    </row>
    <row r="58">
      <c r="A58" s="20" t="n"/>
      <c r="B58" s="14" t="n"/>
      <c r="C58" s="14" t="n"/>
      <c r="D58" s="14" t="n"/>
      <c r="E58" s="18">
        <f>IF(OR(C58="",D58=""),"",IFERROR(INDEX('Qida bazası'!$D$2:$D$103,MATCH(C58,'Qida bazası'!$A$2:$A$103,0))*D58/100,"?"))</f>
        <v/>
      </c>
      <c r="F58" s="19">
        <f>IF(OR(C58="",D58=""),"",IFERROR(INDEX('Qida bazası'!$E$2:$E$103,MATCH(C58,'Qida bazası'!$A$2:$A$103,0))*D58/100,"?"))</f>
        <v/>
      </c>
      <c r="G58" s="19">
        <f>IF(OR(C58="",D58=""),"",IFERROR(INDEX('Qida bazası'!$F$2:$F$103,MATCH(C58,'Qida bazası'!$A$2:$A$103,0))*D58/100,"?"))</f>
        <v/>
      </c>
      <c r="H58" s="19">
        <f>IF(OR(C58="",D58=""),"",IFERROR(INDEX('Qida bazası'!$G$2:$G$103,MATCH(C58,'Qida bazası'!$A$2:$A$103,0))*D58/100,"?"))</f>
        <v/>
      </c>
    </row>
    <row r="59">
      <c r="A59" s="20" t="n"/>
      <c r="B59" s="14" t="n"/>
      <c r="C59" s="14" t="n"/>
      <c r="D59" s="14" t="n"/>
      <c r="E59" s="18">
        <f>IF(OR(C59="",D59=""),"",IFERROR(INDEX('Qida bazası'!$D$2:$D$103,MATCH(C59,'Qida bazası'!$A$2:$A$103,0))*D59/100,"?"))</f>
        <v/>
      </c>
      <c r="F59" s="19">
        <f>IF(OR(C59="",D59=""),"",IFERROR(INDEX('Qida bazası'!$E$2:$E$103,MATCH(C59,'Qida bazası'!$A$2:$A$103,0))*D59/100,"?"))</f>
        <v/>
      </c>
      <c r="G59" s="19">
        <f>IF(OR(C59="",D59=""),"",IFERROR(INDEX('Qida bazası'!$F$2:$F$103,MATCH(C59,'Qida bazası'!$A$2:$A$103,0))*D59/100,"?"))</f>
        <v/>
      </c>
      <c r="H59" s="19">
        <f>IF(OR(C59="",D59=""),"",IFERROR(INDEX('Qida bazası'!$G$2:$G$103,MATCH(C59,'Qida bazası'!$A$2:$A$103,0))*D59/100,"?"))</f>
        <v/>
      </c>
    </row>
    <row r="60">
      <c r="A60" s="21" t="n"/>
      <c r="E60" s="18">
        <f>IF(OR(C60="",D60=""),"",IFERROR(INDEX('Qida bazası'!$D$2:$D$103,MATCH(C60,'Qida bazası'!$A$2:$A$103,0))*D60/100,"?"))</f>
        <v/>
      </c>
      <c r="F60" s="19">
        <f>IF(OR(C60="",D60=""),"",IFERROR(INDEX('Qida bazası'!$E$2:$E$103,MATCH(C60,'Qida bazası'!$A$2:$A$103,0))*D60/100,"?"))</f>
        <v/>
      </c>
      <c r="G60" s="19">
        <f>IF(OR(C60="",D60=""),"",IFERROR(INDEX('Qida bazası'!$F$2:$F$103,MATCH(C60,'Qida bazası'!$A$2:$A$103,0))*D60/100,"?"))</f>
        <v/>
      </c>
      <c r="H60" s="19">
        <f>IF(OR(C60="",D60=""),"",IFERROR(INDEX('Qida bazası'!$G$2:$G$103,MATCH(C60,'Qida bazası'!$A$2:$A$103,0))*D60/100,"?"))</f>
        <v/>
      </c>
    </row>
    <row r="61">
      <c r="A61" s="21" t="n"/>
      <c r="E61" s="18">
        <f>IF(OR(C61="",D61=""),"",IFERROR(INDEX('Qida bazası'!$D$2:$D$103,MATCH(C61,'Qida bazası'!$A$2:$A$103,0))*D61/100,"?"))</f>
        <v/>
      </c>
      <c r="F61" s="19">
        <f>IF(OR(C61="",D61=""),"",IFERROR(INDEX('Qida bazası'!$E$2:$E$103,MATCH(C61,'Qida bazası'!$A$2:$A$103,0))*D61/100,"?"))</f>
        <v/>
      </c>
      <c r="G61" s="19">
        <f>IF(OR(C61="",D61=""),"",IFERROR(INDEX('Qida bazası'!$F$2:$F$103,MATCH(C61,'Qida bazası'!$A$2:$A$103,0))*D61/100,"?"))</f>
        <v/>
      </c>
      <c r="H61" s="19">
        <f>IF(OR(C61="",D61=""),"",IFERROR(INDEX('Qida bazası'!$G$2:$G$103,MATCH(C61,'Qida bazası'!$A$2:$A$103,0))*D61/100,"?"))</f>
        <v/>
      </c>
    </row>
    <row r="62">
      <c r="A62" s="21" t="n"/>
      <c r="E62" s="18">
        <f>IF(OR(C62="",D62=""),"",IFERROR(INDEX('Qida bazası'!$D$2:$D$103,MATCH(C62,'Qida bazası'!$A$2:$A$103,0))*D62/100,"?"))</f>
        <v/>
      </c>
      <c r="F62" s="19">
        <f>IF(OR(C62="",D62=""),"",IFERROR(INDEX('Qida bazası'!$E$2:$E$103,MATCH(C62,'Qida bazası'!$A$2:$A$103,0))*D62/100,"?"))</f>
        <v/>
      </c>
      <c r="G62" s="19">
        <f>IF(OR(C62="",D62=""),"",IFERROR(INDEX('Qida bazası'!$F$2:$F$103,MATCH(C62,'Qida bazası'!$A$2:$A$103,0))*D62/100,"?"))</f>
        <v/>
      </c>
      <c r="H62" s="19">
        <f>IF(OR(C62="",D62=""),"",IFERROR(INDEX('Qida bazası'!$G$2:$G$103,MATCH(C62,'Qida bazası'!$A$2:$A$103,0))*D62/100,"?"))</f>
        <v/>
      </c>
    </row>
    <row r="63">
      <c r="A63" s="21" t="n"/>
      <c r="E63" s="18">
        <f>IF(OR(C63="",D63=""),"",IFERROR(INDEX('Qida bazası'!$D$2:$D$103,MATCH(C63,'Qida bazası'!$A$2:$A$103,0))*D63/100,"?"))</f>
        <v/>
      </c>
      <c r="F63" s="19">
        <f>IF(OR(C63="",D63=""),"",IFERROR(INDEX('Qida bazası'!$E$2:$E$103,MATCH(C63,'Qida bazası'!$A$2:$A$103,0))*D63/100,"?"))</f>
        <v/>
      </c>
      <c r="G63" s="19">
        <f>IF(OR(C63="",D63=""),"",IFERROR(INDEX('Qida bazası'!$F$2:$F$103,MATCH(C63,'Qida bazası'!$A$2:$A$103,0))*D63/100,"?"))</f>
        <v/>
      </c>
      <c r="H63" s="19">
        <f>IF(OR(C63="",D63=""),"",IFERROR(INDEX('Qida bazası'!$G$2:$G$103,MATCH(C63,'Qida bazası'!$A$2:$A$103,0))*D63/100,"?"))</f>
        <v/>
      </c>
    </row>
    <row r="64">
      <c r="A64" s="21" t="n"/>
      <c r="E64" s="18">
        <f>IF(OR(C64="",D64=""),"",IFERROR(INDEX('Qida bazası'!$D$2:$D$103,MATCH(C64,'Qida bazası'!$A$2:$A$103,0))*D64/100,"?"))</f>
        <v/>
      </c>
      <c r="F64" s="19">
        <f>IF(OR(C64="",D64=""),"",IFERROR(INDEX('Qida bazası'!$E$2:$E$103,MATCH(C64,'Qida bazası'!$A$2:$A$103,0))*D64/100,"?"))</f>
        <v/>
      </c>
      <c r="G64" s="19">
        <f>IF(OR(C64="",D64=""),"",IFERROR(INDEX('Qida bazası'!$F$2:$F$103,MATCH(C64,'Qida bazası'!$A$2:$A$103,0))*D64/100,"?"))</f>
        <v/>
      </c>
      <c r="H64" s="19">
        <f>IF(OR(C64="",D64=""),"",IFERROR(INDEX('Qida bazası'!$G$2:$G$103,MATCH(C64,'Qida bazası'!$A$2:$A$103,0))*D64/100,"?"))</f>
        <v/>
      </c>
    </row>
    <row r="65">
      <c r="A65" s="21" t="n"/>
      <c r="E65" s="18">
        <f>IF(OR(C65="",D65=""),"",IFERROR(INDEX('Qida bazası'!$D$2:$D$103,MATCH(C65,'Qida bazası'!$A$2:$A$103,0))*D65/100,"?"))</f>
        <v/>
      </c>
      <c r="F65" s="19">
        <f>IF(OR(C65="",D65=""),"",IFERROR(INDEX('Qida bazası'!$E$2:$E$103,MATCH(C65,'Qida bazası'!$A$2:$A$103,0))*D65/100,"?"))</f>
        <v/>
      </c>
      <c r="G65" s="19">
        <f>IF(OR(C65="",D65=""),"",IFERROR(INDEX('Qida bazası'!$F$2:$F$103,MATCH(C65,'Qida bazası'!$A$2:$A$103,0))*D65/100,"?"))</f>
        <v/>
      </c>
      <c r="H65" s="19">
        <f>IF(OR(C65="",D65=""),"",IFERROR(INDEX('Qida bazası'!$G$2:$G$103,MATCH(C65,'Qida bazası'!$A$2:$A$103,0))*D65/100,"?"))</f>
        <v/>
      </c>
    </row>
    <row r="66">
      <c r="A66" s="21" t="n"/>
      <c r="E66" s="18">
        <f>IF(OR(C66="",D66=""),"",IFERROR(INDEX('Qida bazası'!$D$2:$D$103,MATCH(C66,'Qida bazası'!$A$2:$A$103,0))*D66/100,"?"))</f>
        <v/>
      </c>
      <c r="F66" s="19">
        <f>IF(OR(C66="",D66=""),"",IFERROR(INDEX('Qida bazası'!$E$2:$E$103,MATCH(C66,'Qida bazası'!$A$2:$A$103,0))*D66/100,"?"))</f>
        <v/>
      </c>
      <c r="G66" s="19">
        <f>IF(OR(C66="",D66=""),"",IFERROR(INDEX('Qida bazası'!$F$2:$F$103,MATCH(C66,'Qida bazası'!$A$2:$A$103,0))*D66/100,"?"))</f>
        <v/>
      </c>
      <c r="H66" s="19">
        <f>IF(OR(C66="",D66=""),"",IFERROR(INDEX('Qida bazası'!$G$2:$G$103,MATCH(C66,'Qida bazası'!$A$2:$A$103,0))*D66/100,"?"))</f>
        <v/>
      </c>
    </row>
    <row r="67">
      <c r="A67" s="21" t="n"/>
      <c r="E67" s="18">
        <f>IF(OR(C67="",D67=""),"",IFERROR(INDEX('Qida bazası'!$D$2:$D$103,MATCH(C67,'Qida bazası'!$A$2:$A$103,0))*D67/100,"?"))</f>
        <v/>
      </c>
      <c r="F67" s="19">
        <f>IF(OR(C67="",D67=""),"",IFERROR(INDEX('Qida bazası'!$E$2:$E$103,MATCH(C67,'Qida bazası'!$A$2:$A$103,0))*D67/100,"?"))</f>
        <v/>
      </c>
      <c r="G67" s="19">
        <f>IF(OR(C67="",D67=""),"",IFERROR(INDEX('Qida bazası'!$F$2:$F$103,MATCH(C67,'Qida bazası'!$A$2:$A$103,0))*D67/100,"?"))</f>
        <v/>
      </c>
      <c r="H67" s="19">
        <f>IF(OR(C67="",D67=""),"",IFERROR(INDEX('Qida bazası'!$G$2:$G$103,MATCH(C67,'Qida bazası'!$A$2:$A$103,0))*D67/100,"?"))</f>
        <v/>
      </c>
    </row>
    <row r="68">
      <c r="A68" s="21" t="n"/>
      <c r="E68" s="18">
        <f>IF(OR(C68="",D68=""),"",IFERROR(INDEX('Qida bazası'!$D$2:$D$103,MATCH(C68,'Qida bazası'!$A$2:$A$103,0))*D68/100,"?"))</f>
        <v/>
      </c>
      <c r="F68" s="19">
        <f>IF(OR(C68="",D68=""),"",IFERROR(INDEX('Qida bazası'!$E$2:$E$103,MATCH(C68,'Qida bazası'!$A$2:$A$103,0))*D68/100,"?"))</f>
        <v/>
      </c>
      <c r="G68" s="19">
        <f>IF(OR(C68="",D68=""),"",IFERROR(INDEX('Qida bazası'!$F$2:$F$103,MATCH(C68,'Qida bazası'!$A$2:$A$103,0))*D68/100,"?"))</f>
        <v/>
      </c>
      <c r="H68" s="19">
        <f>IF(OR(C68="",D68=""),"",IFERROR(INDEX('Qida bazası'!$G$2:$G$103,MATCH(C68,'Qida bazası'!$A$2:$A$103,0))*D68/100,"?"))</f>
        <v/>
      </c>
    </row>
    <row r="69">
      <c r="A69" s="21" t="n"/>
      <c r="E69" s="18">
        <f>IF(OR(C69="",D69=""),"",IFERROR(INDEX('Qida bazası'!$D$2:$D$103,MATCH(C69,'Qida bazası'!$A$2:$A$103,0))*D69/100,"?"))</f>
        <v/>
      </c>
      <c r="F69" s="19">
        <f>IF(OR(C69="",D69=""),"",IFERROR(INDEX('Qida bazası'!$E$2:$E$103,MATCH(C69,'Qida bazası'!$A$2:$A$103,0))*D69/100,"?"))</f>
        <v/>
      </c>
      <c r="G69" s="19">
        <f>IF(OR(C69="",D69=""),"",IFERROR(INDEX('Qida bazası'!$F$2:$F$103,MATCH(C69,'Qida bazası'!$A$2:$A$103,0))*D69/100,"?"))</f>
        <v/>
      </c>
      <c r="H69" s="19">
        <f>IF(OR(C69="",D69=""),"",IFERROR(INDEX('Qida bazası'!$G$2:$G$103,MATCH(C69,'Qida bazası'!$A$2:$A$103,0))*D69/100,"?"))</f>
        <v/>
      </c>
    </row>
    <row r="70">
      <c r="A70" s="21" t="n"/>
      <c r="E70" s="18">
        <f>IF(OR(C70="",D70=""),"",IFERROR(INDEX('Qida bazası'!$D$2:$D$103,MATCH(C70,'Qida bazası'!$A$2:$A$103,0))*D70/100,"?"))</f>
        <v/>
      </c>
      <c r="F70" s="19">
        <f>IF(OR(C70="",D70=""),"",IFERROR(INDEX('Qida bazası'!$E$2:$E$103,MATCH(C70,'Qida bazası'!$A$2:$A$103,0))*D70/100,"?"))</f>
        <v/>
      </c>
      <c r="G70" s="19">
        <f>IF(OR(C70="",D70=""),"",IFERROR(INDEX('Qida bazası'!$F$2:$F$103,MATCH(C70,'Qida bazası'!$A$2:$A$103,0))*D70/100,"?"))</f>
        <v/>
      </c>
      <c r="H70" s="19">
        <f>IF(OR(C70="",D70=""),"",IFERROR(INDEX('Qida bazası'!$G$2:$G$103,MATCH(C70,'Qida bazası'!$A$2:$A$103,0))*D70/100,"?"))</f>
        <v/>
      </c>
    </row>
    <row r="71">
      <c r="A71" s="21" t="n"/>
      <c r="E71" s="18">
        <f>IF(OR(C71="",D71=""),"",IFERROR(INDEX('Qida bazası'!$D$2:$D$103,MATCH(C71,'Qida bazası'!$A$2:$A$103,0))*D71/100,"?"))</f>
        <v/>
      </c>
      <c r="F71" s="19">
        <f>IF(OR(C71="",D71=""),"",IFERROR(INDEX('Qida bazası'!$E$2:$E$103,MATCH(C71,'Qida bazası'!$A$2:$A$103,0))*D71/100,"?"))</f>
        <v/>
      </c>
      <c r="G71" s="19">
        <f>IF(OR(C71="",D71=""),"",IFERROR(INDEX('Qida bazası'!$F$2:$F$103,MATCH(C71,'Qida bazası'!$A$2:$A$103,0))*D71/100,"?"))</f>
        <v/>
      </c>
      <c r="H71" s="19">
        <f>IF(OR(C71="",D71=""),"",IFERROR(INDEX('Qida bazası'!$G$2:$G$103,MATCH(C71,'Qida bazası'!$A$2:$A$103,0))*D71/100,"?"))</f>
        <v/>
      </c>
    </row>
    <row r="72">
      <c r="A72" s="21" t="n"/>
      <c r="E72" s="18">
        <f>IF(OR(C72="",D72=""),"",IFERROR(INDEX('Qida bazası'!$D$2:$D$103,MATCH(C72,'Qida bazası'!$A$2:$A$103,0))*D72/100,"?"))</f>
        <v/>
      </c>
      <c r="F72" s="19">
        <f>IF(OR(C72="",D72=""),"",IFERROR(INDEX('Qida bazası'!$E$2:$E$103,MATCH(C72,'Qida bazası'!$A$2:$A$103,0))*D72/100,"?"))</f>
        <v/>
      </c>
      <c r="G72" s="19">
        <f>IF(OR(C72="",D72=""),"",IFERROR(INDEX('Qida bazası'!$F$2:$F$103,MATCH(C72,'Qida bazası'!$A$2:$A$103,0))*D72/100,"?"))</f>
        <v/>
      </c>
      <c r="H72" s="19">
        <f>IF(OR(C72="",D72=""),"",IFERROR(INDEX('Qida bazası'!$G$2:$G$103,MATCH(C72,'Qida bazası'!$A$2:$A$103,0))*D72/100,"?"))</f>
        <v/>
      </c>
    </row>
    <row r="73">
      <c r="A73" s="21" t="n"/>
      <c r="E73" s="18">
        <f>IF(OR(C73="",D73=""),"",IFERROR(INDEX('Qida bazası'!$D$2:$D$103,MATCH(C73,'Qida bazası'!$A$2:$A$103,0))*D73/100,"?"))</f>
        <v/>
      </c>
      <c r="F73" s="19">
        <f>IF(OR(C73="",D73=""),"",IFERROR(INDEX('Qida bazası'!$E$2:$E$103,MATCH(C73,'Qida bazası'!$A$2:$A$103,0))*D73/100,"?"))</f>
        <v/>
      </c>
      <c r="G73" s="19">
        <f>IF(OR(C73="",D73=""),"",IFERROR(INDEX('Qida bazası'!$F$2:$F$103,MATCH(C73,'Qida bazası'!$A$2:$A$103,0))*D73/100,"?"))</f>
        <v/>
      </c>
      <c r="H73" s="19">
        <f>IF(OR(C73="",D73=""),"",IFERROR(INDEX('Qida bazası'!$G$2:$G$103,MATCH(C73,'Qida bazası'!$A$2:$A$103,0))*D73/100,"?"))</f>
        <v/>
      </c>
    </row>
    <row r="74">
      <c r="A74" s="21" t="n"/>
      <c r="E74" s="18">
        <f>IF(OR(C74="",D74=""),"",IFERROR(INDEX('Qida bazası'!$D$2:$D$103,MATCH(C74,'Qida bazası'!$A$2:$A$103,0))*D74/100,"?"))</f>
        <v/>
      </c>
      <c r="F74" s="19">
        <f>IF(OR(C74="",D74=""),"",IFERROR(INDEX('Qida bazası'!$E$2:$E$103,MATCH(C74,'Qida bazası'!$A$2:$A$103,0))*D74/100,"?"))</f>
        <v/>
      </c>
      <c r="G74" s="19">
        <f>IF(OR(C74="",D74=""),"",IFERROR(INDEX('Qida bazası'!$F$2:$F$103,MATCH(C74,'Qida bazası'!$A$2:$A$103,0))*D74/100,"?"))</f>
        <v/>
      </c>
      <c r="H74" s="19">
        <f>IF(OR(C74="",D74=""),"",IFERROR(INDEX('Qida bazası'!$G$2:$G$103,MATCH(C74,'Qida bazası'!$A$2:$A$103,0))*D74/100,"?"))</f>
        <v/>
      </c>
    </row>
    <row r="75">
      <c r="A75" s="21" t="n"/>
      <c r="E75" s="18">
        <f>IF(OR(C75="",D75=""),"",IFERROR(INDEX('Qida bazası'!$D$2:$D$103,MATCH(C75,'Qida bazası'!$A$2:$A$103,0))*D75/100,"?"))</f>
        <v/>
      </c>
      <c r="F75" s="19">
        <f>IF(OR(C75="",D75=""),"",IFERROR(INDEX('Qida bazası'!$E$2:$E$103,MATCH(C75,'Qida bazası'!$A$2:$A$103,0))*D75/100,"?"))</f>
        <v/>
      </c>
      <c r="G75" s="19">
        <f>IF(OR(C75="",D75=""),"",IFERROR(INDEX('Qida bazası'!$F$2:$F$103,MATCH(C75,'Qida bazası'!$A$2:$A$103,0))*D75/100,"?"))</f>
        <v/>
      </c>
      <c r="H75" s="19">
        <f>IF(OR(C75="",D75=""),"",IFERROR(INDEX('Qida bazası'!$G$2:$G$103,MATCH(C75,'Qida bazası'!$A$2:$A$103,0))*D75/100,"?"))</f>
        <v/>
      </c>
    </row>
    <row r="76">
      <c r="A76" s="21" t="n"/>
      <c r="E76" s="18">
        <f>IF(OR(C76="",D76=""),"",IFERROR(INDEX('Qida bazası'!$D$2:$D$103,MATCH(C76,'Qida bazası'!$A$2:$A$103,0))*D76/100,"?"))</f>
        <v/>
      </c>
      <c r="F76" s="19">
        <f>IF(OR(C76="",D76=""),"",IFERROR(INDEX('Qida bazası'!$E$2:$E$103,MATCH(C76,'Qida bazası'!$A$2:$A$103,0))*D76/100,"?"))</f>
        <v/>
      </c>
      <c r="G76" s="19">
        <f>IF(OR(C76="",D76=""),"",IFERROR(INDEX('Qida bazası'!$F$2:$F$103,MATCH(C76,'Qida bazası'!$A$2:$A$103,0))*D76/100,"?"))</f>
        <v/>
      </c>
      <c r="H76" s="19">
        <f>IF(OR(C76="",D76=""),"",IFERROR(INDEX('Qida bazası'!$G$2:$G$103,MATCH(C76,'Qida bazası'!$A$2:$A$103,0))*D76/100,"?"))</f>
        <v/>
      </c>
    </row>
    <row r="77">
      <c r="A77" s="21" t="n"/>
      <c r="E77" s="18">
        <f>IF(OR(C77="",D77=""),"",IFERROR(INDEX('Qida bazası'!$D$2:$D$103,MATCH(C77,'Qida bazası'!$A$2:$A$103,0))*D77/100,"?"))</f>
        <v/>
      </c>
      <c r="F77" s="19">
        <f>IF(OR(C77="",D77=""),"",IFERROR(INDEX('Qida bazası'!$E$2:$E$103,MATCH(C77,'Qida bazası'!$A$2:$A$103,0))*D77/100,"?"))</f>
        <v/>
      </c>
      <c r="G77" s="19">
        <f>IF(OR(C77="",D77=""),"",IFERROR(INDEX('Qida bazası'!$F$2:$F$103,MATCH(C77,'Qida bazası'!$A$2:$A$103,0))*D77/100,"?"))</f>
        <v/>
      </c>
      <c r="H77" s="19">
        <f>IF(OR(C77="",D77=""),"",IFERROR(INDEX('Qida bazası'!$G$2:$G$103,MATCH(C77,'Qida bazası'!$A$2:$A$103,0))*D77/100,"?"))</f>
        <v/>
      </c>
    </row>
    <row r="78">
      <c r="A78" s="21" t="n"/>
      <c r="E78" s="18">
        <f>IF(OR(C78="",D78=""),"",IFERROR(INDEX('Qida bazası'!$D$2:$D$103,MATCH(C78,'Qida bazası'!$A$2:$A$103,0))*D78/100,"?"))</f>
        <v/>
      </c>
      <c r="F78" s="19">
        <f>IF(OR(C78="",D78=""),"",IFERROR(INDEX('Qida bazası'!$E$2:$E$103,MATCH(C78,'Qida bazası'!$A$2:$A$103,0))*D78/100,"?"))</f>
        <v/>
      </c>
      <c r="G78" s="19">
        <f>IF(OR(C78="",D78=""),"",IFERROR(INDEX('Qida bazası'!$F$2:$F$103,MATCH(C78,'Qida bazası'!$A$2:$A$103,0))*D78/100,"?"))</f>
        <v/>
      </c>
      <c r="H78" s="19">
        <f>IF(OR(C78="",D78=""),"",IFERROR(INDEX('Qida bazası'!$G$2:$G$103,MATCH(C78,'Qida bazası'!$A$2:$A$103,0))*D78/100,"?"))</f>
        <v/>
      </c>
    </row>
    <row r="79">
      <c r="A79" s="21" t="n"/>
      <c r="E79" s="18">
        <f>IF(OR(C79="",D79=""),"",IFERROR(INDEX('Qida bazası'!$D$2:$D$103,MATCH(C79,'Qida bazası'!$A$2:$A$103,0))*D79/100,"?"))</f>
        <v/>
      </c>
      <c r="F79" s="19">
        <f>IF(OR(C79="",D79=""),"",IFERROR(INDEX('Qida bazası'!$E$2:$E$103,MATCH(C79,'Qida bazası'!$A$2:$A$103,0))*D79/100,"?"))</f>
        <v/>
      </c>
      <c r="G79" s="19">
        <f>IF(OR(C79="",D79=""),"",IFERROR(INDEX('Qida bazası'!$F$2:$F$103,MATCH(C79,'Qida bazası'!$A$2:$A$103,0))*D79/100,"?"))</f>
        <v/>
      </c>
      <c r="H79" s="19">
        <f>IF(OR(C79="",D79=""),"",IFERROR(INDEX('Qida bazası'!$G$2:$G$103,MATCH(C79,'Qida bazası'!$A$2:$A$103,0))*D79/100,"?"))</f>
        <v/>
      </c>
    </row>
    <row r="80">
      <c r="A80" s="21" t="n"/>
      <c r="E80" s="18">
        <f>IF(OR(C80="",D80=""),"",IFERROR(INDEX('Qida bazası'!$D$2:$D$103,MATCH(C80,'Qida bazası'!$A$2:$A$103,0))*D80/100,"?"))</f>
        <v/>
      </c>
      <c r="F80" s="19">
        <f>IF(OR(C80="",D80=""),"",IFERROR(INDEX('Qida bazası'!$E$2:$E$103,MATCH(C80,'Qida bazası'!$A$2:$A$103,0))*D80/100,"?"))</f>
        <v/>
      </c>
      <c r="G80" s="19">
        <f>IF(OR(C80="",D80=""),"",IFERROR(INDEX('Qida bazası'!$F$2:$F$103,MATCH(C80,'Qida bazası'!$A$2:$A$103,0))*D80/100,"?"))</f>
        <v/>
      </c>
      <c r="H80" s="19">
        <f>IF(OR(C80="",D80=""),"",IFERROR(INDEX('Qida bazası'!$G$2:$G$103,MATCH(C80,'Qida bazası'!$A$2:$A$103,0))*D80/100,"?"))</f>
        <v/>
      </c>
    </row>
    <row r="81">
      <c r="A81" s="21" t="n"/>
      <c r="E81" s="18">
        <f>IF(OR(C81="",D81=""),"",IFERROR(INDEX('Qida bazası'!$D$2:$D$103,MATCH(C81,'Qida bazası'!$A$2:$A$103,0))*D81/100,"?"))</f>
        <v/>
      </c>
      <c r="F81" s="19">
        <f>IF(OR(C81="",D81=""),"",IFERROR(INDEX('Qida bazası'!$E$2:$E$103,MATCH(C81,'Qida bazası'!$A$2:$A$103,0))*D81/100,"?"))</f>
        <v/>
      </c>
      <c r="G81" s="19">
        <f>IF(OR(C81="",D81=""),"",IFERROR(INDEX('Qida bazası'!$F$2:$F$103,MATCH(C81,'Qida bazası'!$A$2:$A$103,0))*D81/100,"?"))</f>
        <v/>
      </c>
      <c r="H81" s="19">
        <f>IF(OR(C81="",D81=""),"",IFERROR(INDEX('Qida bazası'!$G$2:$G$103,MATCH(C81,'Qida bazası'!$A$2:$A$103,0))*D81/100,"?"))</f>
        <v/>
      </c>
    </row>
    <row r="82">
      <c r="A82" s="21" t="n"/>
      <c r="E82" s="18">
        <f>IF(OR(C82="",D82=""),"",IFERROR(INDEX('Qida bazası'!$D$2:$D$103,MATCH(C82,'Qida bazası'!$A$2:$A$103,0))*D82/100,"?"))</f>
        <v/>
      </c>
      <c r="F82" s="19">
        <f>IF(OR(C82="",D82=""),"",IFERROR(INDEX('Qida bazası'!$E$2:$E$103,MATCH(C82,'Qida bazası'!$A$2:$A$103,0))*D82/100,"?"))</f>
        <v/>
      </c>
      <c r="G82" s="19">
        <f>IF(OR(C82="",D82=""),"",IFERROR(INDEX('Qida bazası'!$F$2:$F$103,MATCH(C82,'Qida bazası'!$A$2:$A$103,0))*D82/100,"?"))</f>
        <v/>
      </c>
      <c r="H82" s="19">
        <f>IF(OR(C82="",D82=""),"",IFERROR(INDEX('Qida bazası'!$G$2:$G$103,MATCH(C82,'Qida bazası'!$A$2:$A$103,0))*D82/100,"?"))</f>
        <v/>
      </c>
    </row>
    <row r="83">
      <c r="A83" s="21" t="n"/>
      <c r="E83" s="18">
        <f>IF(OR(C83="",D83=""),"",IFERROR(INDEX('Qida bazası'!$D$2:$D$103,MATCH(C83,'Qida bazası'!$A$2:$A$103,0))*D83/100,"?"))</f>
        <v/>
      </c>
      <c r="F83" s="19">
        <f>IF(OR(C83="",D83=""),"",IFERROR(INDEX('Qida bazası'!$E$2:$E$103,MATCH(C83,'Qida bazası'!$A$2:$A$103,0))*D83/100,"?"))</f>
        <v/>
      </c>
      <c r="G83" s="19">
        <f>IF(OR(C83="",D83=""),"",IFERROR(INDEX('Qida bazası'!$F$2:$F$103,MATCH(C83,'Qida bazası'!$A$2:$A$103,0))*D83/100,"?"))</f>
        <v/>
      </c>
      <c r="H83" s="19">
        <f>IF(OR(C83="",D83=""),"",IFERROR(INDEX('Qida bazası'!$G$2:$G$103,MATCH(C83,'Qida bazası'!$A$2:$A$103,0))*D83/100,"?"))</f>
        <v/>
      </c>
    </row>
    <row r="84">
      <c r="A84" s="21" t="n"/>
      <c r="E84" s="18">
        <f>IF(OR(C84="",D84=""),"",IFERROR(INDEX('Qida bazası'!$D$2:$D$103,MATCH(C84,'Qida bazası'!$A$2:$A$103,0))*D84/100,"?"))</f>
        <v/>
      </c>
      <c r="F84" s="19">
        <f>IF(OR(C84="",D84=""),"",IFERROR(INDEX('Qida bazası'!$E$2:$E$103,MATCH(C84,'Qida bazası'!$A$2:$A$103,0))*D84/100,"?"))</f>
        <v/>
      </c>
      <c r="G84" s="19">
        <f>IF(OR(C84="",D84=""),"",IFERROR(INDEX('Qida bazası'!$F$2:$F$103,MATCH(C84,'Qida bazası'!$A$2:$A$103,0))*D84/100,"?"))</f>
        <v/>
      </c>
      <c r="H84" s="19">
        <f>IF(OR(C84="",D84=""),"",IFERROR(INDEX('Qida bazası'!$G$2:$G$103,MATCH(C84,'Qida bazası'!$A$2:$A$103,0))*D84/100,"?"))</f>
        <v/>
      </c>
    </row>
    <row r="85">
      <c r="A85" s="21" t="n"/>
      <c r="E85" s="18">
        <f>IF(OR(C85="",D85=""),"",IFERROR(INDEX('Qida bazası'!$D$2:$D$103,MATCH(C85,'Qida bazası'!$A$2:$A$103,0))*D85/100,"?"))</f>
        <v/>
      </c>
      <c r="F85" s="19">
        <f>IF(OR(C85="",D85=""),"",IFERROR(INDEX('Qida bazası'!$E$2:$E$103,MATCH(C85,'Qida bazası'!$A$2:$A$103,0))*D85/100,"?"))</f>
        <v/>
      </c>
      <c r="G85" s="19">
        <f>IF(OR(C85="",D85=""),"",IFERROR(INDEX('Qida bazası'!$F$2:$F$103,MATCH(C85,'Qida bazası'!$A$2:$A$103,0))*D85/100,"?"))</f>
        <v/>
      </c>
      <c r="H85" s="19">
        <f>IF(OR(C85="",D85=""),"",IFERROR(INDEX('Qida bazası'!$G$2:$G$103,MATCH(C85,'Qida bazası'!$A$2:$A$103,0))*D85/100,"?"))</f>
        <v/>
      </c>
    </row>
    <row r="86">
      <c r="A86" s="21" t="n"/>
      <c r="E86" s="18">
        <f>IF(OR(C86="",D86=""),"",IFERROR(INDEX('Qida bazası'!$D$2:$D$103,MATCH(C86,'Qida bazası'!$A$2:$A$103,0))*D86/100,"?"))</f>
        <v/>
      </c>
      <c r="F86" s="19">
        <f>IF(OR(C86="",D86=""),"",IFERROR(INDEX('Qida bazası'!$E$2:$E$103,MATCH(C86,'Qida bazası'!$A$2:$A$103,0))*D86/100,"?"))</f>
        <v/>
      </c>
      <c r="G86" s="19">
        <f>IF(OR(C86="",D86=""),"",IFERROR(INDEX('Qida bazası'!$F$2:$F$103,MATCH(C86,'Qida bazası'!$A$2:$A$103,0))*D86/100,"?"))</f>
        <v/>
      </c>
      <c r="H86" s="19">
        <f>IF(OR(C86="",D86=""),"",IFERROR(INDEX('Qida bazası'!$G$2:$G$103,MATCH(C86,'Qida bazası'!$A$2:$A$103,0))*D86/100,"?"))</f>
        <v/>
      </c>
    </row>
    <row r="87">
      <c r="A87" s="21" t="n"/>
      <c r="E87" s="18">
        <f>IF(OR(C87="",D87=""),"",IFERROR(INDEX('Qida bazası'!$D$2:$D$103,MATCH(C87,'Qida bazası'!$A$2:$A$103,0))*D87/100,"?"))</f>
        <v/>
      </c>
      <c r="F87" s="19">
        <f>IF(OR(C87="",D87=""),"",IFERROR(INDEX('Qida bazası'!$E$2:$E$103,MATCH(C87,'Qida bazası'!$A$2:$A$103,0))*D87/100,"?"))</f>
        <v/>
      </c>
      <c r="G87" s="19">
        <f>IF(OR(C87="",D87=""),"",IFERROR(INDEX('Qida bazası'!$F$2:$F$103,MATCH(C87,'Qida bazası'!$A$2:$A$103,0))*D87/100,"?"))</f>
        <v/>
      </c>
      <c r="H87" s="19">
        <f>IF(OR(C87="",D87=""),"",IFERROR(INDEX('Qida bazası'!$G$2:$G$103,MATCH(C87,'Qida bazası'!$A$2:$A$103,0))*D87/100,"?"))</f>
        <v/>
      </c>
    </row>
    <row r="88">
      <c r="A88" s="21" t="n"/>
      <c r="E88" s="18">
        <f>IF(OR(C88="",D88=""),"",IFERROR(INDEX('Qida bazası'!$D$2:$D$103,MATCH(C88,'Qida bazası'!$A$2:$A$103,0))*D88/100,"?"))</f>
        <v/>
      </c>
      <c r="F88" s="19">
        <f>IF(OR(C88="",D88=""),"",IFERROR(INDEX('Qida bazası'!$E$2:$E$103,MATCH(C88,'Qida bazası'!$A$2:$A$103,0))*D88/100,"?"))</f>
        <v/>
      </c>
      <c r="G88" s="19">
        <f>IF(OR(C88="",D88=""),"",IFERROR(INDEX('Qida bazası'!$F$2:$F$103,MATCH(C88,'Qida bazası'!$A$2:$A$103,0))*D88/100,"?"))</f>
        <v/>
      </c>
      <c r="H88" s="19">
        <f>IF(OR(C88="",D88=""),"",IFERROR(INDEX('Qida bazası'!$G$2:$G$103,MATCH(C88,'Qida bazası'!$A$2:$A$103,0))*D88/100,"?"))</f>
        <v/>
      </c>
    </row>
    <row r="89">
      <c r="A89" s="21" t="n"/>
      <c r="E89" s="18">
        <f>IF(OR(C89="",D89=""),"",IFERROR(INDEX('Qida bazası'!$D$2:$D$103,MATCH(C89,'Qida bazası'!$A$2:$A$103,0))*D89/100,"?"))</f>
        <v/>
      </c>
      <c r="F89" s="19">
        <f>IF(OR(C89="",D89=""),"",IFERROR(INDEX('Qida bazası'!$E$2:$E$103,MATCH(C89,'Qida bazası'!$A$2:$A$103,0))*D89/100,"?"))</f>
        <v/>
      </c>
      <c r="G89" s="19">
        <f>IF(OR(C89="",D89=""),"",IFERROR(INDEX('Qida bazası'!$F$2:$F$103,MATCH(C89,'Qida bazası'!$A$2:$A$103,0))*D89/100,"?"))</f>
        <v/>
      </c>
      <c r="H89" s="19">
        <f>IF(OR(C89="",D89=""),"",IFERROR(INDEX('Qida bazası'!$G$2:$G$103,MATCH(C89,'Qida bazası'!$A$2:$A$103,0))*D89/100,"?"))</f>
        <v/>
      </c>
    </row>
    <row r="90">
      <c r="A90" s="21" t="n"/>
      <c r="E90" s="18">
        <f>IF(OR(C90="",D90=""),"",IFERROR(INDEX('Qida bazası'!$D$2:$D$103,MATCH(C90,'Qida bazası'!$A$2:$A$103,0))*D90/100,"?"))</f>
        <v/>
      </c>
      <c r="F90" s="19">
        <f>IF(OR(C90="",D90=""),"",IFERROR(INDEX('Qida bazası'!$E$2:$E$103,MATCH(C90,'Qida bazası'!$A$2:$A$103,0))*D90/100,"?"))</f>
        <v/>
      </c>
      <c r="G90" s="19">
        <f>IF(OR(C90="",D90=""),"",IFERROR(INDEX('Qida bazası'!$F$2:$F$103,MATCH(C90,'Qida bazası'!$A$2:$A$103,0))*D90/100,"?"))</f>
        <v/>
      </c>
      <c r="H90" s="19">
        <f>IF(OR(C90="",D90=""),"",IFERROR(INDEX('Qida bazası'!$G$2:$G$103,MATCH(C90,'Qida bazası'!$A$2:$A$103,0))*D90/100,"?"))</f>
        <v/>
      </c>
    </row>
    <row r="91">
      <c r="A91" s="21" t="n"/>
      <c r="E91" s="18">
        <f>IF(OR(C91="",D91=""),"",IFERROR(INDEX('Qida bazası'!$D$2:$D$103,MATCH(C91,'Qida bazası'!$A$2:$A$103,0))*D91/100,"?"))</f>
        <v/>
      </c>
      <c r="F91" s="19">
        <f>IF(OR(C91="",D91=""),"",IFERROR(INDEX('Qida bazası'!$E$2:$E$103,MATCH(C91,'Qida bazası'!$A$2:$A$103,0))*D91/100,"?"))</f>
        <v/>
      </c>
      <c r="G91" s="19">
        <f>IF(OR(C91="",D91=""),"",IFERROR(INDEX('Qida bazası'!$F$2:$F$103,MATCH(C91,'Qida bazası'!$A$2:$A$103,0))*D91/100,"?"))</f>
        <v/>
      </c>
      <c r="H91" s="19">
        <f>IF(OR(C91="",D91=""),"",IFERROR(INDEX('Qida bazası'!$G$2:$G$103,MATCH(C91,'Qida bazası'!$A$2:$A$103,0))*D91/100,"?"))</f>
        <v/>
      </c>
    </row>
    <row r="92">
      <c r="A92" s="21" t="n"/>
      <c r="E92" s="18">
        <f>IF(OR(C92="",D92=""),"",IFERROR(INDEX('Qida bazası'!$D$2:$D$103,MATCH(C92,'Qida bazası'!$A$2:$A$103,0))*D92/100,"?"))</f>
        <v/>
      </c>
      <c r="F92" s="19">
        <f>IF(OR(C92="",D92=""),"",IFERROR(INDEX('Qida bazası'!$E$2:$E$103,MATCH(C92,'Qida bazası'!$A$2:$A$103,0))*D92/100,"?"))</f>
        <v/>
      </c>
      <c r="G92" s="19">
        <f>IF(OR(C92="",D92=""),"",IFERROR(INDEX('Qida bazası'!$F$2:$F$103,MATCH(C92,'Qida bazası'!$A$2:$A$103,0))*D92/100,"?"))</f>
        <v/>
      </c>
      <c r="H92" s="19">
        <f>IF(OR(C92="",D92=""),"",IFERROR(INDEX('Qida bazası'!$G$2:$G$103,MATCH(C92,'Qida bazası'!$A$2:$A$103,0))*D92/100,"?"))</f>
        <v/>
      </c>
    </row>
    <row r="93">
      <c r="A93" s="21" t="n"/>
      <c r="E93" s="18">
        <f>IF(OR(C93="",D93=""),"",IFERROR(INDEX('Qida bazası'!$D$2:$D$103,MATCH(C93,'Qida bazası'!$A$2:$A$103,0))*D93/100,"?"))</f>
        <v/>
      </c>
      <c r="F93" s="19">
        <f>IF(OR(C93="",D93=""),"",IFERROR(INDEX('Qida bazası'!$E$2:$E$103,MATCH(C93,'Qida bazası'!$A$2:$A$103,0))*D93/100,"?"))</f>
        <v/>
      </c>
      <c r="G93" s="19">
        <f>IF(OR(C93="",D93=""),"",IFERROR(INDEX('Qida bazası'!$F$2:$F$103,MATCH(C93,'Qida bazası'!$A$2:$A$103,0))*D93/100,"?"))</f>
        <v/>
      </c>
      <c r="H93" s="19">
        <f>IF(OR(C93="",D93=""),"",IFERROR(INDEX('Qida bazası'!$G$2:$G$103,MATCH(C93,'Qida bazası'!$A$2:$A$103,0))*D93/100,"?"))</f>
        <v/>
      </c>
    </row>
    <row r="94">
      <c r="A94" s="21" t="n"/>
      <c r="E94" s="18">
        <f>IF(OR(C94="",D94=""),"",IFERROR(INDEX('Qida bazası'!$D$2:$D$103,MATCH(C94,'Qida bazası'!$A$2:$A$103,0))*D94/100,"?"))</f>
        <v/>
      </c>
      <c r="F94" s="19">
        <f>IF(OR(C94="",D94=""),"",IFERROR(INDEX('Qida bazası'!$E$2:$E$103,MATCH(C94,'Qida bazası'!$A$2:$A$103,0))*D94/100,"?"))</f>
        <v/>
      </c>
      <c r="G94" s="19">
        <f>IF(OR(C94="",D94=""),"",IFERROR(INDEX('Qida bazası'!$F$2:$F$103,MATCH(C94,'Qida bazası'!$A$2:$A$103,0))*D94/100,"?"))</f>
        <v/>
      </c>
      <c r="H94" s="19">
        <f>IF(OR(C94="",D94=""),"",IFERROR(INDEX('Qida bazası'!$G$2:$G$103,MATCH(C94,'Qida bazası'!$A$2:$A$103,0))*D94/100,"?"))</f>
        <v/>
      </c>
    </row>
    <row r="95">
      <c r="A95" s="21" t="n"/>
      <c r="E95" s="18">
        <f>IF(OR(C95="",D95=""),"",IFERROR(INDEX('Qida bazası'!$D$2:$D$103,MATCH(C95,'Qida bazası'!$A$2:$A$103,0))*D95/100,"?"))</f>
        <v/>
      </c>
      <c r="F95" s="19">
        <f>IF(OR(C95="",D95=""),"",IFERROR(INDEX('Qida bazası'!$E$2:$E$103,MATCH(C95,'Qida bazası'!$A$2:$A$103,0))*D95/100,"?"))</f>
        <v/>
      </c>
      <c r="G95" s="19">
        <f>IF(OR(C95="",D95=""),"",IFERROR(INDEX('Qida bazası'!$F$2:$F$103,MATCH(C95,'Qida bazası'!$A$2:$A$103,0))*D95/100,"?"))</f>
        <v/>
      </c>
      <c r="H95" s="19">
        <f>IF(OR(C95="",D95=""),"",IFERROR(INDEX('Qida bazası'!$G$2:$G$103,MATCH(C95,'Qida bazası'!$A$2:$A$103,0))*D95/100,"?"))</f>
        <v/>
      </c>
    </row>
    <row r="96">
      <c r="A96" s="21" t="n"/>
      <c r="E96" s="18">
        <f>IF(OR(C96="",D96=""),"",IFERROR(INDEX('Qida bazası'!$D$2:$D$103,MATCH(C96,'Qida bazası'!$A$2:$A$103,0))*D96/100,"?"))</f>
        <v/>
      </c>
      <c r="F96" s="19">
        <f>IF(OR(C96="",D96=""),"",IFERROR(INDEX('Qida bazası'!$E$2:$E$103,MATCH(C96,'Qida bazası'!$A$2:$A$103,0))*D96/100,"?"))</f>
        <v/>
      </c>
      <c r="G96" s="19">
        <f>IF(OR(C96="",D96=""),"",IFERROR(INDEX('Qida bazası'!$F$2:$F$103,MATCH(C96,'Qida bazası'!$A$2:$A$103,0))*D96/100,"?"))</f>
        <v/>
      </c>
      <c r="H96" s="19">
        <f>IF(OR(C96="",D96=""),"",IFERROR(INDEX('Qida bazası'!$G$2:$G$103,MATCH(C96,'Qida bazası'!$A$2:$A$103,0))*D96/100,"?"))</f>
        <v/>
      </c>
    </row>
    <row r="97">
      <c r="A97" s="21" t="n"/>
      <c r="E97" s="18">
        <f>IF(OR(C97="",D97=""),"",IFERROR(INDEX('Qida bazası'!$D$2:$D$103,MATCH(C97,'Qida bazası'!$A$2:$A$103,0))*D97/100,"?"))</f>
        <v/>
      </c>
      <c r="F97" s="19">
        <f>IF(OR(C97="",D97=""),"",IFERROR(INDEX('Qida bazası'!$E$2:$E$103,MATCH(C97,'Qida bazası'!$A$2:$A$103,0))*D97/100,"?"))</f>
        <v/>
      </c>
      <c r="G97" s="19">
        <f>IF(OR(C97="",D97=""),"",IFERROR(INDEX('Qida bazası'!$F$2:$F$103,MATCH(C97,'Qida bazası'!$A$2:$A$103,0))*D97/100,"?"))</f>
        <v/>
      </c>
      <c r="H97" s="19">
        <f>IF(OR(C97="",D97=""),"",IFERROR(INDEX('Qida bazası'!$G$2:$G$103,MATCH(C97,'Qida bazası'!$A$2:$A$103,0))*D97/100,"?"))</f>
        <v/>
      </c>
    </row>
    <row r="98">
      <c r="A98" s="21" t="n"/>
      <c r="E98" s="18">
        <f>IF(OR(C98="",D98=""),"",IFERROR(INDEX('Qida bazası'!$D$2:$D$103,MATCH(C98,'Qida bazası'!$A$2:$A$103,0))*D98/100,"?"))</f>
        <v/>
      </c>
      <c r="F98" s="19">
        <f>IF(OR(C98="",D98=""),"",IFERROR(INDEX('Qida bazası'!$E$2:$E$103,MATCH(C98,'Qida bazası'!$A$2:$A$103,0))*D98/100,"?"))</f>
        <v/>
      </c>
      <c r="G98" s="19">
        <f>IF(OR(C98="",D98=""),"",IFERROR(INDEX('Qida bazası'!$F$2:$F$103,MATCH(C98,'Qida bazası'!$A$2:$A$103,0))*D98/100,"?"))</f>
        <v/>
      </c>
      <c r="H98" s="19">
        <f>IF(OR(C98="",D98=""),"",IFERROR(INDEX('Qida bazası'!$G$2:$G$103,MATCH(C98,'Qida bazası'!$A$2:$A$103,0))*D98/100,"?"))</f>
        <v/>
      </c>
    </row>
    <row r="99">
      <c r="A99" s="21" t="n"/>
      <c r="E99" s="18">
        <f>IF(OR(C99="",D99=""),"",IFERROR(INDEX('Qida bazası'!$D$2:$D$103,MATCH(C99,'Qida bazası'!$A$2:$A$103,0))*D99/100,"?"))</f>
        <v/>
      </c>
      <c r="F99" s="19">
        <f>IF(OR(C99="",D99=""),"",IFERROR(INDEX('Qida bazası'!$E$2:$E$103,MATCH(C99,'Qida bazası'!$A$2:$A$103,0))*D99/100,"?"))</f>
        <v/>
      </c>
      <c r="G99" s="19">
        <f>IF(OR(C99="",D99=""),"",IFERROR(INDEX('Qida bazası'!$F$2:$F$103,MATCH(C99,'Qida bazası'!$A$2:$A$103,0))*D99/100,"?"))</f>
        <v/>
      </c>
      <c r="H99" s="19">
        <f>IF(OR(C99="",D99=""),"",IFERROR(INDEX('Qida bazası'!$G$2:$G$103,MATCH(C99,'Qida bazası'!$A$2:$A$103,0))*D99/100,"?"))</f>
        <v/>
      </c>
    </row>
    <row r="100">
      <c r="A100" s="21" t="n"/>
      <c r="E100" s="18">
        <f>IF(OR(C100="",D100=""),"",IFERROR(INDEX('Qida bazası'!$D$2:$D$103,MATCH(C100,'Qida bazası'!$A$2:$A$103,0))*D100/100,"?"))</f>
        <v/>
      </c>
      <c r="F100" s="19">
        <f>IF(OR(C100="",D100=""),"",IFERROR(INDEX('Qida bazası'!$E$2:$E$103,MATCH(C100,'Qida bazası'!$A$2:$A$103,0))*D100/100,"?"))</f>
        <v/>
      </c>
      <c r="G100" s="19">
        <f>IF(OR(C100="",D100=""),"",IFERROR(INDEX('Qida bazası'!$F$2:$F$103,MATCH(C100,'Qida bazası'!$A$2:$A$103,0))*D100/100,"?"))</f>
        <v/>
      </c>
      <c r="H100" s="19">
        <f>IF(OR(C100="",D100=""),"",IFERROR(INDEX('Qida bazası'!$G$2:$G$103,MATCH(C100,'Qida bazası'!$A$2:$A$103,0))*D100/100,"?"))</f>
        <v/>
      </c>
    </row>
    <row r="101">
      <c r="A101" s="21" t="n"/>
      <c r="E101" s="18">
        <f>IF(OR(C101="",D101=""),"",IFERROR(INDEX('Qida bazası'!$D$2:$D$103,MATCH(C101,'Qida bazası'!$A$2:$A$103,0))*D101/100,"?"))</f>
        <v/>
      </c>
      <c r="F101" s="19">
        <f>IF(OR(C101="",D101=""),"",IFERROR(INDEX('Qida bazası'!$E$2:$E$103,MATCH(C101,'Qida bazası'!$A$2:$A$103,0))*D101/100,"?"))</f>
        <v/>
      </c>
      <c r="G101" s="19">
        <f>IF(OR(C101="",D101=""),"",IFERROR(INDEX('Qida bazası'!$F$2:$F$103,MATCH(C101,'Qida bazası'!$A$2:$A$103,0))*D101/100,"?"))</f>
        <v/>
      </c>
      <c r="H101" s="19">
        <f>IF(OR(C101="",D101=""),"",IFERROR(INDEX('Qida bazası'!$G$2:$G$103,MATCH(C101,'Qida bazası'!$A$2:$A$103,0))*D101/100,"?"))</f>
        <v/>
      </c>
    </row>
    <row r="102">
      <c r="A102" s="21" t="n"/>
      <c r="E102" s="18">
        <f>IF(OR(C102="",D102=""),"",IFERROR(INDEX('Qida bazası'!$D$2:$D$103,MATCH(C102,'Qida bazası'!$A$2:$A$103,0))*D102/100,"?"))</f>
        <v/>
      </c>
      <c r="F102" s="19">
        <f>IF(OR(C102="",D102=""),"",IFERROR(INDEX('Qida bazası'!$E$2:$E$103,MATCH(C102,'Qida bazası'!$A$2:$A$103,0))*D102/100,"?"))</f>
        <v/>
      </c>
      <c r="G102" s="19">
        <f>IF(OR(C102="",D102=""),"",IFERROR(INDEX('Qida bazası'!$F$2:$F$103,MATCH(C102,'Qida bazası'!$A$2:$A$103,0))*D102/100,"?"))</f>
        <v/>
      </c>
      <c r="H102" s="19">
        <f>IF(OR(C102="",D102=""),"",IFERROR(INDEX('Qida bazası'!$G$2:$G$103,MATCH(C102,'Qida bazası'!$A$2:$A$103,0))*D102/100,"?"))</f>
        <v/>
      </c>
    </row>
    <row r="103">
      <c r="A103" s="21" t="n"/>
      <c r="E103" s="18">
        <f>IF(OR(C103="",D103=""),"",IFERROR(INDEX('Qida bazası'!$D$2:$D$103,MATCH(C103,'Qida bazası'!$A$2:$A$103,0))*D103/100,"?"))</f>
        <v/>
      </c>
      <c r="F103" s="19">
        <f>IF(OR(C103="",D103=""),"",IFERROR(INDEX('Qida bazası'!$E$2:$E$103,MATCH(C103,'Qida bazası'!$A$2:$A$103,0))*D103/100,"?"))</f>
        <v/>
      </c>
      <c r="G103" s="19">
        <f>IF(OR(C103="",D103=""),"",IFERROR(INDEX('Qida bazası'!$F$2:$F$103,MATCH(C103,'Qida bazası'!$A$2:$A$103,0))*D103/100,"?"))</f>
        <v/>
      </c>
      <c r="H103" s="19">
        <f>IF(OR(C103="",D103=""),"",IFERROR(INDEX('Qida bazası'!$G$2:$G$103,MATCH(C103,'Qida bazası'!$A$2:$A$103,0))*D103/100,"?"))</f>
        <v/>
      </c>
    </row>
    <row r="104">
      <c r="A104" s="21" t="n"/>
      <c r="E104" s="18">
        <f>IF(OR(C104="",D104=""),"",IFERROR(INDEX('Qida bazası'!$D$2:$D$103,MATCH(C104,'Qida bazası'!$A$2:$A$103,0))*D104/100,"?"))</f>
        <v/>
      </c>
      <c r="F104" s="19">
        <f>IF(OR(C104="",D104=""),"",IFERROR(INDEX('Qida bazası'!$E$2:$E$103,MATCH(C104,'Qida bazası'!$A$2:$A$103,0))*D104/100,"?"))</f>
        <v/>
      </c>
      <c r="G104" s="19">
        <f>IF(OR(C104="",D104=""),"",IFERROR(INDEX('Qida bazası'!$F$2:$F$103,MATCH(C104,'Qida bazası'!$A$2:$A$103,0))*D104/100,"?"))</f>
        <v/>
      </c>
      <c r="H104" s="19">
        <f>IF(OR(C104="",D104=""),"",IFERROR(INDEX('Qida bazası'!$G$2:$G$103,MATCH(C104,'Qida bazası'!$A$2:$A$103,0))*D104/100,"?"))</f>
        <v/>
      </c>
    </row>
    <row r="105">
      <c r="A105" s="21" t="n"/>
      <c r="E105" s="18">
        <f>IF(OR(C105="",D105=""),"",IFERROR(INDEX('Qida bazası'!$D$2:$D$103,MATCH(C105,'Qida bazası'!$A$2:$A$103,0))*D105/100,"?"))</f>
        <v/>
      </c>
      <c r="F105" s="19">
        <f>IF(OR(C105="",D105=""),"",IFERROR(INDEX('Qida bazası'!$E$2:$E$103,MATCH(C105,'Qida bazası'!$A$2:$A$103,0))*D105/100,"?"))</f>
        <v/>
      </c>
      <c r="G105" s="19">
        <f>IF(OR(C105="",D105=""),"",IFERROR(INDEX('Qida bazası'!$F$2:$F$103,MATCH(C105,'Qida bazası'!$A$2:$A$103,0))*D105/100,"?"))</f>
        <v/>
      </c>
      <c r="H105" s="19">
        <f>IF(OR(C105="",D105=""),"",IFERROR(INDEX('Qida bazası'!$G$2:$G$103,MATCH(C105,'Qida bazası'!$A$2:$A$103,0))*D105/100,"?"))</f>
        <v/>
      </c>
    </row>
    <row r="106">
      <c r="A106" s="21" t="n"/>
      <c r="E106" s="18">
        <f>IF(OR(C106="",D106=""),"",IFERROR(INDEX('Qida bazası'!$D$2:$D$103,MATCH(C106,'Qida bazası'!$A$2:$A$103,0))*D106/100,"?"))</f>
        <v/>
      </c>
      <c r="F106" s="19">
        <f>IF(OR(C106="",D106=""),"",IFERROR(INDEX('Qida bazası'!$E$2:$E$103,MATCH(C106,'Qida bazası'!$A$2:$A$103,0))*D106/100,"?"))</f>
        <v/>
      </c>
      <c r="G106" s="19">
        <f>IF(OR(C106="",D106=""),"",IFERROR(INDEX('Qida bazası'!$F$2:$F$103,MATCH(C106,'Qida bazası'!$A$2:$A$103,0))*D106/100,"?"))</f>
        <v/>
      </c>
      <c r="H106" s="19">
        <f>IF(OR(C106="",D106=""),"",IFERROR(INDEX('Qida bazası'!$G$2:$G$103,MATCH(C106,'Qida bazası'!$A$2:$A$103,0))*D106/100,"?"))</f>
        <v/>
      </c>
    </row>
    <row r="107">
      <c r="A107" s="21" t="n"/>
      <c r="E107" s="18">
        <f>IF(OR(C107="",D107=""),"",IFERROR(INDEX('Qida bazası'!$D$2:$D$103,MATCH(C107,'Qida bazası'!$A$2:$A$103,0))*D107/100,"?"))</f>
        <v/>
      </c>
      <c r="F107" s="19">
        <f>IF(OR(C107="",D107=""),"",IFERROR(INDEX('Qida bazası'!$E$2:$E$103,MATCH(C107,'Qida bazası'!$A$2:$A$103,0))*D107/100,"?"))</f>
        <v/>
      </c>
      <c r="G107" s="19">
        <f>IF(OR(C107="",D107=""),"",IFERROR(INDEX('Qida bazası'!$F$2:$F$103,MATCH(C107,'Qida bazası'!$A$2:$A$103,0))*D107/100,"?"))</f>
        <v/>
      </c>
      <c r="H107" s="19">
        <f>IF(OR(C107="",D107=""),"",IFERROR(INDEX('Qida bazası'!$G$2:$G$103,MATCH(C107,'Qida bazası'!$A$2:$A$103,0))*D107/100,"?"))</f>
        <v/>
      </c>
    </row>
    <row r="108">
      <c r="A108" s="21" t="n"/>
      <c r="E108" s="18">
        <f>IF(OR(C108="",D108=""),"",IFERROR(INDEX('Qida bazası'!$D$2:$D$103,MATCH(C108,'Qida bazası'!$A$2:$A$103,0))*D108/100,"?"))</f>
        <v/>
      </c>
      <c r="F108" s="19">
        <f>IF(OR(C108="",D108=""),"",IFERROR(INDEX('Qida bazası'!$E$2:$E$103,MATCH(C108,'Qida bazası'!$A$2:$A$103,0))*D108/100,"?"))</f>
        <v/>
      </c>
      <c r="G108" s="19">
        <f>IF(OR(C108="",D108=""),"",IFERROR(INDEX('Qida bazası'!$F$2:$F$103,MATCH(C108,'Qida bazası'!$A$2:$A$103,0))*D108/100,"?"))</f>
        <v/>
      </c>
      <c r="H108" s="19">
        <f>IF(OR(C108="",D108=""),"",IFERROR(INDEX('Qida bazası'!$G$2:$G$103,MATCH(C108,'Qida bazası'!$A$2:$A$103,0))*D108/100,"?"))</f>
        <v/>
      </c>
    </row>
    <row r="109">
      <c r="A109" s="21" t="n"/>
      <c r="E109" s="18">
        <f>IF(OR(C109="",D109=""),"",IFERROR(INDEX('Qida bazası'!$D$2:$D$103,MATCH(C109,'Qida bazası'!$A$2:$A$103,0))*D109/100,"?"))</f>
        <v/>
      </c>
      <c r="F109" s="19">
        <f>IF(OR(C109="",D109=""),"",IFERROR(INDEX('Qida bazası'!$E$2:$E$103,MATCH(C109,'Qida bazası'!$A$2:$A$103,0))*D109/100,"?"))</f>
        <v/>
      </c>
      <c r="G109" s="19">
        <f>IF(OR(C109="",D109=""),"",IFERROR(INDEX('Qida bazası'!$F$2:$F$103,MATCH(C109,'Qida bazası'!$A$2:$A$103,0))*D109/100,"?"))</f>
        <v/>
      </c>
      <c r="H109" s="19">
        <f>IF(OR(C109="",D109=""),"",IFERROR(INDEX('Qida bazası'!$G$2:$G$103,MATCH(C109,'Qida bazası'!$A$2:$A$103,0))*D109/100,"?"))</f>
        <v/>
      </c>
    </row>
    <row r="110">
      <c r="A110" s="21" t="n"/>
      <c r="E110" s="18">
        <f>IF(OR(C110="",D110=""),"",IFERROR(INDEX('Qida bazası'!$D$2:$D$103,MATCH(C110,'Qida bazası'!$A$2:$A$103,0))*D110/100,"?"))</f>
        <v/>
      </c>
      <c r="F110" s="19">
        <f>IF(OR(C110="",D110=""),"",IFERROR(INDEX('Qida bazası'!$E$2:$E$103,MATCH(C110,'Qida bazası'!$A$2:$A$103,0))*D110/100,"?"))</f>
        <v/>
      </c>
      <c r="G110" s="19">
        <f>IF(OR(C110="",D110=""),"",IFERROR(INDEX('Qida bazası'!$F$2:$F$103,MATCH(C110,'Qida bazası'!$A$2:$A$103,0))*D110/100,"?"))</f>
        <v/>
      </c>
      <c r="H110" s="19">
        <f>IF(OR(C110="",D110=""),"",IFERROR(INDEX('Qida bazası'!$G$2:$G$103,MATCH(C110,'Qida bazası'!$A$2:$A$103,0))*D110/100,"?"))</f>
        <v/>
      </c>
    </row>
    <row r="111">
      <c r="A111" s="21" t="n"/>
      <c r="E111" s="18">
        <f>IF(OR(C111="",D111=""),"",IFERROR(INDEX('Qida bazası'!$D$2:$D$103,MATCH(C111,'Qida bazası'!$A$2:$A$103,0))*D111/100,"?"))</f>
        <v/>
      </c>
      <c r="F111" s="19">
        <f>IF(OR(C111="",D111=""),"",IFERROR(INDEX('Qida bazası'!$E$2:$E$103,MATCH(C111,'Qida bazası'!$A$2:$A$103,0))*D111/100,"?"))</f>
        <v/>
      </c>
      <c r="G111" s="19">
        <f>IF(OR(C111="",D111=""),"",IFERROR(INDEX('Qida bazası'!$F$2:$F$103,MATCH(C111,'Qida bazası'!$A$2:$A$103,0))*D111/100,"?"))</f>
        <v/>
      </c>
      <c r="H111" s="19">
        <f>IF(OR(C111="",D111=""),"",IFERROR(INDEX('Qida bazası'!$G$2:$G$103,MATCH(C111,'Qida bazası'!$A$2:$A$103,0))*D111/100,"?"))</f>
        <v/>
      </c>
    </row>
    <row r="112">
      <c r="A112" s="21" t="n"/>
      <c r="E112" s="18">
        <f>IF(OR(C112="",D112=""),"",IFERROR(INDEX('Qida bazası'!$D$2:$D$103,MATCH(C112,'Qida bazası'!$A$2:$A$103,0))*D112/100,"?"))</f>
        <v/>
      </c>
      <c r="F112" s="19">
        <f>IF(OR(C112="",D112=""),"",IFERROR(INDEX('Qida bazası'!$E$2:$E$103,MATCH(C112,'Qida bazası'!$A$2:$A$103,0))*D112/100,"?"))</f>
        <v/>
      </c>
      <c r="G112" s="19">
        <f>IF(OR(C112="",D112=""),"",IFERROR(INDEX('Qida bazası'!$F$2:$F$103,MATCH(C112,'Qida bazası'!$A$2:$A$103,0))*D112/100,"?"))</f>
        <v/>
      </c>
      <c r="H112" s="19">
        <f>IF(OR(C112="",D112=""),"",IFERROR(INDEX('Qida bazası'!$G$2:$G$103,MATCH(C112,'Qida bazası'!$A$2:$A$103,0))*D112/100,"?"))</f>
        <v/>
      </c>
    </row>
    <row r="113">
      <c r="A113" s="21" t="n"/>
      <c r="E113" s="18">
        <f>IF(OR(C113="",D113=""),"",IFERROR(INDEX('Qida bazası'!$D$2:$D$103,MATCH(C113,'Qida bazası'!$A$2:$A$103,0))*D113/100,"?"))</f>
        <v/>
      </c>
      <c r="F113" s="19">
        <f>IF(OR(C113="",D113=""),"",IFERROR(INDEX('Qida bazası'!$E$2:$E$103,MATCH(C113,'Qida bazası'!$A$2:$A$103,0))*D113/100,"?"))</f>
        <v/>
      </c>
      <c r="G113" s="19">
        <f>IF(OR(C113="",D113=""),"",IFERROR(INDEX('Qida bazası'!$F$2:$F$103,MATCH(C113,'Qida bazası'!$A$2:$A$103,0))*D113/100,"?"))</f>
        <v/>
      </c>
      <c r="H113" s="19">
        <f>IF(OR(C113="",D113=""),"",IFERROR(INDEX('Qida bazası'!$G$2:$G$103,MATCH(C113,'Qida bazası'!$A$2:$A$103,0))*D113/100,"?"))</f>
        <v/>
      </c>
    </row>
    <row r="114">
      <c r="A114" s="21" t="n"/>
      <c r="E114" s="18">
        <f>IF(OR(C114="",D114=""),"",IFERROR(INDEX('Qida bazası'!$D$2:$D$103,MATCH(C114,'Qida bazası'!$A$2:$A$103,0))*D114/100,"?"))</f>
        <v/>
      </c>
      <c r="F114" s="19">
        <f>IF(OR(C114="",D114=""),"",IFERROR(INDEX('Qida bazası'!$E$2:$E$103,MATCH(C114,'Qida bazası'!$A$2:$A$103,0))*D114/100,"?"))</f>
        <v/>
      </c>
      <c r="G114" s="19">
        <f>IF(OR(C114="",D114=""),"",IFERROR(INDEX('Qida bazası'!$F$2:$F$103,MATCH(C114,'Qida bazası'!$A$2:$A$103,0))*D114/100,"?"))</f>
        <v/>
      </c>
      <c r="H114" s="19">
        <f>IF(OR(C114="",D114=""),"",IFERROR(INDEX('Qida bazası'!$G$2:$G$103,MATCH(C114,'Qida bazası'!$A$2:$A$103,0))*D114/100,"?"))</f>
        <v/>
      </c>
    </row>
    <row r="115">
      <c r="A115" s="21" t="n"/>
      <c r="E115" s="18">
        <f>IF(OR(C115="",D115=""),"",IFERROR(INDEX('Qida bazası'!$D$2:$D$103,MATCH(C115,'Qida bazası'!$A$2:$A$103,0))*D115/100,"?"))</f>
        <v/>
      </c>
      <c r="F115" s="19">
        <f>IF(OR(C115="",D115=""),"",IFERROR(INDEX('Qida bazası'!$E$2:$E$103,MATCH(C115,'Qida bazası'!$A$2:$A$103,0))*D115/100,"?"))</f>
        <v/>
      </c>
      <c r="G115" s="19">
        <f>IF(OR(C115="",D115=""),"",IFERROR(INDEX('Qida bazası'!$F$2:$F$103,MATCH(C115,'Qida bazası'!$A$2:$A$103,0))*D115/100,"?"))</f>
        <v/>
      </c>
      <c r="H115" s="19">
        <f>IF(OR(C115="",D115=""),"",IFERROR(INDEX('Qida bazası'!$G$2:$G$103,MATCH(C115,'Qida bazası'!$A$2:$A$103,0))*D115/100,"?"))</f>
        <v/>
      </c>
    </row>
    <row r="116">
      <c r="A116" s="21" t="n"/>
      <c r="E116" s="18">
        <f>IF(OR(C116="",D116=""),"",IFERROR(INDEX('Qida bazası'!$D$2:$D$103,MATCH(C116,'Qida bazası'!$A$2:$A$103,0))*D116/100,"?"))</f>
        <v/>
      </c>
      <c r="F116" s="19">
        <f>IF(OR(C116="",D116=""),"",IFERROR(INDEX('Qida bazası'!$E$2:$E$103,MATCH(C116,'Qida bazası'!$A$2:$A$103,0))*D116/100,"?"))</f>
        <v/>
      </c>
      <c r="G116" s="19">
        <f>IF(OR(C116="",D116=""),"",IFERROR(INDEX('Qida bazası'!$F$2:$F$103,MATCH(C116,'Qida bazası'!$A$2:$A$103,0))*D116/100,"?"))</f>
        <v/>
      </c>
      <c r="H116" s="19">
        <f>IF(OR(C116="",D116=""),"",IFERROR(INDEX('Qida bazası'!$G$2:$G$103,MATCH(C116,'Qida bazası'!$A$2:$A$103,0))*D116/100,"?"))</f>
        <v/>
      </c>
    </row>
    <row r="117">
      <c r="A117" s="21" t="n"/>
      <c r="E117" s="18">
        <f>IF(OR(C117="",D117=""),"",IFERROR(INDEX('Qida bazası'!$D$2:$D$103,MATCH(C117,'Qida bazası'!$A$2:$A$103,0))*D117/100,"?"))</f>
        <v/>
      </c>
      <c r="F117" s="19">
        <f>IF(OR(C117="",D117=""),"",IFERROR(INDEX('Qida bazası'!$E$2:$E$103,MATCH(C117,'Qida bazası'!$A$2:$A$103,0))*D117/100,"?"))</f>
        <v/>
      </c>
      <c r="G117" s="19">
        <f>IF(OR(C117="",D117=""),"",IFERROR(INDEX('Qida bazası'!$F$2:$F$103,MATCH(C117,'Qida bazası'!$A$2:$A$103,0))*D117/100,"?"))</f>
        <v/>
      </c>
      <c r="H117" s="19">
        <f>IF(OR(C117="",D117=""),"",IFERROR(INDEX('Qida bazası'!$G$2:$G$103,MATCH(C117,'Qida bazası'!$A$2:$A$103,0))*D117/100,"?"))</f>
        <v/>
      </c>
    </row>
    <row r="118">
      <c r="A118" s="21" t="n"/>
      <c r="E118" s="18">
        <f>IF(OR(C118="",D118=""),"",IFERROR(INDEX('Qida bazası'!$D$2:$D$103,MATCH(C118,'Qida bazası'!$A$2:$A$103,0))*D118/100,"?"))</f>
        <v/>
      </c>
      <c r="F118" s="19">
        <f>IF(OR(C118="",D118=""),"",IFERROR(INDEX('Qida bazası'!$E$2:$E$103,MATCH(C118,'Qida bazası'!$A$2:$A$103,0))*D118/100,"?"))</f>
        <v/>
      </c>
      <c r="G118" s="19">
        <f>IF(OR(C118="",D118=""),"",IFERROR(INDEX('Qida bazası'!$F$2:$F$103,MATCH(C118,'Qida bazası'!$A$2:$A$103,0))*D118/100,"?"))</f>
        <v/>
      </c>
      <c r="H118" s="19">
        <f>IF(OR(C118="",D118=""),"",IFERROR(INDEX('Qida bazası'!$G$2:$G$103,MATCH(C118,'Qida bazası'!$A$2:$A$103,0))*D118/100,"?"))</f>
        <v/>
      </c>
    </row>
    <row r="119">
      <c r="A119" s="21" t="n"/>
      <c r="E119" s="18">
        <f>IF(OR(C119="",D119=""),"",IFERROR(INDEX('Qida bazası'!$D$2:$D$103,MATCH(C119,'Qida bazası'!$A$2:$A$103,0))*D119/100,"?"))</f>
        <v/>
      </c>
      <c r="F119" s="19">
        <f>IF(OR(C119="",D119=""),"",IFERROR(INDEX('Qida bazası'!$E$2:$E$103,MATCH(C119,'Qida bazası'!$A$2:$A$103,0))*D119/100,"?"))</f>
        <v/>
      </c>
      <c r="G119" s="19">
        <f>IF(OR(C119="",D119=""),"",IFERROR(INDEX('Qida bazası'!$F$2:$F$103,MATCH(C119,'Qida bazası'!$A$2:$A$103,0))*D119/100,"?"))</f>
        <v/>
      </c>
      <c r="H119" s="19">
        <f>IF(OR(C119="",D119=""),"",IFERROR(INDEX('Qida bazası'!$G$2:$G$103,MATCH(C119,'Qida bazası'!$A$2:$A$103,0))*D119/100,"?"))</f>
        <v/>
      </c>
    </row>
    <row r="120">
      <c r="A120" s="21" t="n"/>
      <c r="E120" s="18">
        <f>IF(OR(C120="",D120=""),"",IFERROR(INDEX('Qida bazası'!$D$2:$D$103,MATCH(C120,'Qida bazası'!$A$2:$A$103,0))*D120/100,"?"))</f>
        <v/>
      </c>
      <c r="F120" s="19">
        <f>IF(OR(C120="",D120=""),"",IFERROR(INDEX('Qida bazası'!$E$2:$E$103,MATCH(C120,'Qida bazası'!$A$2:$A$103,0))*D120/100,"?"))</f>
        <v/>
      </c>
      <c r="G120" s="19">
        <f>IF(OR(C120="",D120=""),"",IFERROR(INDEX('Qida bazası'!$F$2:$F$103,MATCH(C120,'Qida bazası'!$A$2:$A$103,0))*D120/100,"?"))</f>
        <v/>
      </c>
      <c r="H120" s="19">
        <f>IF(OR(C120="",D120=""),"",IFERROR(INDEX('Qida bazası'!$G$2:$G$103,MATCH(C120,'Qida bazası'!$A$2:$A$103,0))*D120/100,"?"))</f>
        <v/>
      </c>
    </row>
    <row r="121">
      <c r="A121" s="21" t="n"/>
      <c r="E121" s="18">
        <f>IF(OR(C121="",D121=""),"",IFERROR(INDEX('Qida bazası'!$D$2:$D$103,MATCH(C121,'Qida bazası'!$A$2:$A$103,0))*D121/100,"?"))</f>
        <v/>
      </c>
      <c r="F121" s="19">
        <f>IF(OR(C121="",D121=""),"",IFERROR(INDEX('Qida bazası'!$E$2:$E$103,MATCH(C121,'Qida bazası'!$A$2:$A$103,0))*D121/100,"?"))</f>
        <v/>
      </c>
      <c r="G121" s="19">
        <f>IF(OR(C121="",D121=""),"",IFERROR(INDEX('Qida bazası'!$F$2:$F$103,MATCH(C121,'Qida bazası'!$A$2:$A$103,0))*D121/100,"?"))</f>
        <v/>
      </c>
      <c r="H121" s="19">
        <f>IF(OR(C121="",D121=""),"",IFERROR(INDEX('Qida bazası'!$G$2:$G$103,MATCH(C121,'Qida bazası'!$A$2:$A$103,0))*D121/100,"?"))</f>
        <v/>
      </c>
    </row>
    <row r="122">
      <c r="A122" s="21" t="n"/>
      <c r="E122" s="18">
        <f>IF(OR(C122="",D122=""),"",IFERROR(INDEX('Qida bazası'!$D$2:$D$103,MATCH(C122,'Qida bazası'!$A$2:$A$103,0))*D122/100,"?"))</f>
        <v/>
      </c>
      <c r="F122" s="19">
        <f>IF(OR(C122="",D122=""),"",IFERROR(INDEX('Qida bazası'!$E$2:$E$103,MATCH(C122,'Qida bazası'!$A$2:$A$103,0))*D122/100,"?"))</f>
        <v/>
      </c>
      <c r="G122" s="19">
        <f>IF(OR(C122="",D122=""),"",IFERROR(INDEX('Qida bazası'!$F$2:$F$103,MATCH(C122,'Qida bazası'!$A$2:$A$103,0))*D122/100,"?"))</f>
        <v/>
      </c>
      <c r="H122" s="19">
        <f>IF(OR(C122="",D122=""),"",IFERROR(INDEX('Qida bazası'!$G$2:$G$103,MATCH(C122,'Qida bazası'!$A$2:$A$103,0))*D122/100,"?"))</f>
        <v/>
      </c>
    </row>
    <row r="123">
      <c r="A123" s="21" t="n"/>
      <c r="E123" s="18">
        <f>IF(OR(C123="",D123=""),"",IFERROR(INDEX('Qida bazası'!$D$2:$D$103,MATCH(C123,'Qida bazası'!$A$2:$A$103,0))*D123/100,"?"))</f>
        <v/>
      </c>
      <c r="F123" s="19">
        <f>IF(OR(C123="",D123=""),"",IFERROR(INDEX('Qida bazası'!$E$2:$E$103,MATCH(C123,'Qida bazası'!$A$2:$A$103,0))*D123/100,"?"))</f>
        <v/>
      </c>
      <c r="G123" s="19">
        <f>IF(OR(C123="",D123=""),"",IFERROR(INDEX('Qida bazası'!$F$2:$F$103,MATCH(C123,'Qida bazası'!$A$2:$A$103,0))*D123/100,"?"))</f>
        <v/>
      </c>
      <c r="H123" s="19">
        <f>IF(OR(C123="",D123=""),"",IFERROR(INDEX('Qida bazası'!$G$2:$G$103,MATCH(C123,'Qida bazası'!$A$2:$A$103,0))*D123/100,"?"))</f>
        <v/>
      </c>
    </row>
    <row r="124">
      <c r="A124" s="21" t="n"/>
      <c r="E124" s="18">
        <f>IF(OR(C124="",D124=""),"",IFERROR(INDEX('Qida bazası'!$D$2:$D$103,MATCH(C124,'Qida bazası'!$A$2:$A$103,0))*D124/100,"?"))</f>
        <v/>
      </c>
      <c r="F124" s="19">
        <f>IF(OR(C124="",D124=""),"",IFERROR(INDEX('Qida bazası'!$E$2:$E$103,MATCH(C124,'Qida bazası'!$A$2:$A$103,0))*D124/100,"?"))</f>
        <v/>
      </c>
      <c r="G124" s="19">
        <f>IF(OR(C124="",D124=""),"",IFERROR(INDEX('Qida bazası'!$F$2:$F$103,MATCH(C124,'Qida bazası'!$A$2:$A$103,0))*D124/100,"?"))</f>
        <v/>
      </c>
      <c r="H124" s="19">
        <f>IF(OR(C124="",D124=""),"",IFERROR(INDEX('Qida bazası'!$G$2:$G$103,MATCH(C124,'Qida bazası'!$A$2:$A$103,0))*D124/100,"?"))</f>
        <v/>
      </c>
    </row>
    <row r="125">
      <c r="A125" s="21" t="n"/>
      <c r="E125" s="18">
        <f>IF(OR(C125="",D125=""),"",IFERROR(INDEX('Qida bazası'!$D$2:$D$103,MATCH(C125,'Qida bazası'!$A$2:$A$103,0))*D125/100,"?"))</f>
        <v/>
      </c>
      <c r="F125" s="19">
        <f>IF(OR(C125="",D125=""),"",IFERROR(INDEX('Qida bazası'!$E$2:$E$103,MATCH(C125,'Qida bazası'!$A$2:$A$103,0))*D125/100,"?"))</f>
        <v/>
      </c>
      <c r="G125" s="19">
        <f>IF(OR(C125="",D125=""),"",IFERROR(INDEX('Qida bazası'!$F$2:$F$103,MATCH(C125,'Qida bazası'!$A$2:$A$103,0))*D125/100,"?"))</f>
        <v/>
      </c>
      <c r="H125" s="19">
        <f>IF(OR(C125="",D125=""),"",IFERROR(INDEX('Qida bazası'!$G$2:$G$103,MATCH(C125,'Qida bazası'!$A$2:$A$103,0))*D125/100,"?"))</f>
        <v/>
      </c>
    </row>
    <row r="126">
      <c r="A126" s="21" t="n"/>
      <c r="E126" s="18">
        <f>IF(OR(C126="",D126=""),"",IFERROR(INDEX('Qida bazası'!$D$2:$D$103,MATCH(C126,'Qida bazası'!$A$2:$A$103,0))*D126/100,"?"))</f>
        <v/>
      </c>
      <c r="F126" s="19">
        <f>IF(OR(C126="",D126=""),"",IFERROR(INDEX('Qida bazası'!$E$2:$E$103,MATCH(C126,'Qida bazası'!$A$2:$A$103,0))*D126/100,"?"))</f>
        <v/>
      </c>
      <c r="G126" s="19">
        <f>IF(OR(C126="",D126=""),"",IFERROR(INDEX('Qida bazası'!$F$2:$F$103,MATCH(C126,'Qida bazası'!$A$2:$A$103,0))*D126/100,"?"))</f>
        <v/>
      </c>
      <c r="H126" s="19">
        <f>IF(OR(C126="",D126=""),"",IFERROR(INDEX('Qida bazası'!$G$2:$G$103,MATCH(C126,'Qida bazası'!$A$2:$A$103,0))*D126/100,"?"))</f>
        <v/>
      </c>
    </row>
    <row r="127">
      <c r="A127" s="21" t="n"/>
      <c r="E127" s="18">
        <f>IF(OR(C127="",D127=""),"",IFERROR(INDEX('Qida bazası'!$D$2:$D$103,MATCH(C127,'Qida bazası'!$A$2:$A$103,0))*D127/100,"?"))</f>
        <v/>
      </c>
      <c r="F127" s="19">
        <f>IF(OR(C127="",D127=""),"",IFERROR(INDEX('Qida bazası'!$E$2:$E$103,MATCH(C127,'Qida bazası'!$A$2:$A$103,0))*D127/100,"?"))</f>
        <v/>
      </c>
      <c r="G127" s="19">
        <f>IF(OR(C127="",D127=""),"",IFERROR(INDEX('Qida bazası'!$F$2:$F$103,MATCH(C127,'Qida bazası'!$A$2:$A$103,0))*D127/100,"?"))</f>
        <v/>
      </c>
      <c r="H127" s="19">
        <f>IF(OR(C127="",D127=""),"",IFERROR(INDEX('Qida bazası'!$G$2:$G$103,MATCH(C127,'Qida bazası'!$A$2:$A$103,0))*D127/100,"?"))</f>
        <v/>
      </c>
    </row>
    <row r="128">
      <c r="A128" s="21" t="n"/>
      <c r="E128" s="18">
        <f>IF(OR(C128="",D128=""),"",IFERROR(INDEX('Qida bazası'!$D$2:$D$103,MATCH(C128,'Qida bazası'!$A$2:$A$103,0))*D128/100,"?"))</f>
        <v/>
      </c>
      <c r="F128" s="19">
        <f>IF(OR(C128="",D128=""),"",IFERROR(INDEX('Qida bazası'!$E$2:$E$103,MATCH(C128,'Qida bazası'!$A$2:$A$103,0))*D128/100,"?"))</f>
        <v/>
      </c>
      <c r="G128" s="19">
        <f>IF(OR(C128="",D128=""),"",IFERROR(INDEX('Qida bazası'!$F$2:$F$103,MATCH(C128,'Qida bazası'!$A$2:$A$103,0))*D128/100,"?"))</f>
        <v/>
      </c>
      <c r="H128" s="19">
        <f>IF(OR(C128="",D128=""),"",IFERROR(INDEX('Qida bazası'!$G$2:$G$103,MATCH(C128,'Qida bazası'!$A$2:$A$103,0))*D128/100,"?"))</f>
        <v/>
      </c>
    </row>
    <row r="129">
      <c r="A129" s="21" t="n"/>
      <c r="E129" s="18">
        <f>IF(OR(C129="",D129=""),"",IFERROR(INDEX('Qida bazası'!$D$2:$D$103,MATCH(C129,'Qida bazası'!$A$2:$A$103,0))*D129/100,"?"))</f>
        <v/>
      </c>
      <c r="F129" s="19">
        <f>IF(OR(C129="",D129=""),"",IFERROR(INDEX('Qida bazası'!$E$2:$E$103,MATCH(C129,'Qida bazası'!$A$2:$A$103,0))*D129/100,"?"))</f>
        <v/>
      </c>
      <c r="G129" s="19">
        <f>IF(OR(C129="",D129=""),"",IFERROR(INDEX('Qida bazası'!$F$2:$F$103,MATCH(C129,'Qida bazası'!$A$2:$A$103,0))*D129/100,"?"))</f>
        <v/>
      </c>
      <c r="H129" s="19">
        <f>IF(OR(C129="",D129=""),"",IFERROR(INDEX('Qida bazası'!$G$2:$G$103,MATCH(C129,'Qida bazası'!$A$2:$A$103,0))*D129/100,"?"))</f>
        <v/>
      </c>
    </row>
    <row r="130">
      <c r="A130" s="21" t="n"/>
      <c r="E130" s="18">
        <f>IF(OR(C130="",D130=""),"",IFERROR(INDEX('Qida bazası'!$D$2:$D$103,MATCH(C130,'Qida bazası'!$A$2:$A$103,0))*D130/100,"?"))</f>
        <v/>
      </c>
      <c r="F130" s="19">
        <f>IF(OR(C130="",D130=""),"",IFERROR(INDEX('Qida bazası'!$E$2:$E$103,MATCH(C130,'Qida bazası'!$A$2:$A$103,0))*D130/100,"?"))</f>
        <v/>
      </c>
      <c r="G130" s="19">
        <f>IF(OR(C130="",D130=""),"",IFERROR(INDEX('Qida bazası'!$F$2:$F$103,MATCH(C130,'Qida bazası'!$A$2:$A$103,0))*D130/100,"?"))</f>
        <v/>
      </c>
      <c r="H130" s="19">
        <f>IF(OR(C130="",D130=""),"",IFERROR(INDEX('Qida bazası'!$G$2:$G$103,MATCH(C130,'Qida bazası'!$A$2:$A$103,0))*D130/100,"?"))</f>
        <v/>
      </c>
    </row>
    <row r="131">
      <c r="A131" s="21" t="n"/>
      <c r="E131" s="18">
        <f>IF(OR(C131="",D131=""),"",IFERROR(INDEX('Qida bazası'!$D$2:$D$103,MATCH(C131,'Qida bazası'!$A$2:$A$103,0))*D131/100,"?"))</f>
        <v/>
      </c>
      <c r="F131" s="19">
        <f>IF(OR(C131="",D131=""),"",IFERROR(INDEX('Qida bazası'!$E$2:$E$103,MATCH(C131,'Qida bazası'!$A$2:$A$103,0))*D131/100,"?"))</f>
        <v/>
      </c>
      <c r="G131" s="19">
        <f>IF(OR(C131="",D131=""),"",IFERROR(INDEX('Qida bazası'!$F$2:$F$103,MATCH(C131,'Qida bazası'!$A$2:$A$103,0))*D131/100,"?"))</f>
        <v/>
      </c>
      <c r="H131" s="19">
        <f>IF(OR(C131="",D131=""),"",IFERROR(INDEX('Qida bazası'!$G$2:$G$103,MATCH(C131,'Qida bazası'!$A$2:$A$103,0))*D131/100,"?"))</f>
        <v/>
      </c>
    </row>
    <row r="132">
      <c r="A132" s="21" t="n"/>
      <c r="E132" s="18">
        <f>IF(OR(C132="",D132=""),"",IFERROR(INDEX('Qida bazası'!$D$2:$D$103,MATCH(C132,'Qida bazası'!$A$2:$A$103,0))*D132/100,"?"))</f>
        <v/>
      </c>
      <c r="F132" s="19">
        <f>IF(OR(C132="",D132=""),"",IFERROR(INDEX('Qida bazası'!$E$2:$E$103,MATCH(C132,'Qida bazası'!$A$2:$A$103,0))*D132/100,"?"))</f>
        <v/>
      </c>
      <c r="G132" s="19">
        <f>IF(OR(C132="",D132=""),"",IFERROR(INDEX('Qida bazası'!$F$2:$F$103,MATCH(C132,'Qida bazası'!$A$2:$A$103,0))*D132/100,"?"))</f>
        <v/>
      </c>
      <c r="H132" s="19">
        <f>IF(OR(C132="",D132=""),"",IFERROR(INDEX('Qida bazası'!$G$2:$G$103,MATCH(C132,'Qida bazası'!$A$2:$A$103,0))*D132/100,"?"))</f>
        <v/>
      </c>
    </row>
    <row r="133">
      <c r="A133" s="21" t="n"/>
      <c r="E133" s="18">
        <f>IF(OR(C133="",D133=""),"",IFERROR(INDEX('Qida bazası'!$D$2:$D$103,MATCH(C133,'Qida bazası'!$A$2:$A$103,0))*D133/100,"?"))</f>
        <v/>
      </c>
      <c r="F133" s="19">
        <f>IF(OR(C133="",D133=""),"",IFERROR(INDEX('Qida bazası'!$E$2:$E$103,MATCH(C133,'Qida bazası'!$A$2:$A$103,0))*D133/100,"?"))</f>
        <v/>
      </c>
      <c r="G133" s="19">
        <f>IF(OR(C133="",D133=""),"",IFERROR(INDEX('Qida bazası'!$F$2:$F$103,MATCH(C133,'Qida bazası'!$A$2:$A$103,0))*D133/100,"?"))</f>
        <v/>
      </c>
      <c r="H133" s="19">
        <f>IF(OR(C133="",D133=""),"",IFERROR(INDEX('Qida bazası'!$G$2:$G$103,MATCH(C133,'Qida bazası'!$A$2:$A$103,0))*D133/100,"?"))</f>
        <v/>
      </c>
    </row>
    <row r="134">
      <c r="A134" s="21" t="n"/>
      <c r="E134" s="18">
        <f>IF(OR(C134="",D134=""),"",IFERROR(INDEX('Qida bazası'!$D$2:$D$103,MATCH(C134,'Qida bazası'!$A$2:$A$103,0))*D134/100,"?"))</f>
        <v/>
      </c>
      <c r="F134" s="19">
        <f>IF(OR(C134="",D134=""),"",IFERROR(INDEX('Qida bazası'!$E$2:$E$103,MATCH(C134,'Qida bazası'!$A$2:$A$103,0))*D134/100,"?"))</f>
        <v/>
      </c>
      <c r="G134" s="19">
        <f>IF(OR(C134="",D134=""),"",IFERROR(INDEX('Qida bazası'!$F$2:$F$103,MATCH(C134,'Qida bazası'!$A$2:$A$103,0))*D134/100,"?"))</f>
        <v/>
      </c>
      <c r="H134" s="19">
        <f>IF(OR(C134="",D134=""),"",IFERROR(INDEX('Qida bazası'!$G$2:$G$103,MATCH(C134,'Qida bazası'!$A$2:$A$103,0))*D134/100,"?"))</f>
        <v/>
      </c>
    </row>
    <row r="135">
      <c r="A135" s="21" t="n"/>
      <c r="E135" s="18">
        <f>IF(OR(C135="",D135=""),"",IFERROR(INDEX('Qida bazası'!$D$2:$D$103,MATCH(C135,'Qida bazası'!$A$2:$A$103,0))*D135/100,"?"))</f>
        <v/>
      </c>
      <c r="F135" s="19">
        <f>IF(OR(C135="",D135=""),"",IFERROR(INDEX('Qida bazası'!$E$2:$E$103,MATCH(C135,'Qida bazası'!$A$2:$A$103,0))*D135/100,"?"))</f>
        <v/>
      </c>
      <c r="G135" s="19">
        <f>IF(OR(C135="",D135=""),"",IFERROR(INDEX('Qida bazası'!$F$2:$F$103,MATCH(C135,'Qida bazası'!$A$2:$A$103,0))*D135/100,"?"))</f>
        <v/>
      </c>
      <c r="H135" s="19">
        <f>IF(OR(C135="",D135=""),"",IFERROR(INDEX('Qida bazası'!$G$2:$G$103,MATCH(C135,'Qida bazası'!$A$2:$A$103,0))*D135/100,"?"))</f>
        <v/>
      </c>
    </row>
    <row r="136">
      <c r="A136" s="21" t="n"/>
      <c r="E136" s="18">
        <f>IF(OR(C136="",D136=""),"",IFERROR(INDEX('Qida bazası'!$D$2:$D$103,MATCH(C136,'Qida bazası'!$A$2:$A$103,0))*D136/100,"?"))</f>
        <v/>
      </c>
      <c r="F136" s="19">
        <f>IF(OR(C136="",D136=""),"",IFERROR(INDEX('Qida bazası'!$E$2:$E$103,MATCH(C136,'Qida bazası'!$A$2:$A$103,0))*D136/100,"?"))</f>
        <v/>
      </c>
      <c r="G136" s="19">
        <f>IF(OR(C136="",D136=""),"",IFERROR(INDEX('Qida bazası'!$F$2:$F$103,MATCH(C136,'Qida bazası'!$A$2:$A$103,0))*D136/100,"?"))</f>
        <v/>
      </c>
      <c r="H136" s="19">
        <f>IF(OR(C136="",D136=""),"",IFERROR(INDEX('Qida bazası'!$G$2:$G$103,MATCH(C136,'Qida bazası'!$A$2:$A$103,0))*D136/100,"?"))</f>
        <v/>
      </c>
    </row>
    <row r="137">
      <c r="A137" s="21" t="n"/>
      <c r="E137" s="18">
        <f>IF(OR(C137="",D137=""),"",IFERROR(INDEX('Qida bazası'!$D$2:$D$103,MATCH(C137,'Qida bazası'!$A$2:$A$103,0))*D137/100,"?"))</f>
        <v/>
      </c>
      <c r="F137" s="19">
        <f>IF(OR(C137="",D137=""),"",IFERROR(INDEX('Qida bazası'!$E$2:$E$103,MATCH(C137,'Qida bazası'!$A$2:$A$103,0))*D137/100,"?"))</f>
        <v/>
      </c>
      <c r="G137" s="19">
        <f>IF(OR(C137="",D137=""),"",IFERROR(INDEX('Qida bazası'!$F$2:$F$103,MATCH(C137,'Qida bazası'!$A$2:$A$103,0))*D137/100,"?"))</f>
        <v/>
      </c>
      <c r="H137" s="19">
        <f>IF(OR(C137="",D137=""),"",IFERROR(INDEX('Qida bazası'!$G$2:$G$103,MATCH(C137,'Qida bazası'!$A$2:$A$103,0))*D137/100,"?"))</f>
        <v/>
      </c>
    </row>
    <row r="138">
      <c r="A138" s="21" t="n"/>
      <c r="E138" s="18">
        <f>IF(OR(C138="",D138=""),"",IFERROR(INDEX('Qida bazası'!$D$2:$D$103,MATCH(C138,'Qida bazası'!$A$2:$A$103,0))*D138/100,"?"))</f>
        <v/>
      </c>
      <c r="F138" s="19">
        <f>IF(OR(C138="",D138=""),"",IFERROR(INDEX('Qida bazası'!$E$2:$E$103,MATCH(C138,'Qida bazası'!$A$2:$A$103,0))*D138/100,"?"))</f>
        <v/>
      </c>
      <c r="G138" s="19">
        <f>IF(OR(C138="",D138=""),"",IFERROR(INDEX('Qida bazası'!$F$2:$F$103,MATCH(C138,'Qida bazası'!$A$2:$A$103,0))*D138/100,"?"))</f>
        <v/>
      </c>
      <c r="H138" s="19">
        <f>IF(OR(C138="",D138=""),"",IFERROR(INDEX('Qida bazası'!$G$2:$G$103,MATCH(C138,'Qida bazası'!$A$2:$A$103,0))*D138/100,"?"))</f>
        <v/>
      </c>
    </row>
    <row r="139">
      <c r="A139" s="21" t="n"/>
      <c r="E139" s="18">
        <f>IF(OR(C139="",D139=""),"",IFERROR(INDEX('Qida bazası'!$D$2:$D$103,MATCH(C139,'Qida bazası'!$A$2:$A$103,0))*D139/100,"?"))</f>
        <v/>
      </c>
      <c r="F139" s="19">
        <f>IF(OR(C139="",D139=""),"",IFERROR(INDEX('Qida bazası'!$E$2:$E$103,MATCH(C139,'Qida bazası'!$A$2:$A$103,0))*D139/100,"?"))</f>
        <v/>
      </c>
      <c r="G139" s="19">
        <f>IF(OR(C139="",D139=""),"",IFERROR(INDEX('Qida bazası'!$F$2:$F$103,MATCH(C139,'Qida bazası'!$A$2:$A$103,0))*D139/100,"?"))</f>
        <v/>
      </c>
      <c r="H139" s="19">
        <f>IF(OR(C139="",D139=""),"",IFERROR(INDEX('Qida bazası'!$G$2:$G$103,MATCH(C139,'Qida bazası'!$A$2:$A$103,0))*D139/100,"?"))</f>
        <v/>
      </c>
    </row>
    <row r="140">
      <c r="A140" s="21" t="n"/>
      <c r="E140" s="18">
        <f>IF(OR(C140="",D140=""),"",IFERROR(INDEX('Qida bazası'!$D$2:$D$103,MATCH(C140,'Qida bazası'!$A$2:$A$103,0))*D140/100,"?"))</f>
        <v/>
      </c>
      <c r="F140" s="19">
        <f>IF(OR(C140="",D140=""),"",IFERROR(INDEX('Qida bazası'!$E$2:$E$103,MATCH(C140,'Qida bazası'!$A$2:$A$103,0))*D140/100,"?"))</f>
        <v/>
      </c>
      <c r="G140" s="19">
        <f>IF(OR(C140="",D140=""),"",IFERROR(INDEX('Qida bazası'!$F$2:$F$103,MATCH(C140,'Qida bazası'!$A$2:$A$103,0))*D140/100,"?"))</f>
        <v/>
      </c>
      <c r="H140" s="19">
        <f>IF(OR(C140="",D140=""),"",IFERROR(INDEX('Qida bazası'!$G$2:$G$103,MATCH(C140,'Qida bazası'!$A$2:$A$103,0))*D140/100,"?"))</f>
        <v/>
      </c>
    </row>
    <row r="141">
      <c r="A141" s="21" t="n"/>
      <c r="E141" s="18">
        <f>IF(OR(C141="",D141=""),"",IFERROR(INDEX('Qida bazası'!$D$2:$D$103,MATCH(C141,'Qida bazası'!$A$2:$A$103,0))*D141/100,"?"))</f>
        <v/>
      </c>
      <c r="F141" s="19">
        <f>IF(OR(C141="",D141=""),"",IFERROR(INDEX('Qida bazası'!$E$2:$E$103,MATCH(C141,'Qida bazası'!$A$2:$A$103,0))*D141/100,"?"))</f>
        <v/>
      </c>
      <c r="G141" s="19">
        <f>IF(OR(C141="",D141=""),"",IFERROR(INDEX('Qida bazası'!$F$2:$F$103,MATCH(C141,'Qida bazası'!$A$2:$A$103,0))*D141/100,"?"))</f>
        <v/>
      </c>
      <c r="H141" s="19">
        <f>IF(OR(C141="",D141=""),"",IFERROR(INDEX('Qida bazası'!$G$2:$G$103,MATCH(C141,'Qida bazası'!$A$2:$A$103,0))*D141/100,"?"))</f>
        <v/>
      </c>
    </row>
    <row r="142">
      <c r="A142" s="21" t="n"/>
      <c r="E142" s="18">
        <f>IF(OR(C142="",D142=""),"",IFERROR(INDEX('Qida bazası'!$D$2:$D$103,MATCH(C142,'Qida bazası'!$A$2:$A$103,0))*D142/100,"?"))</f>
        <v/>
      </c>
      <c r="F142" s="19">
        <f>IF(OR(C142="",D142=""),"",IFERROR(INDEX('Qida bazası'!$E$2:$E$103,MATCH(C142,'Qida bazası'!$A$2:$A$103,0))*D142/100,"?"))</f>
        <v/>
      </c>
      <c r="G142" s="19">
        <f>IF(OR(C142="",D142=""),"",IFERROR(INDEX('Qida bazası'!$F$2:$F$103,MATCH(C142,'Qida bazası'!$A$2:$A$103,0))*D142/100,"?"))</f>
        <v/>
      </c>
      <c r="H142" s="19">
        <f>IF(OR(C142="",D142=""),"",IFERROR(INDEX('Qida bazası'!$G$2:$G$103,MATCH(C142,'Qida bazası'!$A$2:$A$103,0))*D142/100,"?"))</f>
        <v/>
      </c>
    </row>
    <row r="143">
      <c r="A143" s="21" t="n"/>
      <c r="E143" s="18">
        <f>IF(OR(C143="",D143=""),"",IFERROR(INDEX('Qida bazası'!$D$2:$D$103,MATCH(C143,'Qida bazası'!$A$2:$A$103,0))*D143/100,"?"))</f>
        <v/>
      </c>
      <c r="F143" s="19">
        <f>IF(OR(C143="",D143=""),"",IFERROR(INDEX('Qida bazası'!$E$2:$E$103,MATCH(C143,'Qida bazası'!$A$2:$A$103,0))*D143/100,"?"))</f>
        <v/>
      </c>
      <c r="G143" s="19">
        <f>IF(OR(C143="",D143=""),"",IFERROR(INDEX('Qida bazası'!$F$2:$F$103,MATCH(C143,'Qida bazası'!$A$2:$A$103,0))*D143/100,"?"))</f>
        <v/>
      </c>
      <c r="H143" s="19">
        <f>IF(OR(C143="",D143=""),"",IFERROR(INDEX('Qida bazası'!$G$2:$G$103,MATCH(C143,'Qida bazası'!$A$2:$A$103,0))*D143/100,"?"))</f>
        <v/>
      </c>
    </row>
    <row r="144">
      <c r="A144" s="21" t="n"/>
      <c r="E144" s="18">
        <f>IF(OR(C144="",D144=""),"",IFERROR(INDEX('Qida bazası'!$D$2:$D$103,MATCH(C144,'Qida bazası'!$A$2:$A$103,0))*D144/100,"?"))</f>
        <v/>
      </c>
      <c r="F144" s="19">
        <f>IF(OR(C144="",D144=""),"",IFERROR(INDEX('Qida bazası'!$E$2:$E$103,MATCH(C144,'Qida bazası'!$A$2:$A$103,0))*D144/100,"?"))</f>
        <v/>
      </c>
      <c r="G144" s="19">
        <f>IF(OR(C144="",D144=""),"",IFERROR(INDEX('Qida bazası'!$F$2:$F$103,MATCH(C144,'Qida bazası'!$A$2:$A$103,0))*D144/100,"?"))</f>
        <v/>
      </c>
      <c r="H144" s="19">
        <f>IF(OR(C144="",D144=""),"",IFERROR(INDEX('Qida bazası'!$G$2:$G$103,MATCH(C144,'Qida bazası'!$A$2:$A$103,0))*D144/100,"?"))</f>
        <v/>
      </c>
    </row>
    <row r="145">
      <c r="A145" s="21" t="n"/>
      <c r="E145" s="18">
        <f>IF(OR(C145="",D145=""),"",IFERROR(INDEX('Qida bazası'!$D$2:$D$103,MATCH(C145,'Qida bazası'!$A$2:$A$103,0))*D145/100,"?"))</f>
        <v/>
      </c>
      <c r="F145" s="19">
        <f>IF(OR(C145="",D145=""),"",IFERROR(INDEX('Qida bazası'!$E$2:$E$103,MATCH(C145,'Qida bazası'!$A$2:$A$103,0))*D145/100,"?"))</f>
        <v/>
      </c>
      <c r="G145" s="19">
        <f>IF(OR(C145="",D145=""),"",IFERROR(INDEX('Qida bazası'!$F$2:$F$103,MATCH(C145,'Qida bazası'!$A$2:$A$103,0))*D145/100,"?"))</f>
        <v/>
      </c>
      <c r="H145" s="19">
        <f>IF(OR(C145="",D145=""),"",IFERROR(INDEX('Qida bazası'!$G$2:$G$103,MATCH(C145,'Qida bazası'!$A$2:$A$103,0))*D145/100,"?"))</f>
        <v/>
      </c>
    </row>
    <row r="146">
      <c r="A146" s="21" t="n"/>
      <c r="E146" s="18">
        <f>IF(OR(C146="",D146=""),"",IFERROR(INDEX('Qida bazası'!$D$2:$D$103,MATCH(C146,'Qida bazası'!$A$2:$A$103,0))*D146/100,"?"))</f>
        <v/>
      </c>
      <c r="F146" s="19">
        <f>IF(OR(C146="",D146=""),"",IFERROR(INDEX('Qida bazası'!$E$2:$E$103,MATCH(C146,'Qida bazası'!$A$2:$A$103,0))*D146/100,"?"))</f>
        <v/>
      </c>
      <c r="G146" s="19">
        <f>IF(OR(C146="",D146=""),"",IFERROR(INDEX('Qida bazası'!$F$2:$F$103,MATCH(C146,'Qida bazası'!$A$2:$A$103,0))*D146/100,"?"))</f>
        <v/>
      </c>
      <c r="H146" s="19">
        <f>IF(OR(C146="",D146=""),"",IFERROR(INDEX('Qida bazası'!$G$2:$G$103,MATCH(C146,'Qida bazası'!$A$2:$A$103,0))*D146/100,"?"))</f>
        <v/>
      </c>
    </row>
    <row r="147">
      <c r="A147" s="21" t="n"/>
      <c r="E147" s="18">
        <f>IF(OR(C147="",D147=""),"",IFERROR(INDEX('Qida bazası'!$D$2:$D$103,MATCH(C147,'Qida bazası'!$A$2:$A$103,0))*D147/100,"?"))</f>
        <v/>
      </c>
      <c r="F147" s="19">
        <f>IF(OR(C147="",D147=""),"",IFERROR(INDEX('Qida bazası'!$E$2:$E$103,MATCH(C147,'Qida bazası'!$A$2:$A$103,0))*D147/100,"?"))</f>
        <v/>
      </c>
      <c r="G147" s="19">
        <f>IF(OR(C147="",D147=""),"",IFERROR(INDEX('Qida bazası'!$F$2:$F$103,MATCH(C147,'Qida bazası'!$A$2:$A$103,0))*D147/100,"?"))</f>
        <v/>
      </c>
      <c r="H147" s="19">
        <f>IF(OR(C147="",D147=""),"",IFERROR(INDEX('Qida bazası'!$G$2:$G$103,MATCH(C147,'Qida bazası'!$A$2:$A$103,0))*D147/100,"?"))</f>
        <v/>
      </c>
    </row>
    <row r="148">
      <c r="A148" s="21" t="n"/>
      <c r="E148" s="18">
        <f>IF(OR(C148="",D148=""),"",IFERROR(INDEX('Qida bazası'!$D$2:$D$103,MATCH(C148,'Qida bazası'!$A$2:$A$103,0))*D148/100,"?"))</f>
        <v/>
      </c>
      <c r="F148" s="19">
        <f>IF(OR(C148="",D148=""),"",IFERROR(INDEX('Qida bazası'!$E$2:$E$103,MATCH(C148,'Qida bazası'!$A$2:$A$103,0))*D148/100,"?"))</f>
        <v/>
      </c>
      <c r="G148" s="19">
        <f>IF(OR(C148="",D148=""),"",IFERROR(INDEX('Qida bazası'!$F$2:$F$103,MATCH(C148,'Qida bazası'!$A$2:$A$103,0))*D148/100,"?"))</f>
        <v/>
      </c>
      <c r="H148" s="19">
        <f>IF(OR(C148="",D148=""),"",IFERROR(INDEX('Qida bazası'!$G$2:$G$103,MATCH(C148,'Qida bazası'!$A$2:$A$103,0))*D148/100,"?"))</f>
        <v/>
      </c>
    </row>
    <row r="149">
      <c r="A149" s="21" t="n"/>
      <c r="E149" s="18">
        <f>IF(OR(C149="",D149=""),"",IFERROR(INDEX('Qida bazası'!$D$2:$D$103,MATCH(C149,'Qida bazası'!$A$2:$A$103,0))*D149/100,"?"))</f>
        <v/>
      </c>
      <c r="F149" s="19">
        <f>IF(OR(C149="",D149=""),"",IFERROR(INDEX('Qida bazası'!$E$2:$E$103,MATCH(C149,'Qida bazası'!$A$2:$A$103,0))*D149/100,"?"))</f>
        <v/>
      </c>
      <c r="G149" s="19">
        <f>IF(OR(C149="",D149=""),"",IFERROR(INDEX('Qida bazası'!$F$2:$F$103,MATCH(C149,'Qida bazası'!$A$2:$A$103,0))*D149/100,"?"))</f>
        <v/>
      </c>
      <c r="H149" s="19">
        <f>IF(OR(C149="",D149=""),"",IFERROR(INDEX('Qida bazası'!$G$2:$G$103,MATCH(C149,'Qida bazası'!$A$2:$A$103,0))*D149/100,"?"))</f>
        <v/>
      </c>
    </row>
    <row r="150">
      <c r="A150" s="21" t="n"/>
      <c r="E150" s="18">
        <f>IF(OR(C150="",D150=""),"",IFERROR(INDEX('Qida bazası'!$D$2:$D$103,MATCH(C150,'Qida bazası'!$A$2:$A$103,0))*D150/100,"?"))</f>
        <v/>
      </c>
      <c r="F150" s="19">
        <f>IF(OR(C150="",D150=""),"",IFERROR(INDEX('Qida bazası'!$E$2:$E$103,MATCH(C150,'Qida bazası'!$A$2:$A$103,0))*D150/100,"?"))</f>
        <v/>
      </c>
      <c r="G150" s="19">
        <f>IF(OR(C150="",D150=""),"",IFERROR(INDEX('Qida bazası'!$F$2:$F$103,MATCH(C150,'Qida bazası'!$A$2:$A$103,0))*D150/100,"?"))</f>
        <v/>
      </c>
      <c r="H150" s="19">
        <f>IF(OR(C150="",D150=""),"",IFERROR(INDEX('Qida bazası'!$G$2:$G$103,MATCH(C150,'Qida bazası'!$A$2:$A$103,0))*D150/100,"?"))</f>
        <v/>
      </c>
    </row>
    <row r="151">
      <c r="A151" s="21" t="n"/>
      <c r="E151" s="18">
        <f>IF(OR(C151="",D151=""),"",IFERROR(INDEX('Qida bazası'!$D$2:$D$103,MATCH(C151,'Qida bazası'!$A$2:$A$103,0))*D151/100,"?"))</f>
        <v/>
      </c>
      <c r="F151" s="19">
        <f>IF(OR(C151="",D151=""),"",IFERROR(INDEX('Qida bazası'!$E$2:$E$103,MATCH(C151,'Qida bazası'!$A$2:$A$103,0))*D151/100,"?"))</f>
        <v/>
      </c>
      <c r="G151" s="19">
        <f>IF(OR(C151="",D151=""),"",IFERROR(INDEX('Qida bazası'!$F$2:$F$103,MATCH(C151,'Qida bazası'!$A$2:$A$103,0))*D151/100,"?"))</f>
        <v/>
      </c>
      <c r="H151" s="19">
        <f>IF(OR(C151="",D151=""),"",IFERROR(INDEX('Qida bazası'!$G$2:$G$103,MATCH(C151,'Qida bazası'!$A$2:$A$103,0))*D151/100,"?"))</f>
        <v/>
      </c>
    </row>
    <row r="152">
      <c r="A152" s="21" t="n"/>
      <c r="E152" s="18">
        <f>IF(OR(C152="",D152=""),"",IFERROR(INDEX('Qida bazası'!$D$2:$D$103,MATCH(C152,'Qida bazası'!$A$2:$A$103,0))*D152/100,"?"))</f>
        <v/>
      </c>
      <c r="F152" s="19">
        <f>IF(OR(C152="",D152=""),"",IFERROR(INDEX('Qida bazası'!$E$2:$E$103,MATCH(C152,'Qida bazası'!$A$2:$A$103,0))*D152/100,"?"))</f>
        <v/>
      </c>
      <c r="G152" s="19">
        <f>IF(OR(C152="",D152=""),"",IFERROR(INDEX('Qida bazası'!$F$2:$F$103,MATCH(C152,'Qida bazası'!$A$2:$A$103,0))*D152/100,"?"))</f>
        <v/>
      </c>
      <c r="H152" s="19">
        <f>IF(OR(C152="",D152=""),"",IFERROR(INDEX('Qida bazası'!$G$2:$G$103,MATCH(C152,'Qida bazası'!$A$2:$A$103,0))*D152/100,"?"))</f>
        <v/>
      </c>
    </row>
    <row r="153">
      <c r="A153" s="21" t="n"/>
      <c r="E153" s="18">
        <f>IF(OR(C153="",D153=""),"",IFERROR(INDEX('Qida bazası'!$D$2:$D$103,MATCH(C153,'Qida bazası'!$A$2:$A$103,0))*D153/100,"?"))</f>
        <v/>
      </c>
      <c r="F153" s="19">
        <f>IF(OR(C153="",D153=""),"",IFERROR(INDEX('Qida bazası'!$E$2:$E$103,MATCH(C153,'Qida bazası'!$A$2:$A$103,0))*D153/100,"?"))</f>
        <v/>
      </c>
      <c r="G153" s="19">
        <f>IF(OR(C153="",D153=""),"",IFERROR(INDEX('Qida bazası'!$F$2:$F$103,MATCH(C153,'Qida bazası'!$A$2:$A$103,0))*D153/100,"?"))</f>
        <v/>
      </c>
      <c r="H153" s="19">
        <f>IF(OR(C153="",D153=""),"",IFERROR(INDEX('Qida bazası'!$G$2:$G$103,MATCH(C153,'Qida bazası'!$A$2:$A$103,0))*D153/100,"?"))</f>
        <v/>
      </c>
    </row>
    <row r="154">
      <c r="A154" s="21" t="n"/>
      <c r="E154" s="18">
        <f>IF(OR(C154="",D154=""),"",IFERROR(INDEX('Qida bazası'!$D$2:$D$103,MATCH(C154,'Qida bazası'!$A$2:$A$103,0))*D154/100,"?"))</f>
        <v/>
      </c>
      <c r="F154" s="19">
        <f>IF(OR(C154="",D154=""),"",IFERROR(INDEX('Qida bazası'!$E$2:$E$103,MATCH(C154,'Qida bazası'!$A$2:$A$103,0))*D154/100,"?"))</f>
        <v/>
      </c>
      <c r="G154" s="19">
        <f>IF(OR(C154="",D154=""),"",IFERROR(INDEX('Qida bazası'!$F$2:$F$103,MATCH(C154,'Qida bazası'!$A$2:$A$103,0))*D154/100,"?"))</f>
        <v/>
      </c>
      <c r="H154" s="19">
        <f>IF(OR(C154="",D154=""),"",IFERROR(INDEX('Qida bazası'!$G$2:$G$103,MATCH(C154,'Qida bazası'!$A$2:$A$103,0))*D154/100,"?"))</f>
        <v/>
      </c>
    </row>
    <row r="155">
      <c r="A155" s="21" t="n"/>
      <c r="E155" s="18">
        <f>IF(OR(C155="",D155=""),"",IFERROR(INDEX('Qida bazası'!$D$2:$D$103,MATCH(C155,'Qida bazası'!$A$2:$A$103,0))*D155/100,"?"))</f>
        <v/>
      </c>
      <c r="F155" s="19">
        <f>IF(OR(C155="",D155=""),"",IFERROR(INDEX('Qida bazası'!$E$2:$E$103,MATCH(C155,'Qida bazası'!$A$2:$A$103,0))*D155/100,"?"))</f>
        <v/>
      </c>
      <c r="G155" s="19">
        <f>IF(OR(C155="",D155=""),"",IFERROR(INDEX('Qida bazası'!$F$2:$F$103,MATCH(C155,'Qida bazası'!$A$2:$A$103,0))*D155/100,"?"))</f>
        <v/>
      </c>
      <c r="H155" s="19">
        <f>IF(OR(C155="",D155=""),"",IFERROR(INDEX('Qida bazası'!$G$2:$G$103,MATCH(C155,'Qida bazası'!$A$2:$A$103,0))*D155/100,"?"))</f>
        <v/>
      </c>
    </row>
    <row r="156">
      <c r="A156" s="21" t="n"/>
      <c r="E156" s="18">
        <f>IF(OR(C156="",D156=""),"",IFERROR(INDEX('Qida bazası'!$D$2:$D$103,MATCH(C156,'Qida bazası'!$A$2:$A$103,0))*D156/100,"?"))</f>
        <v/>
      </c>
      <c r="F156" s="19">
        <f>IF(OR(C156="",D156=""),"",IFERROR(INDEX('Qida bazası'!$E$2:$E$103,MATCH(C156,'Qida bazası'!$A$2:$A$103,0))*D156/100,"?"))</f>
        <v/>
      </c>
      <c r="G156" s="19">
        <f>IF(OR(C156="",D156=""),"",IFERROR(INDEX('Qida bazası'!$F$2:$F$103,MATCH(C156,'Qida bazası'!$A$2:$A$103,0))*D156/100,"?"))</f>
        <v/>
      </c>
      <c r="H156" s="19">
        <f>IF(OR(C156="",D156=""),"",IFERROR(INDEX('Qida bazası'!$G$2:$G$103,MATCH(C156,'Qida bazası'!$A$2:$A$103,0))*D156/100,"?"))</f>
        <v/>
      </c>
    </row>
    <row r="157">
      <c r="A157" s="21" t="n"/>
      <c r="E157" s="18">
        <f>IF(OR(C157="",D157=""),"",IFERROR(INDEX('Qida bazası'!$D$2:$D$103,MATCH(C157,'Qida bazası'!$A$2:$A$103,0))*D157/100,"?"))</f>
        <v/>
      </c>
      <c r="F157" s="19">
        <f>IF(OR(C157="",D157=""),"",IFERROR(INDEX('Qida bazası'!$E$2:$E$103,MATCH(C157,'Qida bazası'!$A$2:$A$103,0))*D157/100,"?"))</f>
        <v/>
      </c>
      <c r="G157" s="19">
        <f>IF(OR(C157="",D157=""),"",IFERROR(INDEX('Qida bazası'!$F$2:$F$103,MATCH(C157,'Qida bazası'!$A$2:$A$103,0))*D157/100,"?"))</f>
        <v/>
      </c>
      <c r="H157" s="19">
        <f>IF(OR(C157="",D157=""),"",IFERROR(INDEX('Qida bazası'!$G$2:$G$103,MATCH(C157,'Qida bazası'!$A$2:$A$103,0))*D157/100,"?"))</f>
        <v/>
      </c>
    </row>
    <row r="158">
      <c r="A158" s="21" t="n"/>
      <c r="E158" s="18">
        <f>IF(OR(C158="",D158=""),"",IFERROR(INDEX('Qida bazası'!$D$2:$D$103,MATCH(C158,'Qida bazası'!$A$2:$A$103,0))*D158/100,"?"))</f>
        <v/>
      </c>
      <c r="F158" s="19">
        <f>IF(OR(C158="",D158=""),"",IFERROR(INDEX('Qida bazası'!$E$2:$E$103,MATCH(C158,'Qida bazası'!$A$2:$A$103,0))*D158/100,"?"))</f>
        <v/>
      </c>
      <c r="G158" s="19">
        <f>IF(OR(C158="",D158=""),"",IFERROR(INDEX('Qida bazası'!$F$2:$F$103,MATCH(C158,'Qida bazası'!$A$2:$A$103,0))*D158/100,"?"))</f>
        <v/>
      </c>
      <c r="H158" s="19">
        <f>IF(OR(C158="",D158=""),"",IFERROR(INDEX('Qida bazası'!$G$2:$G$103,MATCH(C158,'Qida bazası'!$A$2:$A$103,0))*D158/100,"?"))</f>
        <v/>
      </c>
    </row>
    <row r="159">
      <c r="A159" s="21" t="n"/>
      <c r="E159" s="18">
        <f>IF(OR(C159="",D159=""),"",IFERROR(INDEX('Qida bazası'!$D$2:$D$103,MATCH(C159,'Qida bazası'!$A$2:$A$103,0))*D159/100,"?"))</f>
        <v/>
      </c>
      <c r="F159" s="19">
        <f>IF(OR(C159="",D159=""),"",IFERROR(INDEX('Qida bazası'!$E$2:$E$103,MATCH(C159,'Qida bazası'!$A$2:$A$103,0))*D159/100,"?"))</f>
        <v/>
      </c>
      <c r="G159" s="19">
        <f>IF(OR(C159="",D159=""),"",IFERROR(INDEX('Qida bazası'!$F$2:$F$103,MATCH(C159,'Qida bazası'!$A$2:$A$103,0))*D159/100,"?"))</f>
        <v/>
      </c>
      <c r="H159" s="19">
        <f>IF(OR(C159="",D159=""),"",IFERROR(INDEX('Qida bazası'!$G$2:$G$103,MATCH(C159,'Qida bazası'!$A$2:$A$103,0))*D159/100,"?"))</f>
        <v/>
      </c>
    </row>
    <row r="160">
      <c r="A160" s="21" t="n"/>
      <c r="E160" s="18">
        <f>IF(OR(C160="",D160=""),"",IFERROR(INDEX('Qida bazası'!$D$2:$D$103,MATCH(C160,'Qida bazası'!$A$2:$A$103,0))*D160/100,"?"))</f>
        <v/>
      </c>
      <c r="F160" s="19">
        <f>IF(OR(C160="",D160=""),"",IFERROR(INDEX('Qida bazası'!$E$2:$E$103,MATCH(C160,'Qida bazası'!$A$2:$A$103,0))*D160/100,"?"))</f>
        <v/>
      </c>
      <c r="G160" s="19">
        <f>IF(OR(C160="",D160=""),"",IFERROR(INDEX('Qida bazası'!$F$2:$F$103,MATCH(C160,'Qida bazası'!$A$2:$A$103,0))*D160/100,"?"))</f>
        <v/>
      </c>
      <c r="H160" s="19">
        <f>IF(OR(C160="",D160=""),"",IFERROR(INDEX('Qida bazası'!$G$2:$G$103,MATCH(C160,'Qida bazası'!$A$2:$A$103,0))*D160/100,"?"))</f>
        <v/>
      </c>
    </row>
    <row r="161">
      <c r="A161" s="21" t="n"/>
      <c r="E161" s="18">
        <f>IF(OR(C161="",D161=""),"",IFERROR(INDEX('Qida bazası'!$D$2:$D$103,MATCH(C161,'Qida bazası'!$A$2:$A$103,0))*D161/100,"?"))</f>
        <v/>
      </c>
      <c r="F161" s="19">
        <f>IF(OR(C161="",D161=""),"",IFERROR(INDEX('Qida bazası'!$E$2:$E$103,MATCH(C161,'Qida bazası'!$A$2:$A$103,0))*D161/100,"?"))</f>
        <v/>
      </c>
      <c r="G161" s="19">
        <f>IF(OR(C161="",D161=""),"",IFERROR(INDEX('Qida bazası'!$F$2:$F$103,MATCH(C161,'Qida bazası'!$A$2:$A$103,0))*D161/100,"?"))</f>
        <v/>
      </c>
      <c r="H161" s="19">
        <f>IF(OR(C161="",D161=""),"",IFERROR(INDEX('Qida bazası'!$G$2:$G$103,MATCH(C161,'Qida bazası'!$A$2:$A$103,0))*D161/100,"?"))</f>
        <v/>
      </c>
    </row>
    <row r="162">
      <c r="A162" s="21" t="n"/>
      <c r="E162" s="18">
        <f>IF(OR(C162="",D162=""),"",IFERROR(INDEX('Qida bazası'!$D$2:$D$103,MATCH(C162,'Qida bazası'!$A$2:$A$103,0))*D162/100,"?"))</f>
        <v/>
      </c>
      <c r="F162" s="19">
        <f>IF(OR(C162="",D162=""),"",IFERROR(INDEX('Qida bazası'!$E$2:$E$103,MATCH(C162,'Qida bazası'!$A$2:$A$103,0))*D162/100,"?"))</f>
        <v/>
      </c>
      <c r="G162" s="19">
        <f>IF(OR(C162="",D162=""),"",IFERROR(INDEX('Qida bazası'!$F$2:$F$103,MATCH(C162,'Qida bazası'!$A$2:$A$103,0))*D162/100,"?"))</f>
        <v/>
      </c>
      <c r="H162" s="19">
        <f>IF(OR(C162="",D162=""),"",IFERROR(INDEX('Qida bazası'!$G$2:$G$103,MATCH(C162,'Qida bazası'!$A$2:$A$103,0))*D162/100,"?"))</f>
        <v/>
      </c>
    </row>
    <row r="163">
      <c r="A163" s="21" t="n"/>
      <c r="E163" s="18">
        <f>IF(OR(C163="",D163=""),"",IFERROR(INDEX('Qida bazası'!$D$2:$D$103,MATCH(C163,'Qida bazası'!$A$2:$A$103,0))*D163/100,"?"))</f>
        <v/>
      </c>
      <c r="F163" s="19">
        <f>IF(OR(C163="",D163=""),"",IFERROR(INDEX('Qida bazası'!$E$2:$E$103,MATCH(C163,'Qida bazası'!$A$2:$A$103,0))*D163/100,"?"))</f>
        <v/>
      </c>
      <c r="G163" s="19">
        <f>IF(OR(C163="",D163=""),"",IFERROR(INDEX('Qida bazası'!$F$2:$F$103,MATCH(C163,'Qida bazası'!$A$2:$A$103,0))*D163/100,"?"))</f>
        <v/>
      </c>
      <c r="H163" s="19">
        <f>IF(OR(C163="",D163=""),"",IFERROR(INDEX('Qida bazası'!$G$2:$G$103,MATCH(C163,'Qida bazası'!$A$2:$A$103,0))*D163/100,"?"))</f>
        <v/>
      </c>
    </row>
    <row r="164">
      <c r="A164" s="21" t="n"/>
      <c r="E164" s="18">
        <f>IF(OR(C164="",D164=""),"",IFERROR(INDEX('Qida bazası'!$D$2:$D$103,MATCH(C164,'Qida bazası'!$A$2:$A$103,0))*D164/100,"?"))</f>
        <v/>
      </c>
      <c r="F164" s="19">
        <f>IF(OR(C164="",D164=""),"",IFERROR(INDEX('Qida bazası'!$E$2:$E$103,MATCH(C164,'Qida bazası'!$A$2:$A$103,0))*D164/100,"?"))</f>
        <v/>
      </c>
      <c r="G164" s="19">
        <f>IF(OR(C164="",D164=""),"",IFERROR(INDEX('Qida bazası'!$F$2:$F$103,MATCH(C164,'Qida bazası'!$A$2:$A$103,0))*D164/100,"?"))</f>
        <v/>
      </c>
      <c r="H164" s="19">
        <f>IF(OR(C164="",D164=""),"",IFERROR(INDEX('Qida bazası'!$G$2:$G$103,MATCH(C164,'Qida bazası'!$A$2:$A$103,0))*D164/100,"?"))</f>
        <v/>
      </c>
    </row>
    <row r="165">
      <c r="A165" s="21" t="n"/>
      <c r="E165" s="18">
        <f>IF(OR(C165="",D165=""),"",IFERROR(INDEX('Qida bazası'!$D$2:$D$103,MATCH(C165,'Qida bazası'!$A$2:$A$103,0))*D165/100,"?"))</f>
        <v/>
      </c>
      <c r="F165" s="19">
        <f>IF(OR(C165="",D165=""),"",IFERROR(INDEX('Qida bazası'!$E$2:$E$103,MATCH(C165,'Qida bazası'!$A$2:$A$103,0))*D165/100,"?"))</f>
        <v/>
      </c>
      <c r="G165" s="19">
        <f>IF(OR(C165="",D165=""),"",IFERROR(INDEX('Qida bazası'!$F$2:$F$103,MATCH(C165,'Qida bazası'!$A$2:$A$103,0))*D165/100,"?"))</f>
        <v/>
      </c>
      <c r="H165" s="19">
        <f>IF(OR(C165="",D165=""),"",IFERROR(INDEX('Qida bazası'!$G$2:$G$103,MATCH(C165,'Qida bazası'!$A$2:$A$103,0))*D165/100,"?"))</f>
        <v/>
      </c>
    </row>
    <row r="166">
      <c r="A166" s="21" t="n"/>
      <c r="E166" s="18">
        <f>IF(OR(C166="",D166=""),"",IFERROR(INDEX('Qida bazası'!$D$2:$D$103,MATCH(C166,'Qida bazası'!$A$2:$A$103,0))*D166/100,"?"))</f>
        <v/>
      </c>
      <c r="F166" s="19">
        <f>IF(OR(C166="",D166=""),"",IFERROR(INDEX('Qida bazası'!$E$2:$E$103,MATCH(C166,'Qida bazası'!$A$2:$A$103,0))*D166/100,"?"))</f>
        <v/>
      </c>
      <c r="G166" s="19">
        <f>IF(OR(C166="",D166=""),"",IFERROR(INDEX('Qida bazası'!$F$2:$F$103,MATCH(C166,'Qida bazası'!$A$2:$A$103,0))*D166/100,"?"))</f>
        <v/>
      </c>
      <c r="H166" s="19">
        <f>IF(OR(C166="",D166=""),"",IFERROR(INDEX('Qida bazası'!$G$2:$G$103,MATCH(C166,'Qida bazası'!$A$2:$A$103,0))*D166/100,"?"))</f>
        <v/>
      </c>
    </row>
    <row r="167">
      <c r="A167" s="21" t="n"/>
      <c r="E167" s="18">
        <f>IF(OR(C167="",D167=""),"",IFERROR(INDEX('Qida bazası'!$D$2:$D$103,MATCH(C167,'Qida bazası'!$A$2:$A$103,0))*D167/100,"?"))</f>
        <v/>
      </c>
      <c r="F167" s="19">
        <f>IF(OR(C167="",D167=""),"",IFERROR(INDEX('Qida bazası'!$E$2:$E$103,MATCH(C167,'Qida bazası'!$A$2:$A$103,0))*D167/100,"?"))</f>
        <v/>
      </c>
      <c r="G167" s="19">
        <f>IF(OR(C167="",D167=""),"",IFERROR(INDEX('Qida bazası'!$F$2:$F$103,MATCH(C167,'Qida bazası'!$A$2:$A$103,0))*D167/100,"?"))</f>
        <v/>
      </c>
      <c r="H167" s="19">
        <f>IF(OR(C167="",D167=""),"",IFERROR(INDEX('Qida bazası'!$G$2:$G$103,MATCH(C167,'Qida bazası'!$A$2:$A$103,0))*D167/100,"?"))</f>
        <v/>
      </c>
    </row>
    <row r="168">
      <c r="A168" s="21" t="n"/>
      <c r="E168" s="18">
        <f>IF(OR(C168="",D168=""),"",IFERROR(INDEX('Qida bazası'!$D$2:$D$103,MATCH(C168,'Qida bazası'!$A$2:$A$103,0))*D168/100,"?"))</f>
        <v/>
      </c>
      <c r="F168" s="19">
        <f>IF(OR(C168="",D168=""),"",IFERROR(INDEX('Qida bazası'!$E$2:$E$103,MATCH(C168,'Qida bazası'!$A$2:$A$103,0))*D168/100,"?"))</f>
        <v/>
      </c>
      <c r="G168" s="19">
        <f>IF(OR(C168="",D168=""),"",IFERROR(INDEX('Qida bazası'!$F$2:$F$103,MATCH(C168,'Qida bazası'!$A$2:$A$103,0))*D168/100,"?"))</f>
        <v/>
      </c>
      <c r="H168" s="19">
        <f>IF(OR(C168="",D168=""),"",IFERROR(INDEX('Qida bazası'!$G$2:$G$103,MATCH(C168,'Qida bazası'!$A$2:$A$103,0))*D168/100,"?"))</f>
        <v/>
      </c>
    </row>
    <row r="169">
      <c r="A169" s="21" t="n"/>
      <c r="E169" s="18">
        <f>IF(OR(C169="",D169=""),"",IFERROR(INDEX('Qida bazası'!$D$2:$D$103,MATCH(C169,'Qida bazası'!$A$2:$A$103,0))*D169/100,"?"))</f>
        <v/>
      </c>
      <c r="F169" s="19">
        <f>IF(OR(C169="",D169=""),"",IFERROR(INDEX('Qida bazası'!$E$2:$E$103,MATCH(C169,'Qida bazası'!$A$2:$A$103,0))*D169/100,"?"))</f>
        <v/>
      </c>
      <c r="G169" s="19">
        <f>IF(OR(C169="",D169=""),"",IFERROR(INDEX('Qida bazası'!$F$2:$F$103,MATCH(C169,'Qida bazası'!$A$2:$A$103,0))*D169/100,"?"))</f>
        <v/>
      </c>
      <c r="H169" s="19">
        <f>IF(OR(C169="",D169=""),"",IFERROR(INDEX('Qida bazası'!$G$2:$G$103,MATCH(C169,'Qida bazası'!$A$2:$A$103,0))*D169/100,"?"))</f>
        <v/>
      </c>
    </row>
    <row r="170">
      <c r="A170" s="21" t="n"/>
      <c r="E170" s="18">
        <f>IF(OR(C170="",D170=""),"",IFERROR(INDEX('Qida bazası'!$D$2:$D$103,MATCH(C170,'Qida bazası'!$A$2:$A$103,0))*D170/100,"?"))</f>
        <v/>
      </c>
      <c r="F170" s="19">
        <f>IF(OR(C170="",D170=""),"",IFERROR(INDEX('Qida bazası'!$E$2:$E$103,MATCH(C170,'Qida bazası'!$A$2:$A$103,0))*D170/100,"?"))</f>
        <v/>
      </c>
      <c r="G170" s="19">
        <f>IF(OR(C170="",D170=""),"",IFERROR(INDEX('Qida bazası'!$F$2:$F$103,MATCH(C170,'Qida bazası'!$A$2:$A$103,0))*D170/100,"?"))</f>
        <v/>
      </c>
      <c r="H170" s="19">
        <f>IF(OR(C170="",D170=""),"",IFERROR(INDEX('Qida bazası'!$G$2:$G$103,MATCH(C170,'Qida bazası'!$A$2:$A$103,0))*D170/100,"?"))</f>
        <v/>
      </c>
    </row>
    <row r="171">
      <c r="A171" s="21" t="n"/>
      <c r="E171" s="18">
        <f>IF(OR(C171="",D171=""),"",IFERROR(INDEX('Qida bazası'!$D$2:$D$103,MATCH(C171,'Qida bazası'!$A$2:$A$103,0))*D171/100,"?"))</f>
        <v/>
      </c>
      <c r="F171" s="19">
        <f>IF(OR(C171="",D171=""),"",IFERROR(INDEX('Qida bazası'!$E$2:$E$103,MATCH(C171,'Qida bazası'!$A$2:$A$103,0))*D171/100,"?"))</f>
        <v/>
      </c>
      <c r="G171" s="19">
        <f>IF(OR(C171="",D171=""),"",IFERROR(INDEX('Qida bazası'!$F$2:$F$103,MATCH(C171,'Qida bazası'!$A$2:$A$103,0))*D171/100,"?"))</f>
        <v/>
      </c>
      <c r="H171" s="19">
        <f>IF(OR(C171="",D171=""),"",IFERROR(INDEX('Qida bazası'!$G$2:$G$103,MATCH(C171,'Qida bazası'!$A$2:$A$103,0))*D171/100,"?"))</f>
        <v/>
      </c>
    </row>
    <row r="172">
      <c r="A172" s="21" t="n"/>
      <c r="E172" s="18">
        <f>IF(OR(C172="",D172=""),"",IFERROR(INDEX('Qida bazası'!$D$2:$D$103,MATCH(C172,'Qida bazası'!$A$2:$A$103,0))*D172/100,"?"))</f>
        <v/>
      </c>
      <c r="F172" s="19">
        <f>IF(OR(C172="",D172=""),"",IFERROR(INDEX('Qida bazası'!$E$2:$E$103,MATCH(C172,'Qida bazası'!$A$2:$A$103,0))*D172/100,"?"))</f>
        <v/>
      </c>
      <c r="G172" s="19">
        <f>IF(OR(C172="",D172=""),"",IFERROR(INDEX('Qida bazası'!$F$2:$F$103,MATCH(C172,'Qida bazası'!$A$2:$A$103,0))*D172/100,"?"))</f>
        <v/>
      </c>
      <c r="H172" s="19">
        <f>IF(OR(C172="",D172=""),"",IFERROR(INDEX('Qida bazası'!$G$2:$G$103,MATCH(C172,'Qida bazası'!$A$2:$A$103,0))*D172/100,"?"))</f>
        <v/>
      </c>
    </row>
    <row r="173">
      <c r="A173" s="21" t="n"/>
      <c r="E173" s="18">
        <f>IF(OR(C173="",D173=""),"",IFERROR(INDEX('Qida bazası'!$D$2:$D$103,MATCH(C173,'Qida bazası'!$A$2:$A$103,0))*D173/100,"?"))</f>
        <v/>
      </c>
      <c r="F173" s="19">
        <f>IF(OR(C173="",D173=""),"",IFERROR(INDEX('Qida bazası'!$E$2:$E$103,MATCH(C173,'Qida bazası'!$A$2:$A$103,0))*D173/100,"?"))</f>
        <v/>
      </c>
      <c r="G173" s="19">
        <f>IF(OR(C173="",D173=""),"",IFERROR(INDEX('Qida bazası'!$F$2:$F$103,MATCH(C173,'Qida bazası'!$A$2:$A$103,0))*D173/100,"?"))</f>
        <v/>
      </c>
      <c r="H173" s="19">
        <f>IF(OR(C173="",D173=""),"",IFERROR(INDEX('Qida bazası'!$G$2:$G$103,MATCH(C173,'Qida bazası'!$A$2:$A$103,0))*D173/100,"?"))</f>
        <v/>
      </c>
    </row>
    <row r="174">
      <c r="A174" s="21" t="n"/>
      <c r="E174" s="18">
        <f>IF(OR(C174="",D174=""),"",IFERROR(INDEX('Qida bazası'!$D$2:$D$103,MATCH(C174,'Qida bazası'!$A$2:$A$103,0))*D174/100,"?"))</f>
        <v/>
      </c>
      <c r="F174" s="19">
        <f>IF(OR(C174="",D174=""),"",IFERROR(INDEX('Qida bazası'!$E$2:$E$103,MATCH(C174,'Qida bazası'!$A$2:$A$103,0))*D174/100,"?"))</f>
        <v/>
      </c>
      <c r="G174" s="19">
        <f>IF(OR(C174="",D174=""),"",IFERROR(INDEX('Qida bazası'!$F$2:$F$103,MATCH(C174,'Qida bazası'!$A$2:$A$103,0))*D174/100,"?"))</f>
        <v/>
      </c>
      <c r="H174" s="19">
        <f>IF(OR(C174="",D174=""),"",IFERROR(INDEX('Qida bazası'!$G$2:$G$103,MATCH(C174,'Qida bazası'!$A$2:$A$103,0))*D174/100,"?"))</f>
        <v/>
      </c>
    </row>
    <row r="175">
      <c r="A175" s="21" t="n"/>
      <c r="E175" s="18">
        <f>IF(OR(C175="",D175=""),"",IFERROR(INDEX('Qida bazası'!$D$2:$D$103,MATCH(C175,'Qida bazası'!$A$2:$A$103,0))*D175/100,"?"))</f>
        <v/>
      </c>
      <c r="F175" s="19">
        <f>IF(OR(C175="",D175=""),"",IFERROR(INDEX('Qida bazası'!$E$2:$E$103,MATCH(C175,'Qida bazası'!$A$2:$A$103,0))*D175/100,"?"))</f>
        <v/>
      </c>
      <c r="G175" s="19">
        <f>IF(OR(C175="",D175=""),"",IFERROR(INDEX('Qida bazası'!$F$2:$F$103,MATCH(C175,'Qida bazası'!$A$2:$A$103,0))*D175/100,"?"))</f>
        <v/>
      </c>
      <c r="H175" s="19">
        <f>IF(OR(C175="",D175=""),"",IFERROR(INDEX('Qida bazası'!$G$2:$G$103,MATCH(C175,'Qida bazası'!$A$2:$A$103,0))*D175/100,"?"))</f>
        <v/>
      </c>
    </row>
    <row r="176">
      <c r="A176" s="21" t="n"/>
      <c r="E176" s="18">
        <f>IF(OR(C176="",D176=""),"",IFERROR(INDEX('Qida bazası'!$D$2:$D$103,MATCH(C176,'Qida bazası'!$A$2:$A$103,0))*D176/100,"?"))</f>
        <v/>
      </c>
      <c r="F176" s="19">
        <f>IF(OR(C176="",D176=""),"",IFERROR(INDEX('Qida bazası'!$E$2:$E$103,MATCH(C176,'Qida bazası'!$A$2:$A$103,0))*D176/100,"?"))</f>
        <v/>
      </c>
      <c r="G176" s="19">
        <f>IF(OR(C176="",D176=""),"",IFERROR(INDEX('Qida bazası'!$F$2:$F$103,MATCH(C176,'Qida bazası'!$A$2:$A$103,0))*D176/100,"?"))</f>
        <v/>
      </c>
      <c r="H176" s="19">
        <f>IF(OR(C176="",D176=""),"",IFERROR(INDEX('Qida bazası'!$G$2:$G$103,MATCH(C176,'Qida bazası'!$A$2:$A$103,0))*D176/100,"?"))</f>
        <v/>
      </c>
    </row>
    <row r="177">
      <c r="A177" s="21" t="n"/>
      <c r="E177" s="18">
        <f>IF(OR(C177="",D177=""),"",IFERROR(INDEX('Qida bazası'!$D$2:$D$103,MATCH(C177,'Qida bazası'!$A$2:$A$103,0))*D177/100,"?"))</f>
        <v/>
      </c>
      <c r="F177" s="19">
        <f>IF(OR(C177="",D177=""),"",IFERROR(INDEX('Qida bazası'!$E$2:$E$103,MATCH(C177,'Qida bazası'!$A$2:$A$103,0))*D177/100,"?"))</f>
        <v/>
      </c>
      <c r="G177" s="19">
        <f>IF(OR(C177="",D177=""),"",IFERROR(INDEX('Qida bazası'!$F$2:$F$103,MATCH(C177,'Qida bazası'!$A$2:$A$103,0))*D177/100,"?"))</f>
        <v/>
      </c>
      <c r="H177" s="19">
        <f>IF(OR(C177="",D177=""),"",IFERROR(INDEX('Qida bazası'!$G$2:$G$103,MATCH(C177,'Qida bazası'!$A$2:$A$103,0))*D177/100,"?"))</f>
        <v/>
      </c>
    </row>
    <row r="178">
      <c r="A178" s="21" t="n"/>
      <c r="E178" s="18">
        <f>IF(OR(C178="",D178=""),"",IFERROR(INDEX('Qida bazası'!$D$2:$D$103,MATCH(C178,'Qida bazası'!$A$2:$A$103,0))*D178/100,"?"))</f>
        <v/>
      </c>
      <c r="F178" s="19">
        <f>IF(OR(C178="",D178=""),"",IFERROR(INDEX('Qida bazası'!$E$2:$E$103,MATCH(C178,'Qida bazası'!$A$2:$A$103,0))*D178/100,"?"))</f>
        <v/>
      </c>
      <c r="G178" s="19">
        <f>IF(OR(C178="",D178=""),"",IFERROR(INDEX('Qida bazası'!$F$2:$F$103,MATCH(C178,'Qida bazası'!$A$2:$A$103,0))*D178/100,"?"))</f>
        <v/>
      </c>
      <c r="H178" s="19">
        <f>IF(OR(C178="",D178=""),"",IFERROR(INDEX('Qida bazası'!$G$2:$G$103,MATCH(C178,'Qida bazası'!$A$2:$A$103,0))*D178/100,"?"))</f>
        <v/>
      </c>
    </row>
    <row r="179">
      <c r="A179" s="21" t="n"/>
      <c r="E179" s="18">
        <f>IF(OR(C179="",D179=""),"",IFERROR(INDEX('Qida bazası'!$D$2:$D$103,MATCH(C179,'Qida bazası'!$A$2:$A$103,0))*D179/100,"?"))</f>
        <v/>
      </c>
      <c r="F179" s="19">
        <f>IF(OR(C179="",D179=""),"",IFERROR(INDEX('Qida bazası'!$E$2:$E$103,MATCH(C179,'Qida bazası'!$A$2:$A$103,0))*D179/100,"?"))</f>
        <v/>
      </c>
      <c r="G179" s="19">
        <f>IF(OR(C179="",D179=""),"",IFERROR(INDEX('Qida bazası'!$F$2:$F$103,MATCH(C179,'Qida bazası'!$A$2:$A$103,0))*D179/100,"?"))</f>
        <v/>
      </c>
      <c r="H179" s="19">
        <f>IF(OR(C179="",D179=""),"",IFERROR(INDEX('Qida bazası'!$G$2:$G$103,MATCH(C179,'Qida bazası'!$A$2:$A$103,0))*D179/100,"?"))</f>
        <v/>
      </c>
    </row>
    <row r="180">
      <c r="A180" s="21" t="n"/>
      <c r="E180" s="18">
        <f>IF(OR(C180="",D180=""),"",IFERROR(INDEX('Qida bazası'!$D$2:$D$103,MATCH(C180,'Qida bazası'!$A$2:$A$103,0))*D180/100,"?"))</f>
        <v/>
      </c>
      <c r="F180" s="19">
        <f>IF(OR(C180="",D180=""),"",IFERROR(INDEX('Qida bazası'!$E$2:$E$103,MATCH(C180,'Qida bazası'!$A$2:$A$103,0))*D180/100,"?"))</f>
        <v/>
      </c>
      <c r="G180" s="19">
        <f>IF(OR(C180="",D180=""),"",IFERROR(INDEX('Qida bazası'!$F$2:$F$103,MATCH(C180,'Qida bazası'!$A$2:$A$103,0))*D180/100,"?"))</f>
        <v/>
      </c>
      <c r="H180" s="19">
        <f>IF(OR(C180="",D180=""),"",IFERROR(INDEX('Qida bazası'!$G$2:$G$103,MATCH(C180,'Qida bazası'!$A$2:$A$103,0))*D180/100,"?"))</f>
        <v/>
      </c>
    </row>
    <row r="181">
      <c r="A181" s="21" t="n"/>
      <c r="E181" s="18">
        <f>IF(OR(C181="",D181=""),"",IFERROR(INDEX('Qida bazası'!$D$2:$D$103,MATCH(C181,'Qida bazası'!$A$2:$A$103,0))*D181/100,"?"))</f>
        <v/>
      </c>
      <c r="F181" s="19">
        <f>IF(OR(C181="",D181=""),"",IFERROR(INDEX('Qida bazası'!$E$2:$E$103,MATCH(C181,'Qida bazası'!$A$2:$A$103,0))*D181/100,"?"))</f>
        <v/>
      </c>
      <c r="G181" s="19">
        <f>IF(OR(C181="",D181=""),"",IFERROR(INDEX('Qida bazası'!$F$2:$F$103,MATCH(C181,'Qida bazası'!$A$2:$A$103,0))*D181/100,"?"))</f>
        <v/>
      </c>
      <c r="H181" s="19">
        <f>IF(OR(C181="",D181=""),"",IFERROR(INDEX('Qida bazası'!$G$2:$G$103,MATCH(C181,'Qida bazası'!$A$2:$A$103,0))*D181/100,"?"))</f>
        <v/>
      </c>
    </row>
    <row r="182">
      <c r="A182" s="21" t="n"/>
      <c r="E182" s="18">
        <f>IF(OR(C182="",D182=""),"",IFERROR(INDEX('Qida bazası'!$D$2:$D$103,MATCH(C182,'Qida bazası'!$A$2:$A$103,0))*D182/100,"?"))</f>
        <v/>
      </c>
      <c r="F182" s="19">
        <f>IF(OR(C182="",D182=""),"",IFERROR(INDEX('Qida bazası'!$E$2:$E$103,MATCH(C182,'Qida bazası'!$A$2:$A$103,0))*D182/100,"?"))</f>
        <v/>
      </c>
      <c r="G182" s="19">
        <f>IF(OR(C182="",D182=""),"",IFERROR(INDEX('Qida bazası'!$F$2:$F$103,MATCH(C182,'Qida bazası'!$A$2:$A$103,0))*D182/100,"?"))</f>
        <v/>
      </c>
      <c r="H182" s="19">
        <f>IF(OR(C182="",D182=""),"",IFERROR(INDEX('Qida bazası'!$G$2:$G$103,MATCH(C182,'Qida bazası'!$A$2:$A$103,0))*D182/100,"?"))</f>
        <v/>
      </c>
    </row>
    <row r="183">
      <c r="A183" s="21" t="n"/>
      <c r="E183" s="18">
        <f>IF(OR(C183="",D183=""),"",IFERROR(INDEX('Qida bazası'!$D$2:$D$103,MATCH(C183,'Qida bazası'!$A$2:$A$103,0))*D183/100,"?"))</f>
        <v/>
      </c>
      <c r="F183" s="19">
        <f>IF(OR(C183="",D183=""),"",IFERROR(INDEX('Qida bazası'!$E$2:$E$103,MATCH(C183,'Qida bazası'!$A$2:$A$103,0))*D183/100,"?"))</f>
        <v/>
      </c>
      <c r="G183" s="19">
        <f>IF(OR(C183="",D183=""),"",IFERROR(INDEX('Qida bazası'!$F$2:$F$103,MATCH(C183,'Qida bazası'!$A$2:$A$103,0))*D183/100,"?"))</f>
        <v/>
      </c>
      <c r="H183" s="19">
        <f>IF(OR(C183="",D183=""),"",IFERROR(INDEX('Qida bazası'!$G$2:$G$103,MATCH(C183,'Qida bazası'!$A$2:$A$103,0))*D183/100,"?"))</f>
        <v/>
      </c>
    </row>
    <row r="184">
      <c r="A184" s="21" t="n"/>
      <c r="E184" s="18">
        <f>IF(OR(C184="",D184=""),"",IFERROR(INDEX('Qida bazası'!$D$2:$D$103,MATCH(C184,'Qida bazası'!$A$2:$A$103,0))*D184/100,"?"))</f>
        <v/>
      </c>
      <c r="F184" s="19">
        <f>IF(OR(C184="",D184=""),"",IFERROR(INDEX('Qida bazası'!$E$2:$E$103,MATCH(C184,'Qida bazası'!$A$2:$A$103,0))*D184/100,"?"))</f>
        <v/>
      </c>
      <c r="G184" s="19">
        <f>IF(OR(C184="",D184=""),"",IFERROR(INDEX('Qida bazası'!$F$2:$F$103,MATCH(C184,'Qida bazası'!$A$2:$A$103,0))*D184/100,"?"))</f>
        <v/>
      </c>
      <c r="H184" s="19">
        <f>IF(OR(C184="",D184=""),"",IFERROR(INDEX('Qida bazası'!$G$2:$G$103,MATCH(C184,'Qida bazası'!$A$2:$A$103,0))*D184/100,"?"))</f>
        <v/>
      </c>
    </row>
    <row r="185">
      <c r="A185" s="21" t="n"/>
      <c r="E185" s="18">
        <f>IF(OR(C185="",D185=""),"",IFERROR(INDEX('Qida bazası'!$D$2:$D$103,MATCH(C185,'Qida bazası'!$A$2:$A$103,0))*D185/100,"?"))</f>
        <v/>
      </c>
      <c r="F185" s="19">
        <f>IF(OR(C185="",D185=""),"",IFERROR(INDEX('Qida bazası'!$E$2:$E$103,MATCH(C185,'Qida bazası'!$A$2:$A$103,0))*D185/100,"?"))</f>
        <v/>
      </c>
      <c r="G185" s="19">
        <f>IF(OR(C185="",D185=""),"",IFERROR(INDEX('Qida bazası'!$F$2:$F$103,MATCH(C185,'Qida bazası'!$A$2:$A$103,0))*D185/100,"?"))</f>
        <v/>
      </c>
      <c r="H185" s="19">
        <f>IF(OR(C185="",D185=""),"",IFERROR(INDEX('Qida bazası'!$G$2:$G$103,MATCH(C185,'Qida bazası'!$A$2:$A$103,0))*D185/100,"?"))</f>
        <v/>
      </c>
    </row>
    <row r="186">
      <c r="A186" s="21" t="n"/>
      <c r="E186" s="18">
        <f>IF(OR(C186="",D186=""),"",IFERROR(INDEX('Qida bazası'!$D$2:$D$103,MATCH(C186,'Qida bazası'!$A$2:$A$103,0))*D186/100,"?"))</f>
        <v/>
      </c>
      <c r="F186" s="19">
        <f>IF(OR(C186="",D186=""),"",IFERROR(INDEX('Qida bazası'!$E$2:$E$103,MATCH(C186,'Qida bazası'!$A$2:$A$103,0))*D186/100,"?"))</f>
        <v/>
      </c>
      <c r="G186" s="19">
        <f>IF(OR(C186="",D186=""),"",IFERROR(INDEX('Qida bazası'!$F$2:$F$103,MATCH(C186,'Qida bazası'!$A$2:$A$103,0))*D186/100,"?"))</f>
        <v/>
      </c>
      <c r="H186" s="19">
        <f>IF(OR(C186="",D186=""),"",IFERROR(INDEX('Qida bazası'!$G$2:$G$103,MATCH(C186,'Qida bazası'!$A$2:$A$103,0))*D186/100,"?"))</f>
        <v/>
      </c>
    </row>
    <row r="187">
      <c r="A187" s="21" t="n"/>
      <c r="E187" s="18">
        <f>IF(OR(C187="",D187=""),"",IFERROR(INDEX('Qida bazası'!$D$2:$D$103,MATCH(C187,'Qida bazası'!$A$2:$A$103,0))*D187/100,"?"))</f>
        <v/>
      </c>
      <c r="F187" s="19">
        <f>IF(OR(C187="",D187=""),"",IFERROR(INDEX('Qida bazası'!$E$2:$E$103,MATCH(C187,'Qida bazası'!$A$2:$A$103,0))*D187/100,"?"))</f>
        <v/>
      </c>
      <c r="G187" s="19">
        <f>IF(OR(C187="",D187=""),"",IFERROR(INDEX('Qida bazası'!$F$2:$F$103,MATCH(C187,'Qida bazası'!$A$2:$A$103,0))*D187/100,"?"))</f>
        <v/>
      </c>
      <c r="H187" s="19">
        <f>IF(OR(C187="",D187=""),"",IFERROR(INDEX('Qida bazası'!$G$2:$G$103,MATCH(C187,'Qida bazası'!$A$2:$A$103,0))*D187/100,"?"))</f>
        <v/>
      </c>
    </row>
    <row r="188">
      <c r="A188" s="21" t="n"/>
      <c r="E188" s="18">
        <f>IF(OR(C188="",D188=""),"",IFERROR(INDEX('Qida bazası'!$D$2:$D$103,MATCH(C188,'Qida bazası'!$A$2:$A$103,0))*D188/100,"?"))</f>
        <v/>
      </c>
      <c r="F188" s="19">
        <f>IF(OR(C188="",D188=""),"",IFERROR(INDEX('Qida bazası'!$E$2:$E$103,MATCH(C188,'Qida bazası'!$A$2:$A$103,0))*D188/100,"?"))</f>
        <v/>
      </c>
      <c r="G188" s="19">
        <f>IF(OR(C188="",D188=""),"",IFERROR(INDEX('Qida bazası'!$F$2:$F$103,MATCH(C188,'Qida bazası'!$A$2:$A$103,0))*D188/100,"?"))</f>
        <v/>
      </c>
      <c r="H188" s="19">
        <f>IF(OR(C188="",D188=""),"",IFERROR(INDEX('Qida bazası'!$G$2:$G$103,MATCH(C188,'Qida bazası'!$A$2:$A$103,0))*D188/100,"?"))</f>
        <v/>
      </c>
    </row>
    <row r="189">
      <c r="A189" s="21" t="n"/>
      <c r="E189" s="18">
        <f>IF(OR(C189="",D189=""),"",IFERROR(INDEX('Qida bazası'!$D$2:$D$103,MATCH(C189,'Qida bazası'!$A$2:$A$103,0))*D189/100,"?"))</f>
        <v/>
      </c>
      <c r="F189" s="19">
        <f>IF(OR(C189="",D189=""),"",IFERROR(INDEX('Qida bazası'!$E$2:$E$103,MATCH(C189,'Qida bazası'!$A$2:$A$103,0))*D189/100,"?"))</f>
        <v/>
      </c>
      <c r="G189" s="19">
        <f>IF(OR(C189="",D189=""),"",IFERROR(INDEX('Qida bazası'!$F$2:$F$103,MATCH(C189,'Qida bazası'!$A$2:$A$103,0))*D189/100,"?"))</f>
        <v/>
      </c>
      <c r="H189" s="19">
        <f>IF(OR(C189="",D189=""),"",IFERROR(INDEX('Qida bazası'!$G$2:$G$103,MATCH(C189,'Qida bazası'!$A$2:$A$103,0))*D189/100,"?"))</f>
        <v/>
      </c>
    </row>
    <row r="190">
      <c r="A190" s="21" t="n"/>
      <c r="E190" s="18">
        <f>IF(OR(C190="",D190=""),"",IFERROR(INDEX('Qida bazası'!$D$2:$D$103,MATCH(C190,'Qida bazası'!$A$2:$A$103,0))*D190/100,"?"))</f>
        <v/>
      </c>
      <c r="F190" s="19">
        <f>IF(OR(C190="",D190=""),"",IFERROR(INDEX('Qida bazası'!$E$2:$E$103,MATCH(C190,'Qida bazası'!$A$2:$A$103,0))*D190/100,"?"))</f>
        <v/>
      </c>
      <c r="G190" s="19">
        <f>IF(OR(C190="",D190=""),"",IFERROR(INDEX('Qida bazası'!$F$2:$F$103,MATCH(C190,'Qida bazası'!$A$2:$A$103,0))*D190/100,"?"))</f>
        <v/>
      </c>
      <c r="H190" s="19">
        <f>IF(OR(C190="",D190=""),"",IFERROR(INDEX('Qida bazası'!$G$2:$G$103,MATCH(C190,'Qida bazası'!$A$2:$A$103,0))*D190/100,"?"))</f>
        <v/>
      </c>
    </row>
    <row r="191">
      <c r="A191" s="21" t="n"/>
      <c r="E191" s="18">
        <f>IF(OR(C191="",D191=""),"",IFERROR(INDEX('Qida bazası'!$D$2:$D$103,MATCH(C191,'Qida bazası'!$A$2:$A$103,0))*D191/100,"?"))</f>
        <v/>
      </c>
      <c r="F191" s="19">
        <f>IF(OR(C191="",D191=""),"",IFERROR(INDEX('Qida bazası'!$E$2:$E$103,MATCH(C191,'Qida bazası'!$A$2:$A$103,0))*D191/100,"?"))</f>
        <v/>
      </c>
      <c r="G191" s="19">
        <f>IF(OR(C191="",D191=""),"",IFERROR(INDEX('Qida bazası'!$F$2:$F$103,MATCH(C191,'Qida bazası'!$A$2:$A$103,0))*D191/100,"?"))</f>
        <v/>
      </c>
      <c r="H191" s="19">
        <f>IF(OR(C191="",D191=""),"",IFERROR(INDEX('Qida bazası'!$G$2:$G$103,MATCH(C191,'Qida bazası'!$A$2:$A$103,0))*D191/100,"?"))</f>
        <v/>
      </c>
    </row>
    <row r="192">
      <c r="A192" s="21" t="n"/>
      <c r="E192" s="18">
        <f>IF(OR(C192="",D192=""),"",IFERROR(INDEX('Qida bazası'!$D$2:$D$103,MATCH(C192,'Qida bazası'!$A$2:$A$103,0))*D192/100,"?"))</f>
        <v/>
      </c>
      <c r="F192" s="19">
        <f>IF(OR(C192="",D192=""),"",IFERROR(INDEX('Qida bazası'!$E$2:$E$103,MATCH(C192,'Qida bazası'!$A$2:$A$103,0))*D192/100,"?"))</f>
        <v/>
      </c>
      <c r="G192" s="19">
        <f>IF(OR(C192="",D192=""),"",IFERROR(INDEX('Qida bazası'!$F$2:$F$103,MATCH(C192,'Qida bazası'!$A$2:$A$103,0))*D192/100,"?"))</f>
        <v/>
      </c>
      <c r="H192" s="19">
        <f>IF(OR(C192="",D192=""),"",IFERROR(INDEX('Qida bazası'!$G$2:$G$103,MATCH(C192,'Qida bazası'!$A$2:$A$103,0))*D192/100,"?"))</f>
        <v/>
      </c>
    </row>
    <row r="193">
      <c r="A193" s="21" t="n"/>
      <c r="E193" s="18">
        <f>IF(OR(C193="",D193=""),"",IFERROR(INDEX('Qida bazası'!$D$2:$D$103,MATCH(C193,'Qida bazası'!$A$2:$A$103,0))*D193/100,"?"))</f>
        <v/>
      </c>
      <c r="F193" s="19">
        <f>IF(OR(C193="",D193=""),"",IFERROR(INDEX('Qida bazası'!$E$2:$E$103,MATCH(C193,'Qida bazası'!$A$2:$A$103,0))*D193/100,"?"))</f>
        <v/>
      </c>
      <c r="G193" s="19">
        <f>IF(OR(C193="",D193=""),"",IFERROR(INDEX('Qida bazası'!$F$2:$F$103,MATCH(C193,'Qida bazası'!$A$2:$A$103,0))*D193/100,"?"))</f>
        <v/>
      </c>
      <c r="H193" s="19">
        <f>IF(OR(C193="",D193=""),"",IFERROR(INDEX('Qida bazası'!$G$2:$G$103,MATCH(C193,'Qida bazası'!$A$2:$A$103,0))*D193/100,"?"))</f>
        <v/>
      </c>
    </row>
    <row r="194">
      <c r="A194" s="21" t="n"/>
      <c r="E194" s="18">
        <f>IF(OR(C194="",D194=""),"",IFERROR(INDEX('Qida bazası'!$D$2:$D$103,MATCH(C194,'Qida bazası'!$A$2:$A$103,0))*D194/100,"?"))</f>
        <v/>
      </c>
      <c r="F194" s="19">
        <f>IF(OR(C194="",D194=""),"",IFERROR(INDEX('Qida bazası'!$E$2:$E$103,MATCH(C194,'Qida bazası'!$A$2:$A$103,0))*D194/100,"?"))</f>
        <v/>
      </c>
      <c r="G194" s="19">
        <f>IF(OR(C194="",D194=""),"",IFERROR(INDEX('Qida bazası'!$F$2:$F$103,MATCH(C194,'Qida bazası'!$A$2:$A$103,0))*D194/100,"?"))</f>
        <v/>
      </c>
      <c r="H194" s="19">
        <f>IF(OR(C194="",D194=""),"",IFERROR(INDEX('Qida bazası'!$G$2:$G$103,MATCH(C194,'Qida bazası'!$A$2:$A$103,0))*D194/100,"?"))</f>
        <v/>
      </c>
    </row>
    <row r="195">
      <c r="A195" s="21" t="n"/>
      <c r="E195" s="18">
        <f>IF(OR(C195="",D195=""),"",IFERROR(INDEX('Qida bazası'!$D$2:$D$103,MATCH(C195,'Qida bazası'!$A$2:$A$103,0))*D195/100,"?"))</f>
        <v/>
      </c>
      <c r="F195" s="19">
        <f>IF(OR(C195="",D195=""),"",IFERROR(INDEX('Qida bazası'!$E$2:$E$103,MATCH(C195,'Qida bazası'!$A$2:$A$103,0))*D195/100,"?"))</f>
        <v/>
      </c>
      <c r="G195" s="19">
        <f>IF(OR(C195="",D195=""),"",IFERROR(INDEX('Qida bazası'!$F$2:$F$103,MATCH(C195,'Qida bazası'!$A$2:$A$103,0))*D195/100,"?"))</f>
        <v/>
      </c>
      <c r="H195" s="19">
        <f>IF(OR(C195="",D195=""),"",IFERROR(INDEX('Qida bazası'!$G$2:$G$103,MATCH(C195,'Qida bazası'!$A$2:$A$103,0))*D195/100,"?"))</f>
        <v/>
      </c>
    </row>
    <row r="196">
      <c r="A196" s="21" t="n"/>
      <c r="E196" s="18">
        <f>IF(OR(C196="",D196=""),"",IFERROR(INDEX('Qida bazası'!$D$2:$D$103,MATCH(C196,'Qida bazası'!$A$2:$A$103,0))*D196/100,"?"))</f>
        <v/>
      </c>
      <c r="F196" s="19">
        <f>IF(OR(C196="",D196=""),"",IFERROR(INDEX('Qida bazası'!$E$2:$E$103,MATCH(C196,'Qida bazası'!$A$2:$A$103,0))*D196/100,"?"))</f>
        <v/>
      </c>
      <c r="G196" s="19">
        <f>IF(OR(C196="",D196=""),"",IFERROR(INDEX('Qida bazası'!$F$2:$F$103,MATCH(C196,'Qida bazası'!$A$2:$A$103,0))*D196/100,"?"))</f>
        <v/>
      </c>
      <c r="H196" s="19">
        <f>IF(OR(C196="",D196=""),"",IFERROR(INDEX('Qida bazası'!$G$2:$G$103,MATCH(C196,'Qida bazası'!$A$2:$A$103,0))*D196/100,"?"))</f>
        <v/>
      </c>
    </row>
    <row r="197">
      <c r="A197" s="21" t="n"/>
      <c r="E197" s="18">
        <f>IF(OR(C197="",D197=""),"",IFERROR(INDEX('Qida bazası'!$D$2:$D$103,MATCH(C197,'Qida bazası'!$A$2:$A$103,0))*D197/100,"?"))</f>
        <v/>
      </c>
      <c r="F197" s="19">
        <f>IF(OR(C197="",D197=""),"",IFERROR(INDEX('Qida bazası'!$E$2:$E$103,MATCH(C197,'Qida bazası'!$A$2:$A$103,0))*D197/100,"?"))</f>
        <v/>
      </c>
      <c r="G197" s="19">
        <f>IF(OR(C197="",D197=""),"",IFERROR(INDEX('Qida bazası'!$F$2:$F$103,MATCH(C197,'Qida bazası'!$A$2:$A$103,0))*D197/100,"?"))</f>
        <v/>
      </c>
      <c r="H197" s="19">
        <f>IF(OR(C197="",D197=""),"",IFERROR(INDEX('Qida bazası'!$G$2:$G$103,MATCH(C197,'Qida bazası'!$A$2:$A$103,0))*D197/100,"?"))</f>
        <v/>
      </c>
    </row>
    <row r="198">
      <c r="A198" s="21" t="n"/>
      <c r="E198" s="18">
        <f>IF(OR(C198="",D198=""),"",IFERROR(INDEX('Qida bazası'!$D$2:$D$103,MATCH(C198,'Qida bazası'!$A$2:$A$103,0))*D198/100,"?"))</f>
        <v/>
      </c>
      <c r="F198" s="19">
        <f>IF(OR(C198="",D198=""),"",IFERROR(INDEX('Qida bazası'!$E$2:$E$103,MATCH(C198,'Qida bazası'!$A$2:$A$103,0))*D198/100,"?"))</f>
        <v/>
      </c>
      <c r="G198" s="19">
        <f>IF(OR(C198="",D198=""),"",IFERROR(INDEX('Qida bazası'!$F$2:$F$103,MATCH(C198,'Qida bazası'!$A$2:$A$103,0))*D198/100,"?"))</f>
        <v/>
      </c>
      <c r="H198" s="19">
        <f>IF(OR(C198="",D198=""),"",IFERROR(INDEX('Qida bazası'!$G$2:$G$103,MATCH(C198,'Qida bazası'!$A$2:$A$103,0))*D198/100,"?"))</f>
        <v/>
      </c>
    </row>
    <row r="199">
      <c r="A199" s="21" t="n"/>
      <c r="E199" s="18">
        <f>IF(OR(C199="",D199=""),"",IFERROR(INDEX('Qida bazası'!$D$2:$D$103,MATCH(C199,'Qida bazası'!$A$2:$A$103,0))*D199/100,"?"))</f>
        <v/>
      </c>
      <c r="F199" s="19">
        <f>IF(OR(C199="",D199=""),"",IFERROR(INDEX('Qida bazası'!$E$2:$E$103,MATCH(C199,'Qida bazası'!$A$2:$A$103,0))*D199/100,"?"))</f>
        <v/>
      </c>
      <c r="G199" s="19">
        <f>IF(OR(C199="",D199=""),"",IFERROR(INDEX('Qida bazası'!$F$2:$F$103,MATCH(C199,'Qida bazası'!$A$2:$A$103,0))*D199/100,"?"))</f>
        <v/>
      </c>
      <c r="H199" s="19">
        <f>IF(OR(C199="",D199=""),"",IFERROR(INDEX('Qida bazası'!$G$2:$G$103,MATCH(C199,'Qida bazası'!$A$2:$A$103,0))*D199/100,"?"))</f>
        <v/>
      </c>
    </row>
    <row r="200">
      <c r="A200" s="21" t="n"/>
      <c r="E200" s="18">
        <f>IF(OR(C200="",D200=""),"",IFERROR(INDEX('Qida bazası'!$D$2:$D$103,MATCH(C200,'Qida bazası'!$A$2:$A$103,0))*D200/100,"?"))</f>
        <v/>
      </c>
      <c r="F200" s="19">
        <f>IF(OR(C200="",D200=""),"",IFERROR(INDEX('Qida bazası'!$E$2:$E$103,MATCH(C200,'Qida bazası'!$A$2:$A$103,0))*D200/100,"?"))</f>
        <v/>
      </c>
      <c r="G200" s="19">
        <f>IF(OR(C200="",D200=""),"",IFERROR(INDEX('Qida bazası'!$F$2:$F$103,MATCH(C200,'Qida bazası'!$A$2:$A$103,0))*D200/100,"?"))</f>
        <v/>
      </c>
      <c r="H200" s="19">
        <f>IF(OR(C200="",D200=""),"",IFERROR(INDEX('Qida bazası'!$G$2:$G$103,MATCH(C200,'Qida bazası'!$A$2:$A$103,0))*D200/100,"?"))</f>
        <v/>
      </c>
    </row>
    <row r="201">
      <c r="A201" s="21" t="n"/>
      <c r="E201" s="18">
        <f>IF(OR(C201="",D201=""),"",IFERROR(INDEX('Qida bazası'!$D$2:$D$103,MATCH(C201,'Qida bazası'!$A$2:$A$103,0))*D201/100,"?"))</f>
        <v/>
      </c>
      <c r="F201" s="19">
        <f>IF(OR(C201="",D201=""),"",IFERROR(INDEX('Qida bazası'!$E$2:$E$103,MATCH(C201,'Qida bazası'!$A$2:$A$103,0))*D201/100,"?"))</f>
        <v/>
      </c>
      <c r="G201" s="19">
        <f>IF(OR(C201="",D201=""),"",IFERROR(INDEX('Qida bazası'!$F$2:$F$103,MATCH(C201,'Qida bazası'!$A$2:$A$103,0))*D201/100,"?"))</f>
        <v/>
      </c>
      <c r="H201" s="19">
        <f>IF(OR(C201="",D201=""),"",IFERROR(INDEX('Qida bazası'!$G$2:$G$103,MATCH(C201,'Qida bazası'!$A$2:$A$103,0))*D201/100,"?"))</f>
        <v/>
      </c>
    </row>
    <row r="202">
      <c r="A202" s="21" t="n"/>
      <c r="E202" s="18">
        <f>IF(OR(C202="",D202=""),"",IFERROR(INDEX('Qida bazası'!$D$2:$D$103,MATCH(C202,'Qida bazası'!$A$2:$A$103,0))*D202/100,"?"))</f>
        <v/>
      </c>
      <c r="F202" s="19">
        <f>IF(OR(C202="",D202=""),"",IFERROR(INDEX('Qida bazası'!$E$2:$E$103,MATCH(C202,'Qida bazası'!$A$2:$A$103,0))*D202/100,"?"))</f>
        <v/>
      </c>
      <c r="G202" s="19">
        <f>IF(OR(C202="",D202=""),"",IFERROR(INDEX('Qida bazası'!$F$2:$F$103,MATCH(C202,'Qida bazası'!$A$2:$A$103,0))*D202/100,"?"))</f>
        <v/>
      </c>
      <c r="H202" s="19">
        <f>IF(OR(C202="",D202=""),"",IFERROR(INDEX('Qida bazası'!$G$2:$G$103,MATCH(C202,'Qida bazası'!$A$2:$A$103,0))*D202/100,"?"))</f>
        <v/>
      </c>
    </row>
    <row r="203">
      <c r="A203" s="21" t="n"/>
      <c r="E203" s="18">
        <f>IF(OR(C203="",D203=""),"",IFERROR(INDEX('Qida bazası'!$D$2:$D$103,MATCH(C203,'Qida bazası'!$A$2:$A$103,0))*D203/100,"?"))</f>
        <v/>
      </c>
      <c r="F203" s="19">
        <f>IF(OR(C203="",D203=""),"",IFERROR(INDEX('Qida bazası'!$E$2:$E$103,MATCH(C203,'Qida bazası'!$A$2:$A$103,0))*D203/100,"?"))</f>
        <v/>
      </c>
      <c r="G203" s="19">
        <f>IF(OR(C203="",D203=""),"",IFERROR(INDEX('Qida bazası'!$F$2:$F$103,MATCH(C203,'Qida bazası'!$A$2:$A$103,0))*D203/100,"?"))</f>
        <v/>
      </c>
      <c r="H203" s="19">
        <f>IF(OR(C203="",D203=""),"",IFERROR(INDEX('Qida bazası'!$G$2:$G$103,MATCH(C203,'Qida bazası'!$A$2:$A$103,0))*D203/100,"?"))</f>
        <v/>
      </c>
    </row>
    <row r="204">
      <c r="A204" s="21" t="n"/>
      <c r="E204" s="18">
        <f>IF(OR(C204="",D204=""),"",IFERROR(INDEX('Qida bazası'!$D$2:$D$103,MATCH(C204,'Qida bazası'!$A$2:$A$103,0))*D204/100,"?"))</f>
        <v/>
      </c>
      <c r="F204" s="19">
        <f>IF(OR(C204="",D204=""),"",IFERROR(INDEX('Qida bazası'!$E$2:$E$103,MATCH(C204,'Qida bazası'!$A$2:$A$103,0))*D204/100,"?"))</f>
        <v/>
      </c>
      <c r="G204" s="19">
        <f>IF(OR(C204="",D204=""),"",IFERROR(INDEX('Qida bazası'!$F$2:$F$103,MATCH(C204,'Qida bazası'!$A$2:$A$103,0))*D204/100,"?"))</f>
        <v/>
      </c>
      <c r="H204" s="19">
        <f>IF(OR(C204="",D204=""),"",IFERROR(INDEX('Qida bazası'!$G$2:$G$103,MATCH(C204,'Qida bazası'!$A$2:$A$103,0))*D204/100,"?"))</f>
        <v/>
      </c>
    </row>
    <row r="205">
      <c r="A205" s="21" t="n"/>
      <c r="E205" s="18">
        <f>IF(OR(C205="",D205=""),"",IFERROR(INDEX('Qida bazası'!$D$2:$D$103,MATCH(C205,'Qida bazası'!$A$2:$A$103,0))*D205/100,"?"))</f>
        <v/>
      </c>
      <c r="F205" s="19">
        <f>IF(OR(C205="",D205=""),"",IFERROR(INDEX('Qida bazası'!$E$2:$E$103,MATCH(C205,'Qida bazası'!$A$2:$A$103,0))*D205/100,"?"))</f>
        <v/>
      </c>
      <c r="G205" s="19">
        <f>IF(OR(C205="",D205=""),"",IFERROR(INDEX('Qida bazası'!$F$2:$F$103,MATCH(C205,'Qida bazası'!$A$2:$A$103,0))*D205/100,"?"))</f>
        <v/>
      </c>
      <c r="H205" s="19">
        <f>IF(OR(C205="",D205=""),"",IFERROR(INDEX('Qida bazası'!$G$2:$G$103,MATCH(C205,'Qida bazası'!$A$2:$A$103,0))*D205/100,"?"))</f>
        <v/>
      </c>
    </row>
    <row r="206">
      <c r="A206" s="21" t="n"/>
      <c r="E206" s="18">
        <f>IF(OR(C206="",D206=""),"",IFERROR(INDEX('Qida bazası'!$D$2:$D$103,MATCH(C206,'Qida bazası'!$A$2:$A$103,0))*D206/100,"?"))</f>
        <v/>
      </c>
      <c r="F206" s="19">
        <f>IF(OR(C206="",D206=""),"",IFERROR(INDEX('Qida bazası'!$E$2:$E$103,MATCH(C206,'Qida bazası'!$A$2:$A$103,0))*D206/100,"?"))</f>
        <v/>
      </c>
      <c r="G206" s="19">
        <f>IF(OR(C206="",D206=""),"",IFERROR(INDEX('Qida bazası'!$F$2:$F$103,MATCH(C206,'Qida bazası'!$A$2:$A$103,0))*D206/100,"?"))</f>
        <v/>
      </c>
      <c r="H206" s="19">
        <f>IF(OR(C206="",D206=""),"",IFERROR(INDEX('Qida bazası'!$G$2:$G$103,MATCH(C206,'Qida bazası'!$A$2:$A$103,0))*D206/100,"?"))</f>
        <v/>
      </c>
    </row>
    <row r="207">
      <c r="A207" s="21" t="n"/>
      <c r="E207" s="18">
        <f>IF(OR(C207="",D207=""),"",IFERROR(INDEX('Qida bazası'!$D$2:$D$103,MATCH(C207,'Qida bazası'!$A$2:$A$103,0))*D207/100,"?"))</f>
        <v/>
      </c>
      <c r="F207" s="19">
        <f>IF(OR(C207="",D207=""),"",IFERROR(INDEX('Qida bazası'!$E$2:$E$103,MATCH(C207,'Qida bazası'!$A$2:$A$103,0))*D207/100,"?"))</f>
        <v/>
      </c>
      <c r="G207" s="19">
        <f>IF(OR(C207="",D207=""),"",IFERROR(INDEX('Qida bazası'!$F$2:$F$103,MATCH(C207,'Qida bazası'!$A$2:$A$103,0))*D207/100,"?"))</f>
        <v/>
      </c>
      <c r="H207" s="19">
        <f>IF(OR(C207="",D207=""),"",IFERROR(INDEX('Qida bazası'!$G$2:$G$103,MATCH(C207,'Qida bazası'!$A$2:$A$103,0))*D207/100,"?"))</f>
        <v/>
      </c>
    </row>
    <row r="208">
      <c r="A208" s="21" t="n"/>
      <c r="E208" s="18">
        <f>IF(OR(C208="",D208=""),"",IFERROR(INDEX('Qida bazası'!$D$2:$D$103,MATCH(C208,'Qida bazası'!$A$2:$A$103,0))*D208/100,"?"))</f>
        <v/>
      </c>
      <c r="F208" s="19">
        <f>IF(OR(C208="",D208=""),"",IFERROR(INDEX('Qida bazası'!$E$2:$E$103,MATCH(C208,'Qida bazası'!$A$2:$A$103,0))*D208/100,"?"))</f>
        <v/>
      </c>
      <c r="G208" s="19">
        <f>IF(OR(C208="",D208=""),"",IFERROR(INDEX('Qida bazası'!$F$2:$F$103,MATCH(C208,'Qida bazası'!$A$2:$A$103,0))*D208/100,"?"))</f>
        <v/>
      </c>
      <c r="H208" s="19">
        <f>IF(OR(C208="",D208=""),"",IFERROR(INDEX('Qida bazası'!$G$2:$G$103,MATCH(C208,'Qida bazası'!$A$2:$A$103,0))*D208/100,"?"))</f>
        <v/>
      </c>
    </row>
    <row r="209">
      <c r="A209" s="21" t="n"/>
      <c r="E209" s="18">
        <f>IF(OR(C209="",D209=""),"",IFERROR(INDEX('Qida bazası'!$D$2:$D$103,MATCH(C209,'Qida bazası'!$A$2:$A$103,0))*D209/100,"?"))</f>
        <v/>
      </c>
      <c r="F209" s="19">
        <f>IF(OR(C209="",D209=""),"",IFERROR(INDEX('Qida bazası'!$E$2:$E$103,MATCH(C209,'Qida bazası'!$A$2:$A$103,0))*D209/100,"?"))</f>
        <v/>
      </c>
      <c r="G209" s="19">
        <f>IF(OR(C209="",D209=""),"",IFERROR(INDEX('Qida bazası'!$F$2:$F$103,MATCH(C209,'Qida bazası'!$A$2:$A$103,0))*D209/100,"?"))</f>
        <v/>
      </c>
      <c r="H209" s="19">
        <f>IF(OR(C209="",D209=""),"",IFERROR(INDEX('Qida bazası'!$G$2:$G$103,MATCH(C209,'Qida bazası'!$A$2:$A$103,0))*D209/100,"?"))</f>
        <v/>
      </c>
    </row>
    <row r="210">
      <c r="A210" s="21" t="n"/>
      <c r="E210" s="18">
        <f>IF(OR(C210="",D210=""),"",IFERROR(INDEX('Qida bazası'!$D$2:$D$103,MATCH(C210,'Qida bazası'!$A$2:$A$103,0))*D210/100,"?"))</f>
        <v/>
      </c>
      <c r="F210" s="19">
        <f>IF(OR(C210="",D210=""),"",IFERROR(INDEX('Qida bazası'!$E$2:$E$103,MATCH(C210,'Qida bazası'!$A$2:$A$103,0))*D210/100,"?"))</f>
        <v/>
      </c>
      <c r="G210" s="19">
        <f>IF(OR(C210="",D210=""),"",IFERROR(INDEX('Qida bazası'!$F$2:$F$103,MATCH(C210,'Qida bazası'!$A$2:$A$103,0))*D210/100,"?"))</f>
        <v/>
      </c>
      <c r="H210" s="19">
        <f>IF(OR(C210="",D210=""),"",IFERROR(INDEX('Qida bazası'!$G$2:$G$103,MATCH(C210,'Qida bazası'!$A$2:$A$103,0))*D210/100,"?"))</f>
        <v/>
      </c>
    </row>
    <row r="211">
      <c r="A211" s="21" t="n"/>
      <c r="E211" s="18">
        <f>IF(OR(C211="",D211=""),"",IFERROR(INDEX('Qida bazası'!$D$2:$D$103,MATCH(C211,'Qida bazası'!$A$2:$A$103,0))*D211/100,"?"))</f>
        <v/>
      </c>
      <c r="F211" s="19">
        <f>IF(OR(C211="",D211=""),"",IFERROR(INDEX('Qida bazası'!$E$2:$E$103,MATCH(C211,'Qida bazası'!$A$2:$A$103,0))*D211/100,"?"))</f>
        <v/>
      </c>
      <c r="G211" s="19">
        <f>IF(OR(C211="",D211=""),"",IFERROR(INDEX('Qida bazası'!$F$2:$F$103,MATCH(C211,'Qida bazası'!$A$2:$A$103,0))*D211/100,"?"))</f>
        <v/>
      </c>
      <c r="H211" s="19">
        <f>IF(OR(C211="",D211=""),"",IFERROR(INDEX('Qida bazası'!$G$2:$G$103,MATCH(C211,'Qida bazası'!$A$2:$A$103,0))*D211/100,"?"))</f>
        <v/>
      </c>
    </row>
    <row r="212">
      <c r="A212" s="21" t="n"/>
      <c r="E212" s="18">
        <f>IF(OR(C212="",D212=""),"",IFERROR(INDEX('Qida bazası'!$D$2:$D$103,MATCH(C212,'Qida bazası'!$A$2:$A$103,0))*D212/100,"?"))</f>
        <v/>
      </c>
      <c r="F212" s="19">
        <f>IF(OR(C212="",D212=""),"",IFERROR(INDEX('Qida bazası'!$E$2:$E$103,MATCH(C212,'Qida bazası'!$A$2:$A$103,0))*D212/100,"?"))</f>
        <v/>
      </c>
      <c r="G212" s="19">
        <f>IF(OR(C212="",D212=""),"",IFERROR(INDEX('Qida bazası'!$F$2:$F$103,MATCH(C212,'Qida bazası'!$A$2:$A$103,0))*D212/100,"?"))</f>
        <v/>
      </c>
      <c r="H212" s="19">
        <f>IF(OR(C212="",D212=""),"",IFERROR(INDEX('Qida bazası'!$G$2:$G$103,MATCH(C212,'Qida bazası'!$A$2:$A$103,0))*D212/100,"?"))</f>
        <v/>
      </c>
    </row>
    <row r="213">
      <c r="A213" s="21" t="n"/>
      <c r="E213" s="18">
        <f>IF(OR(C213="",D213=""),"",IFERROR(INDEX('Qida bazası'!$D$2:$D$103,MATCH(C213,'Qida bazası'!$A$2:$A$103,0))*D213/100,"?"))</f>
        <v/>
      </c>
      <c r="F213" s="19">
        <f>IF(OR(C213="",D213=""),"",IFERROR(INDEX('Qida bazası'!$E$2:$E$103,MATCH(C213,'Qida bazası'!$A$2:$A$103,0))*D213/100,"?"))</f>
        <v/>
      </c>
      <c r="G213" s="19">
        <f>IF(OR(C213="",D213=""),"",IFERROR(INDEX('Qida bazası'!$F$2:$F$103,MATCH(C213,'Qida bazası'!$A$2:$A$103,0))*D213/100,"?"))</f>
        <v/>
      </c>
      <c r="H213" s="19">
        <f>IF(OR(C213="",D213=""),"",IFERROR(INDEX('Qida bazası'!$G$2:$G$103,MATCH(C213,'Qida bazası'!$A$2:$A$103,0))*D213/100,"?"))</f>
        <v/>
      </c>
    </row>
    <row r="214">
      <c r="A214" s="21" t="n"/>
      <c r="E214" s="18">
        <f>IF(OR(C214="",D214=""),"",IFERROR(INDEX('Qida bazası'!$D$2:$D$103,MATCH(C214,'Qida bazası'!$A$2:$A$103,0))*D214/100,"?"))</f>
        <v/>
      </c>
      <c r="F214" s="19">
        <f>IF(OR(C214="",D214=""),"",IFERROR(INDEX('Qida bazası'!$E$2:$E$103,MATCH(C214,'Qida bazası'!$A$2:$A$103,0))*D214/100,"?"))</f>
        <v/>
      </c>
      <c r="G214" s="19">
        <f>IF(OR(C214="",D214=""),"",IFERROR(INDEX('Qida bazası'!$F$2:$F$103,MATCH(C214,'Qida bazası'!$A$2:$A$103,0))*D214/100,"?"))</f>
        <v/>
      </c>
      <c r="H214" s="19">
        <f>IF(OR(C214="",D214=""),"",IFERROR(INDEX('Qida bazası'!$G$2:$G$103,MATCH(C214,'Qida bazası'!$A$2:$A$103,0))*D214/100,"?"))</f>
        <v/>
      </c>
    </row>
    <row r="215">
      <c r="A215" s="21" t="n"/>
      <c r="E215" s="18">
        <f>IF(OR(C215="",D215=""),"",IFERROR(INDEX('Qida bazası'!$D$2:$D$103,MATCH(C215,'Qida bazası'!$A$2:$A$103,0))*D215/100,"?"))</f>
        <v/>
      </c>
      <c r="F215" s="19">
        <f>IF(OR(C215="",D215=""),"",IFERROR(INDEX('Qida bazası'!$E$2:$E$103,MATCH(C215,'Qida bazası'!$A$2:$A$103,0))*D215/100,"?"))</f>
        <v/>
      </c>
      <c r="G215" s="19">
        <f>IF(OR(C215="",D215=""),"",IFERROR(INDEX('Qida bazası'!$F$2:$F$103,MATCH(C215,'Qida bazası'!$A$2:$A$103,0))*D215/100,"?"))</f>
        <v/>
      </c>
      <c r="H215" s="19">
        <f>IF(OR(C215="",D215=""),"",IFERROR(INDEX('Qida bazası'!$G$2:$G$103,MATCH(C215,'Qida bazası'!$A$2:$A$103,0))*D215/100,"?"))</f>
        <v/>
      </c>
    </row>
    <row r="216">
      <c r="A216" s="21" t="n"/>
      <c r="E216" s="18">
        <f>IF(OR(C216="",D216=""),"",IFERROR(INDEX('Qida bazası'!$D$2:$D$103,MATCH(C216,'Qida bazası'!$A$2:$A$103,0))*D216/100,"?"))</f>
        <v/>
      </c>
      <c r="F216" s="19">
        <f>IF(OR(C216="",D216=""),"",IFERROR(INDEX('Qida bazası'!$E$2:$E$103,MATCH(C216,'Qida bazası'!$A$2:$A$103,0))*D216/100,"?"))</f>
        <v/>
      </c>
      <c r="G216" s="19">
        <f>IF(OR(C216="",D216=""),"",IFERROR(INDEX('Qida bazası'!$F$2:$F$103,MATCH(C216,'Qida bazası'!$A$2:$A$103,0))*D216/100,"?"))</f>
        <v/>
      </c>
      <c r="H216" s="19">
        <f>IF(OR(C216="",D216=""),"",IFERROR(INDEX('Qida bazası'!$G$2:$G$103,MATCH(C216,'Qida bazası'!$A$2:$A$103,0))*D216/100,"?"))</f>
        <v/>
      </c>
    </row>
    <row r="217">
      <c r="A217" s="21" t="n"/>
      <c r="E217" s="18">
        <f>IF(OR(C217="",D217=""),"",IFERROR(INDEX('Qida bazası'!$D$2:$D$103,MATCH(C217,'Qida bazası'!$A$2:$A$103,0))*D217/100,"?"))</f>
        <v/>
      </c>
      <c r="F217" s="19">
        <f>IF(OR(C217="",D217=""),"",IFERROR(INDEX('Qida bazası'!$E$2:$E$103,MATCH(C217,'Qida bazası'!$A$2:$A$103,0))*D217/100,"?"))</f>
        <v/>
      </c>
      <c r="G217" s="19">
        <f>IF(OR(C217="",D217=""),"",IFERROR(INDEX('Qida bazası'!$F$2:$F$103,MATCH(C217,'Qida bazası'!$A$2:$A$103,0))*D217/100,"?"))</f>
        <v/>
      </c>
      <c r="H217" s="19">
        <f>IF(OR(C217="",D217=""),"",IFERROR(INDEX('Qida bazası'!$G$2:$G$103,MATCH(C217,'Qida bazası'!$A$2:$A$103,0))*D217/100,"?"))</f>
        <v/>
      </c>
    </row>
    <row r="218">
      <c r="A218" s="21" t="n"/>
      <c r="E218" s="18">
        <f>IF(OR(C218="",D218=""),"",IFERROR(INDEX('Qida bazası'!$D$2:$D$103,MATCH(C218,'Qida bazası'!$A$2:$A$103,0))*D218/100,"?"))</f>
        <v/>
      </c>
      <c r="F218" s="19">
        <f>IF(OR(C218="",D218=""),"",IFERROR(INDEX('Qida bazası'!$E$2:$E$103,MATCH(C218,'Qida bazası'!$A$2:$A$103,0))*D218/100,"?"))</f>
        <v/>
      </c>
      <c r="G218" s="19">
        <f>IF(OR(C218="",D218=""),"",IFERROR(INDEX('Qida bazası'!$F$2:$F$103,MATCH(C218,'Qida bazası'!$A$2:$A$103,0))*D218/100,"?"))</f>
        <v/>
      </c>
      <c r="H218" s="19">
        <f>IF(OR(C218="",D218=""),"",IFERROR(INDEX('Qida bazası'!$G$2:$G$103,MATCH(C218,'Qida bazası'!$A$2:$A$103,0))*D218/100,"?"))</f>
        <v/>
      </c>
    </row>
    <row r="219">
      <c r="A219" s="21" t="n"/>
      <c r="E219" s="18">
        <f>IF(OR(C219="",D219=""),"",IFERROR(INDEX('Qida bazası'!$D$2:$D$103,MATCH(C219,'Qida bazası'!$A$2:$A$103,0))*D219/100,"?"))</f>
        <v/>
      </c>
      <c r="F219" s="19">
        <f>IF(OR(C219="",D219=""),"",IFERROR(INDEX('Qida bazası'!$E$2:$E$103,MATCH(C219,'Qida bazası'!$A$2:$A$103,0))*D219/100,"?"))</f>
        <v/>
      </c>
      <c r="G219" s="19">
        <f>IF(OR(C219="",D219=""),"",IFERROR(INDEX('Qida bazası'!$F$2:$F$103,MATCH(C219,'Qida bazası'!$A$2:$A$103,0))*D219/100,"?"))</f>
        <v/>
      </c>
      <c r="H219" s="19">
        <f>IF(OR(C219="",D219=""),"",IFERROR(INDEX('Qida bazası'!$G$2:$G$103,MATCH(C219,'Qida bazası'!$A$2:$A$103,0))*D219/100,"?"))</f>
        <v/>
      </c>
    </row>
    <row r="220">
      <c r="A220" s="21" t="n"/>
      <c r="E220" s="18">
        <f>IF(OR(C220="",D220=""),"",IFERROR(INDEX('Qida bazası'!$D$2:$D$103,MATCH(C220,'Qida bazası'!$A$2:$A$103,0))*D220/100,"?"))</f>
        <v/>
      </c>
      <c r="F220" s="19">
        <f>IF(OR(C220="",D220=""),"",IFERROR(INDEX('Qida bazası'!$E$2:$E$103,MATCH(C220,'Qida bazası'!$A$2:$A$103,0))*D220/100,"?"))</f>
        <v/>
      </c>
      <c r="G220" s="19">
        <f>IF(OR(C220="",D220=""),"",IFERROR(INDEX('Qida bazası'!$F$2:$F$103,MATCH(C220,'Qida bazası'!$A$2:$A$103,0))*D220/100,"?"))</f>
        <v/>
      </c>
      <c r="H220" s="19">
        <f>IF(OR(C220="",D220=""),"",IFERROR(INDEX('Qida bazası'!$G$2:$G$103,MATCH(C220,'Qida bazası'!$A$2:$A$103,0))*D220/100,"?"))</f>
        <v/>
      </c>
    </row>
    <row r="221">
      <c r="A221" s="21" t="n"/>
      <c r="E221" s="18">
        <f>IF(OR(C221="",D221=""),"",IFERROR(INDEX('Qida bazası'!$D$2:$D$103,MATCH(C221,'Qida bazası'!$A$2:$A$103,0))*D221/100,"?"))</f>
        <v/>
      </c>
      <c r="F221" s="19">
        <f>IF(OR(C221="",D221=""),"",IFERROR(INDEX('Qida bazası'!$E$2:$E$103,MATCH(C221,'Qida bazası'!$A$2:$A$103,0))*D221/100,"?"))</f>
        <v/>
      </c>
      <c r="G221" s="19">
        <f>IF(OR(C221="",D221=""),"",IFERROR(INDEX('Qida bazası'!$F$2:$F$103,MATCH(C221,'Qida bazası'!$A$2:$A$103,0))*D221/100,"?"))</f>
        <v/>
      </c>
      <c r="H221" s="19">
        <f>IF(OR(C221="",D221=""),"",IFERROR(INDEX('Qida bazası'!$G$2:$G$103,MATCH(C221,'Qida bazası'!$A$2:$A$103,0))*D221/100,"?"))</f>
        <v/>
      </c>
    </row>
    <row r="222">
      <c r="A222" s="21" t="n"/>
      <c r="E222" s="18">
        <f>IF(OR(C222="",D222=""),"",IFERROR(INDEX('Qida bazası'!$D$2:$D$103,MATCH(C222,'Qida bazası'!$A$2:$A$103,0))*D222/100,"?"))</f>
        <v/>
      </c>
      <c r="F222" s="19">
        <f>IF(OR(C222="",D222=""),"",IFERROR(INDEX('Qida bazası'!$E$2:$E$103,MATCH(C222,'Qida bazası'!$A$2:$A$103,0))*D222/100,"?"))</f>
        <v/>
      </c>
      <c r="G222" s="19">
        <f>IF(OR(C222="",D222=""),"",IFERROR(INDEX('Qida bazası'!$F$2:$F$103,MATCH(C222,'Qida bazası'!$A$2:$A$103,0))*D222/100,"?"))</f>
        <v/>
      </c>
      <c r="H222" s="19">
        <f>IF(OR(C222="",D222=""),"",IFERROR(INDEX('Qida bazası'!$G$2:$G$103,MATCH(C222,'Qida bazası'!$A$2:$A$103,0))*D222/100,"?"))</f>
        <v/>
      </c>
    </row>
    <row r="223">
      <c r="A223" s="21" t="n"/>
      <c r="E223" s="18">
        <f>IF(OR(C223="",D223=""),"",IFERROR(INDEX('Qida bazası'!$D$2:$D$103,MATCH(C223,'Qida bazası'!$A$2:$A$103,0))*D223/100,"?"))</f>
        <v/>
      </c>
      <c r="F223" s="19">
        <f>IF(OR(C223="",D223=""),"",IFERROR(INDEX('Qida bazası'!$E$2:$E$103,MATCH(C223,'Qida bazası'!$A$2:$A$103,0))*D223/100,"?"))</f>
        <v/>
      </c>
      <c r="G223" s="19">
        <f>IF(OR(C223="",D223=""),"",IFERROR(INDEX('Qida bazası'!$F$2:$F$103,MATCH(C223,'Qida bazası'!$A$2:$A$103,0))*D223/100,"?"))</f>
        <v/>
      </c>
      <c r="H223" s="19">
        <f>IF(OR(C223="",D223=""),"",IFERROR(INDEX('Qida bazası'!$G$2:$G$103,MATCH(C223,'Qida bazası'!$A$2:$A$103,0))*D223/100,"?"))</f>
        <v/>
      </c>
    </row>
    <row r="224">
      <c r="A224" s="21" t="n"/>
      <c r="E224" s="18">
        <f>IF(OR(C224="",D224=""),"",IFERROR(INDEX('Qida bazası'!$D$2:$D$103,MATCH(C224,'Qida bazası'!$A$2:$A$103,0))*D224/100,"?"))</f>
        <v/>
      </c>
      <c r="F224" s="19">
        <f>IF(OR(C224="",D224=""),"",IFERROR(INDEX('Qida bazası'!$E$2:$E$103,MATCH(C224,'Qida bazası'!$A$2:$A$103,0))*D224/100,"?"))</f>
        <v/>
      </c>
      <c r="G224" s="19">
        <f>IF(OR(C224="",D224=""),"",IFERROR(INDEX('Qida bazası'!$F$2:$F$103,MATCH(C224,'Qida bazası'!$A$2:$A$103,0))*D224/100,"?"))</f>
        <v/>
      </c>
      <c r="H224" s="19">
        <f>IF(OR(C224="",D224=""),"",IFERROR(INDEX('Qida bazası'!$G$2:$G$103,MATCH(C224,'Qida bazası'!$A$2:$A$103,0))*D224/100,"?"))</f>
        <v/>
      </c>
    </row>
    <row r="225">
      <c r="A225" s="21" t="n"/>
      <c r="E225" s="18">
        <f>IF(OR(C225="",D225=""),"",IFERROR(INDEX('Qida bazası'!$D$2:$D$103,MATCH(C225,'Qida bazası'!$A$2:$A$103,0))*D225/100,"?"))</f>
        <v/>
      </c>
      <c r="F225" s="19">
        <f>IF(OR(C225="",D225=""),"",IFERROR(INDEX('Qida bazası'!$E$2:$E$103,MATCH(C225,'Qida bazası'!$A$2:$A$103,0))*D225/100,"?"))</f>
        <v/>
      </c>
      <c r="G225" s="19">
        <f>IF(OR(C225="",D225=""),"",IFERROR(INDEX('Qida bazası'!$F$2:$F$103,MATCH(C225,'Qida bazası'!$A$2:$A$103,0))*D225/100,"?"))</f>
        <v/>
      </c>
      <c r="H225" s="19">
        <f>IF(OR(C225="",D225=""),"",IFERROR(INDEX('Qida bazası'!$G$2:$G$103,MATCH(C225,'Qida bazası'!$A$2:$A$103,0))*D225/100,"?"))</f>
        <v/>
      </c>
    </row>
    <row r="226">
      <c r="A226" s="21" t="n"/>
      <c r="E226" s="18">
        <f>IF(OR(C226="",D226=""),"",IFERROR(INDEX('Qida bazası'!$D$2:$D$103,MATCH(C226,'Qida bazası'!$A$2:$A$103,0))*D226/100,"?"))</f>
        <v/>
      </c>
      <c r="F226" s="19">
        <f>IF(OR(C226="",D226=""),"",IFERROR(INDEX('Qida bazası'!$E$2:$E$103,MATCH(C226,'Qida bazası'!$A$2:$A$103,0))*D226/100,"?"))</f>
        <v/>
      </c>
      <c r="G226" s="19">
        <f>IF(OR(C226="",D226=""),"",IFERROR(INDEX('Qida bazası'!$F$2:$F$103,MATCH(C226,'Qida bazası'!$A$2:$A$103,0))*D226/100,"?"))</f>
        <v/>
      </c>
      <c r="H226" s="19">
        <f>IF(OR(C226="",D226=""),"",IFERROR(INDEX('Qida bazası'!$G$2:$G$103,MATCH(C226,'Qida bazası'!$A$2:$A$103,0))*D226/100,"?"))</f>
        <v/>
      </c>
    </row>
    <row r="227">
      <c r="A227" s="21" t="n"/>
      <c r="E227" s="18">
        <f>IF(OR(C227="",D227=""),"",IFERROR(INDEX('Qida bazası'!$D$2:$D$103,MATCH(C227,'Qida bazası'!$A$2:$A$103,0))*D227/100,"?"))</f>
        <v/>
      </c>
      <c r="F227" s="19">
        <f>IF(OR(C227="",D227=""),"",IFERROR(INDEX('Qida bazası'!$E$2:$E$103,MATCH(C227,'Qida bazası'!$A$2:$A$103,0))*D227/100,"?"))</f>
        <v/>
      </c>
      <c r="G227" s="19">
        <f>IF(OR(C227="",D227=""),"",IFERROR(INDEX('Qida bazası'!$F$2:$F$103,MATCH(C227,'Qida bazası'!$A$2:$A$103,0))*D227/100,"?"))</f>
        <v/>
      </c>
      <c r="H227" s="19">
        <f>IF(OR(C227="",D227=""),"",IFERROR(INDEX('Qida bazası'!$G$2:$G$103,MATCH(C227,'Qida bazası'!$A$2:$A$103,0))*D227/100,"?"))</f>
        <v/>
      </c>
    </row>
    <row r="228">
      <c r="A228" s="21" t="n"/>
      <c r="E228" s="18">
        <f>IF(OR(C228="",D228=""),"",IFERROR(INDEX('Qida bazası'!$D$2:$D$103,MATCH(C228,'Qida bazası'!$A$2:$A$103,0))*D228/100,"?"))</f>
        <v/>
      </c>
      <c r="F228" s="19">
        <f>IF(OR(C228="",D228=""),"",IFERROR(INDEX('Qida bazası'!$E$2:$E$103,MATCH(C228,'Qida bazası'!$A$2:$A$103,0))*D228/100,"?"))</f>
        <v/>
      </c>
      <c r="G228" s="19">
        <f>IF(OR(C228="",D228=""),"",IFERROR(INDEX('Qida bazası'!$F$2:$F$103,MATCH(C228,'Qida bazası'!$A$2:$A$103,0))*D228/100,"?"))</f>
        <v/>
      </c>
      <c r="H228" s="19">
        <f>IF(OR(C228="",D228=""),"",IFERROR(INDEX('Qida bazası'!$G$2:$G$103,MATCH(C228,'Qida bazası'!$A$2:$A$103,0))*D228/100,"?"))</f>
        <v/>
      </c>
    </row>
    <row r="229">
      <c r="A229" s="21" t="n"/>
      <c r="E229" s="18">
        <f>IF(OR(C229="",D229=""),"",IFERROR(INDEX('Qida bazası'!$D$2:$D$103,MATCH(C229,'Qida bazası'!$A$2:$A$103,0))*D229/100,"?"))</f>
        <v/>
      </c>
      <c r="F229" s="19">
        <f>IF(OR(C229="",D229=""),"",IFERROR(INDEX('Qida bazası'!$E$2:$E$103,MATCH(C229,'Qida bazası'!$A$2:$A$103,0))*D229/100,"?"))</f>
        <v/>
      </c>
      <c r="G229" s="19">
        <f>IF(OR(C229="",D229=""),"",IFERROR(INDEX('Qida bazası'!$F$2:$F$103,MATCH(C229,'Qida bazası'!$A$2:$A$103,0))*D229/100,"?"))</f>
        <v/>
      </c>
      <c r="H229" s="19">
        <f>IF(OR(C229="",D229=""),"",IFERROR(INDEX('Qida bazası'!$G$2:$G$103,MATCH(C229,'Qida bazası'!$A$2:$A$103,0))*D229/100,"?"))</f>
        <v/>
      </c>
    </row>
    <row r="230">
      <c r="A230" s="21" t="n"/>
      <c r="E230" s="18">
        <f>IF(OR(C230="",D230=""),"",IFERROR(INDEX('Qida bazası'!$D$2:$D$103,MATCH(C230,'Qida bazası'!$A$2:$A$103,0))*D230/100,"?"))</f>
        <v/>
      </c>
      <c r="F230" s="19">
        <f>IF(OR(C230="",D230=""),"",IFERROR(INDEX('Qida bazası'!$E$2:$E$103,MATCH(C230,'Qida bazası'!$A$2:$A$103,0))*D230/100,"?"))</f>
        <v/>
      </c>
      <c r="G230" s="19">
        <f>IF(OR(C230="",D230=""),"",IFERROR(INDEX('Qida bazası'!$F$2:$F$103,MATCH(C230,'Qida bazası'!$A$2:$A$103,0))*D230/100,"?"))</f>
        <v/>
      </c>
      <c r="H230" s="19">
        <f>IF(OR(C230="",D230=""),"",IFERROR(INDEX('Qida bazası'!$G$2:$G$103,MATCH(C230,'Qida bazası'!$A$2:$A$103,0))*D230/100,"?"))</f>
        <v/>
      </c>
    </row>
    <row r="231">
      <c r="A231" s="21" t="n"/>
      <c r="E231" s="18">
        <f>IF(OR(C231="",D231=""),"",IFERROR(INDEX('Qida bazası'!$D$2:$D$103,MATCH(C231,'Qida bazası'!$A$2:$A$103,0))*D231/100,"?"))</f>
        <v/>
      </c>
      <c r="F231" s="19">
        <f>IF(OR(C231="",D231=""),"",IFERROR(INDEX('Qida bazası'!$E$2:$E$103,MATCH(C231,'Qida bazası'!$A$2:$A$103,0))*D231/100,"?"))</f>
        <v/>
      </c>
      <c r="G231" s="19">
        <f>IF(OR(C231="",D231=""),"",IFERROR(INDEX('Qida bazası'!$F$2:$F$103,MATCH(C231,'Qida bazası'!$A$2:$A$103,0))*D231/100,"?"))</f>
        <v/>
      </c>
      <c r="H231" s="19">
        <f>IF(OR(C231="",D231=""),"",IFERROR(INDEX('Qida bazası'!$G$2:$G$103,MATCH(C231,'Qida bazası'!$A$2:$A$103,0))*D231/100,"?"))</f>
        <v/>
      </c>
    </row>
    <row r="232">
      <c r="A232" s="21" t="n"/>
      <c r="E232" s="18">
        <f>IF(OR(C232="",D232=""),"",IFERROR(INDEX('Qida bazası'!$D$2:$D$103,MATCH(C232,'Qida bazası'!$A$2:$A$103,0))*D232/100,"?"))</f>
        <v/>
      </c>
      <c r="F232" s="19">
        <f>IF(OR(C232="",D232=""),"",IFERROR(INDEX('Qida bazası'!$E$2:$E$103,MATCH(C232,'Qida bazası'!$A$2:$A$103,0))*D232/100,"?"))</f>
        <v/>
      </c>
      <c r="G232" s="19">
        <f>IF(OR(C232="",D232=""),"",IFERROR(INDEX('Qida bazası'!$F$2:$F$103,MATCH(C232,'Qida bazası'!$A$2:$A$103,0))*D232/100,"?"))</f>
        <v/>
      </c>
      <c r="H232" s="19">
        <f>IF(OR(C232="",D232=""),"",IFERROR(INDEX('Qida bazası'!$G$2:$G$103,MATCH(C232,'Qida bazası'!$A$2:$A$103,0))*D232/100,"?"))</f>
        <v/>
      </c>
    </row>
    <row r="233">
      <c r="A233" s="21" t="n"/>
      <c r="E233" s="18">
        <f>IF(OR(C233="",D233=""),"",IFERROR(INDEX('Qida bazası'!$D$2:$D$103,MATCH(C233,'Qida bazası'!$A$2:$A$103,0))*D233/100,"?"))</f>
        <v/>
      </c>
      <c r="F233" s="19">
        <f>IF(OR(C233="",D233=""),"",IFERROR(INDEX('Qida bazası'!$E$2:$E$103,MATCH(C233,'Qida bazası'!$A$2:$A$103,0))*D233/100,"?"))</f>
        <v/>
      </c>
      <c r="G233" s="19">
        <f>IF(OR(C233="",D233=""),"",IFERROR(INDEX('Qida bazası'!$F$2:$F$103,MATCH(C233,'Qida bazası'!$A$2:$A$103,0))*D233/100,"?"))</f>
        <v/>
      </c>
      <c r="H233" s="19">
        <f>IF(OR(C233="",D233=""),"",IFERROR(INDEX('Qida bazası'!$G$2:$G$103,MATCH(C233,'Qida bazası'!$A$2:$A$103,0))*D233/100,"?"))</f>
        <v/>
      </c>
    </row>
    <row r="234">
      <c r="A234" s="21" t="n"/>
      <c r="E234" s="18">
        <f>IF(OR(C234="",D234=""),"",IFERROR(INDEX('Qida bazası'!$D$2:$D$103,MATCH(C234,'Qida bazası'!$A$2:$A$103,0))*D234/100,"?"))</f>
        <v/>
      </c>
      <c r="F234" s="19">
        <f>IF(OR(C234="",D234=""),"",IFERROR(INDEX('Qida bazası'!$E$2:$E$103,MATCH(C234,'Qida bazası'!$A$2:$A$103,0))*D234/100,"?"))</f>
        <v/>
      </c>
      <c r="G234" s="19">
        <f>IF(OR(C234="",D234=""),"",IFERROR(INDEX('Qida bazası'!$F$2:$F$103,MATCH(C234,'Qida bazası'!$A$2:$A$103,0))*D234/100,"?"))</f>
        <v/>
      </c>
      <c r="H234" s="19">
        <f>IF(OR(C234="",D234=""),"",IFERROR(INDEX('Qida bazası'!$G$2:$G$103,MATCH(C234,'Qida bazası'!$A$2:$A$103,0))*D234/100,"?"))</f>
        <v/>
      </c>
    </row>
    <row r="235">
      <c r="A235" s="21" t="n"/>
      <c r="E235" s="18">
        <f>IF(OR(C235="",D235=""),"",IFERROR(INDEX('Qida bazası'!$D$2:$D$103,MATCH(C235,'Qida bazası'!$A$2:$A$103,0))*D235/100,"?"))</f>
        <v/>
      </c>
      <c r="F235" s="19">
        <f>IF(OR(C235="",D235=""),"",IFERROR(INDEX('Qida bazası'!$E$2:$E$103,MATCH(C235,'Qida bazası'!$A$2:$A$103,0))*D235/100,"?"))</f>
        <v/>
      </c>
      <c r="G235" s="19">
        <f>IF(OR(C235="",D235=""),"",IFERROR(INDEX('Qida bazası'!$F$2:$F$103,MATCH(C235,'Qida bazası'!$A$2:$A$103,0))*D235/100,"?"))</f>
        <v/>
      </c>
      <c r="H235" s="19">
        <f>IF(OR(C235="",D235=""),"",IFERROR(INDEX('Qida bazası'!$G$2:$G$103,MATCH(C235,'Qida bazası'!$A$2:$A$103,0))*D235/100,"?"))</f>
        <v/>
      </c>
    </row>
    <row r="236">
      <c r="A236" s="21" t="n"/>
      <c r="E236" s="18">
        <f>IF(OR(C236="",D236=""),"",IFERROR(INDEX('Qida bazası'!$D$2:$D$103,MATCH(C236,'Qida bazası'!$A$2:$A$103,0))*D236/100,"?"))</f>
        <v/>
      </c>
      <c r="F236" s="19">
        <f>IF(OR(C236="",D236=""),"",IFERROR(INDEX('Qida bazası'!$E$2:$E$103,MATCH(C236,'Qida bazası'!$A$2:$A$103,0))*D236/100,"?"))</f>
        <v/>
      </c>
      <c r="G236" s="19">
        <f>IF(OR(C236="",D236=""),"",IFERROR(INDEX('Qida bazası'!$F$2:$F$103,MATCH(C236,'Qida bazası'!$A$2:$A$103,0))*D236/100,"?"))</f>
        <v/>
      </c>
      <c r="H236" s="19">
        <f>IF(OR(C236="",D236=""),"",IFERROR(INDEX('Qida bazası'!$G$2:$G$103,MATCH(C236,'Qida bazası'!$A$2:$A$103,0))*D236/100,"?"))</f>
        <v/>
      </c>
    </row>
    <row r="237">
      <c r="A237" s="21" t="n"/>
      <c r="E237" s="18">
        <f>IF(OR(C237="",D237=""),"",IFERROR(INDEX('Qida bazası'!$D$2:$D$103,MATCH(C237,'Qida bazası'!$A$2:$A$103,0))*D237/100,"?"))</f>
        <v/>
      </c>
      <c r="F237" s="19">
        <f>IF(OR(C237="",D237=""),"",IFERROR(INDEX('Qida bazası'!$E$2:$E$103,MATCH(C237,'Qida bazası'!$A$2:$A$103,0))*D237/100,"?"))</f>
        <v/>
      </c>
      <c r="G237" s="19">
        <f>IF(OR(C237="",D237=""),"",IFERROR(INDEX('Qida bazası'!$F$2:$F$103,MATCH(C237,'Qida bazası'!$A$2:$A$103,0))*D237/100,"?"))</f>
        <v/>
      </c>
      <c r="H237" s="19">
        <f>IF(OR(C237="",D237=""),"",IFERROR(INDEX('Qida bazası'!$G$2:$G$103,MATCH(C237,'Qida bazası'!$A$2:$A$103,0))*D237/100,"?"))</f>
        <v/>
      </c>
    </row>
    <row r="238">
      <c r="A238" s="21" t="n"/>
      <c r="E238" s="18">
        <f>IF(OR(C238="",D238=""),"",IFERROR(INDEX('Qida bazası'!$D$2:$D$103,MATCH(C238,'Qida bazası'!$A$2:$A$103,0))*D238/100,"?"))</f>
        <v/>
      </c>
      <c r="F238" s="19">
        <f>IF(OR(C238="",D238=""),"",IFERROR(INDEX('Qida bazası'!$E$2:$E$103,MATCH(C238,'Qida bazası'!$A$2:$A$103,0))*D238/100,"?"))</f>
        <v/>
      </c>
      <c r="G238" s="19">
        <f>IF(OR(C238="",D238=""),"",IFERROR(INDEX('Qida bazası'!$F$2:$F$103,MATCH(C238,'Qida bazası'!$A$2:$A$103,0))*D238/100,"?"))</f>
        <v/>
      </c>
      <c r="H238" s="19">
        <f>IF(OR(C238="",D238=""),"",IFERROR(INDEX('Qida bazası'!$G$2:$G$103,MATCH(C238,'Qida bazası'!$A$2:$A$103,0))*D238/100,"?"))</f>
        <v/>
      </c>
    </row>
    <row r="239">
      <c r="A239" s="21" t="n"/>
      <c r="E239" s="18">
        <f>IF(OR(C239="",D239=""),"",IFERROR(INDEX('Qida bazası'!$D$2:$D$103,MATCH(C239,'Qida bazası'!$A$2:$A$103,0))*D239/100,"?"))</f>
        <v/>
      </c>
      <c r="F239" s="19">
        <f>IF(OR(C239="",D239=""),"",IFERROR(INDEX('Qida bazası'!$E$2:$E$103,MATCH(C239,'Qida bazası'!$A$2:$A$103,0))*D239/100,"?"))</f>
        <v/>
      </c>
      <c r="G239" s="19">
        <f>IF(OR(C239="",D239=""),"",IFERROR(INDEX('Qida bazası'!$F$2:$F$103,MATCH(C239,'Qida bazası'!$A$2:$A$103,0))*D239/100,"?"))</f>
        <v/>
      </c>
      <c r="H239" s="19">
        <f>IF(OR(C239="",D239=""),"",IFERROR(INDEX('Qida bazası'!$G$2:$G$103,MATCH(C239,'Qida bazası'!$A$2:$A$103,0))*D239/100,"?"))</f>
        <v/>
      </c>
    </row>
    <row r="240">
      <c r="A240" s="21" t="n"/>
      <c r="E240" s="18">
        <f>IF(OR(C240="",D240=""),"",IFERROR(INDEX('Qida bazası'!$D$2:$D$103,MATCH(C240,'Qida bazası'!$A$2:$A$103,0))*D240/100,"?"))</f>
        <v/>
      </c>
      <c r="F240" s="19">
        <f>IF(OR(C240="",D240=""),"",IFERROR(INDEX('Qida bazası'!$E$2:$E$103,MATCH(C240,'Qida bazası'!$A$2:$A$103,0))*D240/100,"?"))</f>
        <v/>
      </c>
      <c r="G240" s="19">
        <f>IF(OR(C240="",D240=""),"",IFERROR(INDEX('Qida bazası'!$F$2:$F$103,MATCH(C240,'Qida bazası'!$A$2:$A$103,0))*D240/100,"?"))</f>
        <v/>
      </c>
      <c r="H240" s="19">
        <f>IF(OR(C240="",D240=""),"",IFERROR(INDEX('Qida bazası'!$G$2:$G$103,MATCH(C240,'Qida bazası'!$A$2:$A$103,0))*D240/100,"?"))</f>
        <v/>
      </c>
    </row>
    <row r="241">
      <c r="A241" s="21" t="n"/>
      <c r="E241" s="18">
        <f>IF(OR(C241="",D241=""),"",IFERROR(INDEX('Qida bazası'!$D$2:$D$103,MATCH(C241,'Qida bazası'!$A$2:$A$103,0))*D241/100,"?"))</f>
        <v/>
      </c>
      <c r="F241" s="19">
        <f>IF(OR(C241="",D241=""),"",IFERROR(INDEX('Qida bazası'!$E$2:$E$103,MATCH(C241,'Qida bazası'!$A$2:$A$103,0))*D241/100,"?"))</f>
        <v/>
      </c>
      <c r="G241" s="19">
        <f>IF(OR(C241="",D241=""),"",IFERROR(INDEX('Qida bazası'!$F$2:$F$103,MATCH(C241,'Qida bazası'!$A$2:$A$103,0))*D241/100,"?"))</f>
        <v/>
      </c>
      <c r="H241" s="19">
        <f>IF(OR(C241="",D241=""),"",IFERROR(INDEX('Qida bazası'!$G$2:$G$103,MATCH(C241,'Qida bazası'!$A$2:$A$103,0))*D241/100,"?"))</f>
        <v/>
      </c>
    </row>
    <row r="242">
      <c r="A242" s="21" t="n"/>
      <c r="E242" s="18">
        <f>IF(OR(C242="",D242=""),"",IFERROR(INDEX('Qida bazası'!$D$2:$D$103,MATCH(C242,'Qida bazası'!$A$2:$A$103,0))*D242/100,"?"))</f>
        <v/>
      </c>
      <c r="F242" s="19">
        <f>IF(OR(C242="",D242=""),"",IFERROR(INDEX('Qida bazası'!$E$2:$E$103,MATCH(C242,'Qida bazası'!$A$2:$A$103,0))*D242/100,"?"))</f>
        <v/>
      </c>
      <c r="G242" s="19">
        <f>IF(OR(C242="",D242=""),"",IFERROR(INDEX('Qida bazası'!$F$2:$F$103,MATCH(C242,'Qida bazası'!$A$2:$A$103,0))*D242/100,"?"))</f>
        <v/>
      </c>
      <c r="H242" s="19">
        <f>IF(OR(C242="",D242=""),"",IFERROR(INDEX('Qida bazası'!$G$2:$G$103,MATCH(C242,'Qida bazası'!$A$2:$A$103,0))*D242/100,"?"))</f>
        <v/>
      </c>
    </row>
    <row r="243">
      <c r="A243" s="21" t="n"/>
      <c r="E243" s="18">
        <f>IF(OR(C243="",D243=""),"",IFERROR(INDEX('Qida bazası'!$D$2:$D$103,MATCH(C243,'Qida bazası'!$A$2:$A$103,0))*D243/100,"?"))</f>
        <v/>
      </c>
      <c r="F243" s="19">
        <f>IF(OR(C243="",D243=""),"",IFERROR(INDEX('Qida bazası'!$E$2:$E$103,MATCH(C243,'Qida bazası'!$A$2:$A$103,0))*D243/100,"?"))</f>
        <v/>
      </c>
      <c r="G243" s="19">
        <f>IF(OR(C243="",D243=""),"",IFERROR(INDEX('Qida bazası'!$F$2:$F$103,MATCH(C243,'Qida bazası'!$A$2:$A$103,0))*D243/100,"?"))</f>
        <v/>
      </c>
      <c r="H243" s="19">
        <f>IF(OR(C243="",D243=""),"",IFERROR(INDEX('Qida bazası'!$G$2:$G$103,MATCH(C243,'Qida bazası'!$A$2:$A$103,0))*D243/100,"?"))</f>
        <v/>
      </c>
    </row>
    <row r="244">
      <c r="A244" s="21" t="n"/>
      <c r="E244" s="18">
        <f>IF(OR(C244="",D244=""),"",IFERROR(INDEX('Qida bazası'!$D$2:$D$103,MATCH(C244,'Qida bazası'!$A$2:$A$103,0))*D244/100,"?"))</f>
        <v/>
      </c>
      <c r="F244" s="19">
        <f>IF(OR(C244="",D244=""),"",IFERROR(INDEX('Qida bazası'!$E$2:$E$103,MATCH(C244,'Qida bazası'!$A$2:$A$103,0))*D244/100,"?"))</f>
        <v/>
      </c>
      <c r="G244" s="19">
        <f>IF(OR(C244="",D244=""),"",IFERROR(INDEX('Qida bazası'!$F$2:$F$103,MATCH(C244,'Qida bazası'!$A$2:$A$103,0))*D244/100,"?"))</f>
        <v/>
      </c>
      <c r="H244" s="19">
        <f>IF(OR(C244="",D244=""),"",IFERROR(INDEX('Qida bazası'!$G$2:$G$103,MATCH(C244,'Qida bazası'!$A$2:$A$103,0))*D244/100,"?"))</f>
        <v/>
      </c>
    </row>
    <row r="245">
      <c r="A245" s="21" t="n"/>
      <c r="E245" s="18">
        <f>IF(OR(C245="",D245=""),"",IFERROR(INDEX('Qida bazası'!$D$2:$D$103,MATCH(C245,'Qida bazası'!$A$2:$A$103,0))*D245/100,"?"))</f>
        <v/>
      </c>
      <c r="F245" s="19">
        <f>IF(OR(C245="",D245=""),"",IFERROR(INDEX('Qida bazası'!$E$2:$E$103,MATCH(C245,'Qida bazası'!$A$2:$A$103,0))*D245/100,"?"))</f>
        <v/>
      </c>
      <c r="G245" s="19">
        <f>IF(OR(C245="",D245=""),"",IFERROR(INDEX('Qida bazası'!$F$2:$F$103,MATCH(C245,'Qida bazası'!$A$2:$A$103,0))*D245/100,"?"))</f>
        <v/>
      </c>
      <c r="H245" s="19">
        <f>IF(OR(C245="",D245=""),"",IFERROR(INDEX('Qida bazası'!$G$2:$G$103,MATCH(C245,'Qida bazası'!$A$2:$A$103,0))*D245/100,"?"))</f>
        <v/>
      </c>
    </row>
    <row r="246">
      <c r="A246" s="21" t="n"/>
      <c r="E246" s="18">
        <f>IF(OR(C246="",D246=""),"",IFERROR(INDEX('Qida bazası'!$D$2:$D$103,MATCH(C246,'Qida bazası'!$A$2:$A$103,0))*D246/100,"?"))</f>
        <v/>
      </c>
      <c r="F246" s="19">
        <f>IF(OR(C246="",D246=""),"",IFERROR(INDEX('Qida bazası'!$E$2:$E$103,MATCH(C246,'Qida bazası'!$A$2:$A$103,0))*D246/100,"?"))</f>
        <v/>
      </c>
      <c r="G246" s="19">
        <f>IF(OR(C246="",D246=""),"",IFERROR(INDEX('Qida bazası'!$F$2:$F$103,MATCH(C246,'Qida bazası'!$A$2:$A$103,0))*D246/100,"?"))</f>
        <v/>
      </c>
      <c r="H246" s="19">
        <f>IF(OR(C246="",D246=""),"",IFERROR(INDEX('Qida bazası'!$G$2:$G$103,MATCH(C246,'Qida bazası'!$A$2:$A$103,0))*D246/100,"?"))</f>
        <v/>
      </c>
    </row>
    <row r="247">
      <c r="A247" s="21" t="n"/>
      <c r="E247" s="18">
        <f>IF(OR(C247="",D247=""),"",IFERROR(INDEX('Qida bazası'!$D$2:$D$103,MATCH(C247,'Qida bazası'!$A$2:$A$103,0))*D247/100,"?"))</f>
        <v/>
      </c>
      <c r="F247" s="19">
        <f>IF(OR(C247="",D247=""),"",IFERROR(INDEX('Qida bazası'!$E$2:$E$103,MATCH(C247,'Qida bazası'!$A$2:$A$103,0))*D247/100,"?"))</f>
        <v/>
      </c>
      <c r="G247" s="19">
        <f>IF(OR(C247="",D247=""),"",IFERROR(INDEX('Qida bazası'!$F$2:$F$103,MATCH(C247,'Qida bazası'!$A$2:$A$103,0))*D247/100,"?"))</f>
        <v/>
      </c>
      <c r="H247" s="19">
        <f>IF(OR(C247="",D247=""),"",IFERROR(INDEX('Qida bazası'!$G$2:$G$103,MATCH(C247,'Qida bazası'!$A$2:$A$103,0))*D247/100,"?"))</f>
        <v/>
      </c>
    </row>
    <row r="248">
      <c r="A248" s="21" t="n"/>
      <c r="E248" s="18">
        <f>IF(OR(C248="",D248=""),"",IFERROR(INDEX('Qida bazası'!$D$2:$D$103,MATCH(C248,'Qida bazası'!$A$2:$A$103,0))*D248/100,"?"))</f>
        <v/>
      </c>
      <c r="F248" s="19">
        <f>IF(OR(C248="",D248=""),"",IFERROR(INDEX('Qida bazası'!$E$2:$E$103,MATCH(C248,'Qida bazası'!$A$2:$A$103,0))*D248/100,"?"))</f>
        <v/>
      </c>
      <c r="G248" s="19">
        <f>IF(OR(C248="",D248=""),"",IFERROR(INDEX('Qida bazası'!$F$2:$F$103,MATCH(C248,'Qida bazası'!$A$2:$A$103,0))*D248/100,"?"))</f>
        <v/>
      </c>
      <c r="H248" s="19">
        <f>IF(OR(C248="",D248=""),"",IFERROR(INDEX('Qida bazası'!$G$2:$G$103,MATCH(C248,'Qida bazası'!$A$2:$A$103,0))*D248/100,"?"))</f>
        <v/>
      </c>
    </row>
    <row r="249">
      <c r="A249" s="21" t="n"/>
      <c r="E249" s="18">
        <f>IF(OR(C249="",D249=""),"",IFERROR(INDEX('Qida bazası'!$D$2:$D$103,MATCH(C249,'Qida bazası'!$A$2:$A$103,0))*D249/100,"?"))</f>
        <v/>
      </c>
      <c r="F249" s="19">
        <f>IF(OR(C249="",D249=""),"",IFERROR(INDEX('Qida bazası'!$E$2:$E$103,MATCH(C249,'Qida bazası'!$A$2:$A$103,0))*D249/100,"?"))</f>
        <v/>
      </c>
      <c r="G249" s="19">
        <f>IF(OR(C249="",D249=""),"",IFERROR(INDEX('Qida bazası'!$F$2:$F$103,MATCH(C249,'Qida bazası'!$A$2:$A$103,0))*D249/100,"?"))</f>
        <v/>
      </c>
      <c r="H249" s="19">
        <f>IF(OR(C249="",D249=""),"",IFERROR(INDEX('Qida bazası'!$G$2:$G$103,MATCH(C249,'Qida bazası'!$A$2:$A$103,0))*D249/100,"?"))</f>
        <v/>
      </c>
    </row>
    <row r="250">
      <c r="A250" s="21" t="n"/>
      <c r="E250" s="18">
        <f>IF(OR(C250="",D250=""),"",IFERROR(INDEX('Qida bazası'!$D$2:$D$103,MATCH(C250,'Qida bazası'!$A$2:$A$103,0))*D250/100,"?"))</f>
        <v/>
      </c>
      <c r="F250" s="19">
        <f>IF(OR(C250="",D250=""),"",IFERROR(INDEX('Qida bazası'!$E$2:$E$103,MATCH(C250,'Qida bazası'!$A$2:$A$103,0))*D250/100,"?"))</f>
        <v/>
      </c>
      <c r="G250" s="19">
        <f>IF(OR(C250="",D250=""),"",IFERROR(INDEX('Qida bazası'!$F$2:$F$103,MATCH(C250,'Qida bazası'!$A$2:$A$103,0))*D250/100,"?"))</f>
        <v/>
      </c>
      <c r="H250" s="19">
        <f>IF(OR(C250="",D250=""),"",IFERROR(INDEX('Qida bazası'!$G$2:$G$103,MATCH(C250,'Qida bazası'!$A$2:$A$103,0))*D250/100,"?"))</f>
        <v/>
      </c>
    </row>
    <row r="251">
      <c r="A251" s="21" t="n"/>
      <c r="E251" s="18">
        <f>IF(OR(C251="",D251=""),"",IFERROR(INDEX('Qida bazası'!$D$2:$D$103,MATCH(C251,'Qida bazası'!$A$2:$A$103,0))*D251/100,"?"))</f>
        <v/>
      </c>
      <c r="F251" s="19">
        <f>IF(OR(C251="",D251=""),"",IFERROR(INDEX('Qida bazası'!$E$2:$E$103,MATCH(C251,'Qida bazası'!$A$2:$A$103,0))*D251/100,"?"))</f>
        <v/>
      </c>
      <c r="G251" s="19">
        <f>IF(OR(C251="",D251=""),"",IFERROR(INDEX('Qida bazası'!$F$2:$F$103,MATCH(C251,'Qida bazası'!$A$2:$A$103,0))*D251/100,"?"))</f>
        <v/>
      </c>
      <c r="H251" s="19">
        <f>IF(OR(C251="",D251=""),"",IFERROR(INDEX('Qida bazası'!$G$2:$G$103,MATCH(C251,'Qida bazası'!$A$2:$A$103,0))*D251/100,"?"))</f>
        <v/>
      </c>
    </row>
    <row r="252">
      <c r="A252" s="21" t="n"/>
      <c r="E252" s="18">
        <f>IF(OR(C252="",D252=""),"",IFERROR(INDEX('Qida bazası'!$D$2:$D$103,MATCH(C252,'Qida bazası'!$A$2:$A$103,0))*D252/100,"?"))</f>
        <v/>
      </c>
      <c r="F252" s="19">
        <f>IF(OR(C252="",D252=""),"",IFERROR(INDEX('Qida bazası'!$E$2:$E$103,MATCH(C252,'Qida bazası'!$A$2:$A$103,0))*D252/100,"?"))</f>
        <v/>
      </c>
      <c r="G252" s="19">
        <f>IF(OR(C252="",D252=""),"",IFERROR(INDEX('Qida bazası'!$F$2:$F$103,MATCH(C252,'Qida bazası'!$A$2:$A$103,0))*D252/100,"?"))</f>
        <v/>
      </c>
      <c r="H252" s="19">
        <f>IF(OR(C252="",D252=""),"",IFERROR(INDEX('Qida bazası'!$G$2:$G$103,MATCH(C252,'Qida bazası'!$A$2:$A$103,0))*D252/100,"?"))</f>
        <v/>
      </c>
    </row>
    <row r="253">
      <c r="A253" s="21" t="n"/>
      <c r="E253" s="18">
        <f>IF(OR(C253="",D253=""),"",IFERROR(INDEX('Qida bazası'!$D$2:$D$103,MATCH(C253,'Qida bazası'!$A$2:$A$103,0))*D253/100,"?"))</f>
        <v/>
      </c>
      <c r="F253" s="19">
        <f>IF(OR(C253="",D253=""),"",IFERROR(INDEX('Qida bazası'!$E$2:$E$103,MATCH(C253,'Qida bazası'!$A$2:$A$103,0))*D253/100,"?"))</f>
        <v/>
      </c>
      <c r="G253" s="19">
        <f>IF(OR(C253="",D253=""),"",IFERROR(INDEX('Qida bazası'!$F$2:$F$103,MATCH(C253,'Qida bazası'!$A$2:$A$103,0))*D253/100,"?"))</f>
        <v/>
      </c>
      <c r="H253" s="19">
        <f>IF(OR(C253="",D253=""),"",IFERROR(INDEX('Qida bazası'!$G$2:$G$103,MATCH(C253,'Qida bazası'!$A$2:$A$103,0))*D253/100,"?"))</f>
        <v/>
      </c>
    </row>
    <row r="254">
      <c r="A254" s="21" t="n"/>
      <c r="E254" s="18">
        <f>IF(OR(C254="",D254=""),"",IFERROR(INDEX('Qida bazası'!$D$2:$D$103,MATCH(C254,'Qida bazası'!$A$2:$A$103,0))*D254/100,"?"))</f>
        <v/>
      </c>
      <c r="F254" s="19">
        <f>IF(OR(C254="",D254=""),"",IFERROR(INDEX('Qida bazası'!$E$2:$E$103,MATCH(C254,'Qida bazası'!$A$2:$A$103,0))*D254/100,"?"))</f>
        <v/>
      </c>
      <c r="G254" s="19">
        <f>IF(OR(C254="",D254=""),"",IFERROR(INDEX('Qida bazası'!$F$2:$F$103,MATCH(C254,'Qida bazası'!$A$2:$A$103,0))*D254/100,"?"))</f>
        <v/>
      </c>
      <c r="H254" s="19">
        <f>IF(OR(C254="",D254=""),"",IFERROR(INDEX('Qida bazası'!$G$2:$G$103,MATCH(C254,'Qida bazası'!$A$2:$A$103,0))*D254/100,"?"))</f>
        <v/>
      </c>
    </row>
    <row r="255">
      <c r="A255" s="21" t="n"/>
      <c r="E255" s="18">
        <f>IF(OR(C255="",D255=""),"",IFERROR(INDEX('Qida bazası'!$D$2:$D$103,MATCH(C255,'Qida bazası'!$A$2:$A$103,0))*D255/100,"?"))</f>
        <v/>
      </c>
      <c r="F255" s="19">
        <f>IF(OR(C255="",D255=""),"",IFERROR(INDEX('Qida bazası'!$E$2:$E$103,MATCH(C255,'Qida bazası'!$A$2:$A$103,0))*D255/100,"?"))</f>
        <v/>
      </c>
      <c r="G255" s="19">
        <f>IF(OR(C255="",D255=""),"",IFERROR(INDEX('Qida bazası'!$F$2:$F$103,MATCH(C255,'Qida bazası'!$A$2:$A$103,0))*D255/100,"?"))</f>
        <v/>
      </c>
      <c r="H255" s="19">
        <f>IF(OR(C255="",D255=""),"",IFERROR(INDEX('Qida bazası'!$G$2:$G$103,MATCH(C255,'Qida bazası'!$A$2:$A$103,0))*D255/100,"?"))</f>
        <v/>
      </c>
    </row>
    <row r="256">
      <c r="A256" s="21" t="n"/>
      <c r="E256" s="18">
        <f>IF(OR(C256="",D256=""),"",IFERROR(INDEX('Qida bazası'!$D$2:$D$103,MATCH(C256,'Qida bazası'!$A$2:$A$103,0))*D256/100,"?"))</f>
        <v/>
      </c>
      <c r="F256" s="19">
        <f>IF(OR(C256="",D256=""),"",IFERROR(INDEX('Qida bazası'!$E$2:$E$103,MATCH(C256,'Qida bazası'!$A$2:$A$103,0))*D256/100,"?"))</f>
        <v/>
      </c>
      <c r="G256" s="19">
        <f>IF(OR(C256="",D256=""),"",IFERROR(INDEX('Qida bazası'!$F$2:$F$103,MATCH(C256,'Qida bazası'!$A$2:$A$103,0))*D256/100,"?"))</f>
        <v/>
      </c>
      <c r="H256" s="19">
        <f>IF(OR(C256="",D256=""),"",IFERROR(INDEX('Qida bazası'!$G$2:$G$103,MATCH(C256,'Qida bazası'!$A$2:$A$103,0))*D256/100,"?"))</f>
        <v/>
      </c>
    </row>
    <row r="257">
      <c r="A257" s="21" t="n"/>
      <c r="E257" s="18">
        <f>IF(OR(C257="",D257=""),"",IFERROR(INDEX('Qida bazası'!$D$2:$D$103,MATCH(C257,'Qida bazası'!$A$2:$A$103,0))*D257/100,"?"))</f>
        <v/>
      </c>
      <c r="F257" s="19">
        <f>IF(OR(C257="",D257=""),"",IFERROR(INDEX('Qida bazası'!$E$2:$E$103,MATCH(C257,'Qida bazası'!$A$2:$A$103,0))*D257/100,"?"))</f>
        <v/>
      </c>
      <c r="G257" s="19">
        <f>IF(OR(C257="",D257=""),"",IFERROR(INDEX('Qida bazası'!$F$2:$F$103,MATCH(C257,'Qida bazası'!$A$2:$A$103,0))*D257/100,"?"))</f>
        <v/>
      </c>
      <c r="H257" s="19">
        <f>IF(OR(C257="",D257=""),"",IFERROR(INDEX('Qida bazası'!$G$2:$G$103,MATCH(C257,'Qida bazası'!$A$2:$A$103,0))*D257/100,"?"))</f>
        <v/>
      </c>
    </row>
    <row r="258">
      <c r="A258" s="21" t="n"/>
      <c r="E258" s="18">
        <f>IF(OR(C258="",D258=""),"",IFERROR(INDEX('Qida bazası'!$D$2:$D$103,MATCH(C258,'Qida bazası'!$A$2:$A$103,0))*D258/100,"?"))</f>
        <v/>
      </c>
      <c r="F258" s="19">
        <f>IF(OR(C258="",D258=""),"",IFERROR(INDEX('Qida bazası'!$E$2:$E$103,MATCH(C258,'Qida bazası'!$A$2:$A$103,0))*D258/100,"?"))</f>
        <v/>
      </c>
      <c r="G258" s="19">
        <f>IF(OR(C258="",D258=""),"",IFERROR(INDEX('Qida bazası'!$F$2:$F$103,MATCH(C258,'Qida bazası'!$A$2:$A$103,0))*D258/100,"?"))</f>
        <v/>
      </c>
      <c r="H258" s="19">
        <f>IF(OR(C258="",D258=""),"",IFERROR(INDEX('Qida bazası'!$G$2:$G$103,MATCH(C258,'Qida bazası'!$A$2:$A$103,0))*D258/100,"?"))</f>
        <v/>
      </c>
    </row>
    <row r="259">
      <c r="A259" s="21" t="n"/>
      <c r="E259" s="18">
        <f>IF(OR(C259="",D259=""),"",IFERROR(INDEX('Qida bazası'!$D$2:$D$103,MATCH(C259,'Qida bazası'!$A$2:$A$103,0))*D259/100,"?"))</f>
        <v/>
      </c>
      <c r="F259" s="19">
        <f>IF(OR(C259="",D259=""),"",IFERROR(INDEX('Qida bazası'!$E$2:$E$103,MATCH(C259,'Qida bazası'!$A$2:$A$103,0))*D259/100,"?"))</f>
        <v/>
      </c>
      <c r="G259" s="19">
        <f>IF(OR(C259="",D259=""),"",IFERROR(INDEX('Qida bazası'!$F$2:$F$103,MATCH(C259,'Qida bazası'!$A$2:$A$103,0))*D259/100,"?"))</f>
        <v/>
      </c>
      <c r="H259" s="19">
        <f>IF(OR(C259="",D259=""),"",IFERROR(INDEX('Qida bazası'!$G$2:$G$103,MATCH(C259,'Qida bazası'!$A$2:$A$103,0))*D259/100,"?"))</f>
        <v/>
      </c>
    </row>
    <row r="260">
      <c r="A260" s="21" t="n"/>
      <c r="E260" s="18">
        <f>IF(OR(C260="",D260=""),"",IFERROR(INDEX('Qida bazası'!$D$2:$D$103,MATCH(C260,'Qida bazası'!$A$2:$A$103,0))*D260/100,"?"))</f>
        <v/>
      </c>
      <c r="F260" s="19">
        <f>IF(OR(C260="",D260=""),"",IFERROR(INDEX('Qida bazası'!$E$2:$E$103,MATCH(C260,'Qida bazası'!$A$2:$A$103,0))*D260/100,"?"))</f>
        <v/>
      </c>
      <c r="G260" s="19">
        <f>IF(OR(C260="",D260=""),"",IFERROR(INDEX('Qida bazası'!$F$2:$F$103,MATCH(C260,'Qida bazası'!$A$2:$A$103,0))*D260/100,"?"))</f>
        <v/>
      </c>
      <c r="H260" s="19">
        <f>IF(OR(C260="",D260=""),"",IFERROR(INDEX('Qida bazası'!$G$2:$G$103,MATCH(C260,'Qida bazası'!$A$2:$A$103,0))*D260/100,"?"))</f>
        <v/>
      </c>
    </row>
    <row r="261">
      <c r="A261" s="21" t="n"/>
      <c r="E261" s="18">
        <f>IF(OR(C261="",D261=""),"",IFERROR(INDEX('Qida bazası'!$D$2:$D$103,MATCH(C261,'Qida bazası'!$A$2:$A$103,0))*D261/100,"?"))</f>
        <v/>
      </c>
      <c r="F261" s="19">
        <f>IF(OR(C261="",D261=""),"",IFERROR(INDEX('Qida bazası'!$E$2:$E$103,MATCH(C261,'Qida bazası'!$A$2:$A$103,0))*D261/100,"?"))</f>
        <v/>
      </c>
      <c r="G261" s="19">
        <f>IF(OR(C261="",D261=""),"",IFERROR(INDEX('Qida bazası'!$F$2:$F$103,MATCH(C261,'Qida bazası'!$A$2:$A$103,0))*D261/100,"?"))</f>
        <v/>
      </c>
      <c r="H261" s="19">
        <f>IF(OR(C261="",D261=""),"",IFERROR(INDEX('Qida bazası'!$G$2:$G$103,MATCH(C261,'Qida bazası'!$A$2:$A$103,0))*D261/100,"?"))</f>
        <v/>
      </c>
    </row>
    <row r="262">
      <c r="A262" s="21" t="n"/>
      <c r="E262" s="18">
        <f>IF(OR(C262="",D262=""),"",IFERROR(INDEX('Qida bazası'!$D$2:$D$103,MATCH(C262,'Qida bazası'!$A$2:$A$103,0))*D262/100,"?"))</f>
        <v/>
      </c>
      <c r="F262" s="19">
        <f>IF(OR(C262="",D262=""),"",IFERROR(INDEX('Qida bazası'!$E$2:$E$103,MATCH(C262,'Qida bazası'!$A$2:$A$103,0))*D262/100,"?"))</f>
        <v/>
      </c>
      <c r="G262" s="19">
        <f>IF(OR(C262="",D262=""),"",IFERROR(INDEX('Qida bazası'!$F$2:$F$103,MATCH(C262,'Qida bazası'!$A$2:$A$103,0))*D262/100,"?"))</f>
        <v/>
      </c>
      <c r="H262" s="19">
        <f>IF(OR(C262="",D262=""),"",IFERROR(INDEX('Qida bazası'!$G$2:$G$103,MATCH(C262,'Qida bazası'!$A$2:$A$103,0))*D262/100,"?"))</f>
        <v/>
      </c>
    </row>
    <row r="263">
      <c r="A263" s="21" t="n"/>
      <c r="E263" s="18">
        <f>IF(OR(C263="",D263=""),"",IFERROR(INDEX('Qida bazası'!$D$2:$D$103,MATCH(C263,'Qida bazası'!$A$2:$A$103,0))*D263/100,"?"))</f>
        <v/>
      </c>
      <c r="F263" s="19">
        <f>IF(OR(C263="",D263=""),"",IFERROR(INDEX('Qida bazası'!$E$2:$E$103,MATCH(C263,'Qida bazası'!$A$2:$A$103,0))*D263/100,"?"))</f>
        <v/>
      </c>
      <c r="G263" s="19">
        <f>IF(OR(C263="",D263=""),"",IFERROR(INDEX('Qida bazası'!$F$2:$F$103,MATCH(C263,'Qida bazası'!$A$2:$A$103,0))*D263/100,"?"))</f>
        <v/>
      </c>
      <c r="H263" s="19">
        <f>IF(OR(C263="",D263=""),"",IFERROR(INDEX('Qida bazası'!$G$2:$G$103,MATCH(C263,'Qida bazası'!$A$2:$A$103,0))*D263/100,"?"))</f>
        <v/>
      </c>
    </row>
    <row r="264">
      <c r="A264" s="21" t="n"/>
      <c r="E264" s="18">
        <f>IF(OR(C264="",D264=""),"",IFERROR(INDEX('Qida bazası'!$D$2:$D$103,MATCH(C264,'Qida bazası'!$A$2:$A$103,0))*D264/100,"?"))</f>
        <v/>
      </c>
      <c r="F264" s="19">
        <f>IF(OR(C264="",D264=""),"",IFERROR(INDEX('Qida bazası'!$E$2:$E$103,MATCH(C264,'Qida bazası'!$A$2:$A$103,0))*D264/100,"?"))</f>
        <v/>
      </c>
      <c r="G264" s="19">
        <f>IF(OR(C264="",D264=""),"",IFERROR(INDEX('Qida bazası'!$F$2:$F$103,MATCH(C264,'Qida bazası'!$A$2:$A$103,0))*D264/100,"?"))</f>
        <v/>
      </c>
      <c r="H264" s="19">
        <f>IF(OR(C264="",D264=""),"",IFERROR(INDEX('Qida bazası'!$G$2:$G$103,MATCH(C264,'Qida bazası'!$A$2:$A$103,0))*D264/100,"?"))</f>
        <v/>
      </c>
    </row>
    <row r="265">
      <c r="A265" s="21" t="n"/>
      <c r="E265" s="18">
        <f>IF(OR(C265="",D265=""),"",IFERROR(INDEX('Qida bazası'!$D$2:$D$103,MATCH(C265,'Qida bazası'!$A$2:$A$103,0))*D265/100,"?"))</f>
        <v/>
      </c>
      <c r="F265" s="19">
        <f>IF(OR(C265="",D265=""),"",IFERROR(INDEX('Qida bazası'!$E$2:$E$103,MATCH(C265,'Qida bazası'!$A$2:$A$103,0))*D265/100,"?"))</f>
        <v/>
      </c>
      <c r="G265" s="19">
        <f>IF(OR(C265="",D265=""),"",IFERROR(INDEX('Qida bazası'!$F$2:$F$103,MATCH(C265,'Qida bazası'!$A$2:$A$103,0))*D265/100,"?"))</f>
        <v/>
      </c>
      <c r="H265" s="19">
        <f>IF(OR(C265="",D265=""),"",IFERROR(INDEX('Qida bazası'!$G$2:$G$103,MATCH(C265,'Qida bazası'!$A$2:$A$103,0))*D265/100,"?"))</f>
        <v/>
      </c>
    </row>
    <row r="266">
      <c r="A266" s="21" t="n"/>
      <c r="E266" s="18">
        <f>IF(OR(C266="",D266=""),"",IFERROR(INDEX('Qida bazası'!$D$2:$D$103,MATCH(C266,'Qida bazası'!$A$2:$A$103,0))*D266/100,"?"))</f>
        <v/>
      </c>
      <c r="F266" s="19">
        <f>IF(OR(C266="",D266=""),"",IFERROR(INDEX('Qida bazası'!$E$2:$E$103,MATCH(C266,'Qida bazası'!$A$2:$A$103,0))*D266/100,"?"))</f>
        <v/>
      </c>
      <c r="G266" s="19">
        <f>IF(OR(C266="",D266=""),"",IFERROR(INDEX('Qida bazası'!$F$2:$F$103,MATCH(C266,'Qida bazası'!$A$2:$A$103,0))*D266/100,"?"))</f>
        <v/>
      </c>
      <c r="H266" s="19">
        <f>IF(OR(C266="",D266=""),"",IFERROR(INDEX('Qida bazası'!$G$2:$G$103,MATCH(C266,'Qida bazası'!$A$2:$A$103,0))*D266/100,"?"))</f>
        <v/>
      </c>
    </row>
    <row r="267">
      <c r="A267" s="21" t="n"/>
      <c r="E267" s="18">
        <f>IF(OR(C267="",D267=""),"",IFERROR(INDEX('Qida bazası'!$D$2:$D$103,MATCH(C267,'Qida bazası'!$A$2:$A$103,0))*D267/100,"?"))</f>
        <v/>
      </c>
      <c r="F267" s="19">
        <f>IF(OR(C267="",D267=""),"",IFERROR(INDEX('Qida bazası'!$E$2:$E$103,MATCH(C267,'Qida bazası'!$A$2:$A$103,0))*D267/100,"?"))</f>
        <v/>
      </c>
      <c r="G267" s="19">
        <f>IF(OR(C267="",D267=""),"",IFERROR(INDEX('Qida bazası'!$F$2:$F$103,MATCH(C267,'Qida bazası'!$A$2:$A$103,0))*D267/100,"?"))</f>
        <v/>
      </c>
      <c r="H267" s="19">
        <f>IF(OR(C267="",D267=""),"",IFERROR(INDEX('Qida bazası'!$G$2:$G$103,MATCH(C267,'Qida bazası'!$A$2:$A$103,0))*D267/100,"?"))</f>
        <v/>
      </c>
    </row>
    <row r="268">
      <c r="A268" s="21" t="n"/>
      <c r="E268" s="18">
        <f>IF(OR(C268="",D268=""),"",IFERROR(INDEX('Qida bazası'!$D$2:$D$103,MATCH(C268,'Qida bazası'!$A$2:$A$103,0))*D268/100,"?"))</f>
        <v/>
      </c>
      <c r="F268" s="19">
        <f>IF(OR(C268="",D268=""),"",IFERROR(INDEX('Qida bazası'!$E$2:$E$103,MATCH(C268,'Qida bazası'!$A$2:$A$103,0))*D268/100,"?"))</f>
        <v/>
      </c>
      <c r="G268" s="19">
        <f>IF(OR(C268="",D268=""),"",IFERROR(INDEX('Qida bazası'!$F$2:$F$103,MATCH(C268,'Qida bazası'!$A$2:$A$103,0))*D268/100,"?"))</f>
        <v/>
      </c>
      <c r="H268" s="19">
        <f>IF(OR(C268="",D268=""),"",IFERROR(INDEX('Qida bazası'!$G$2:$G$103,MATCH(C268,'Qida bazası'!$A$2:$A$103,0))*D268/100,"?"))</f>
        <v/>
      </c>
    </row>
    <row r="269">
      <c r="A269" s="21" t="n"/>
      <c r="E269" s="18">
        <f>IF(OR(C269="",D269=""),"",IFERROR(INDEX('Qida bazası'!$D$2:$D$103,MATCH(C269,'Qida bazası'!$A$2:$A$103,0))*D269/100,"?"))</f>
        <v/>
      </c>
      <c r="F269" s="19">
        <f>IF(OR(C269="",D269=""),"",IFERROR(INDEX('Qida bazası'!$E$2:$E$103,MATCH(C269,'Qida bazası'!$A$2:$A$103,0))*D269/100,"?"))</f>
        <v/>
      </c>
      <c r="G269" s="19">
        <f>IF(OR(C269="",D269=""),"",IFERROR(INDEX('Qida bazası'!$F$2:$F$103,MATCH(C269,'Qida bazası'!$A$2:$A$103,0))*D269/100,"?"))</f>
        <v/>
      </c>
      <c r="H269" s="19">
        <f>IF(OR(C269="",D269=""),"",IFERROR(INDEX('Qida bazası'!$G$2:$G$103,MATCH(C269,'Qida bazası'!$A$2:$A$103,0))*D269/100,"?"))</f>
        <v/>
      </c>
    </row>
    <row r="270">
      <c r="A270" s="21" t="n"/>
      <c r="E270" s="18">
        <f>IF(OR(C270="",D270=""),"",IFERROR(INDEX('Qida bazası'!$D$2:$D$103,MATCH(C270,'Qida bazası'!$A$2:$A$103,0))*D270/100,"?"))</f>
        <v/>
      </c>
      <c r="F270" s="19">
        <f>IF(OR(C270="",D270=""),"",IFERROR(INDEX('Qida bazası'!$E$2:$E$103,MATCH(C270,'Qida bazası'!$A$2:$A$103,0))*D270/100,"?"))</f>
        <v/>
      </c>
      <c r="G270" s="19">
        <f>IF(OR(C270="",D270=""),"",IFERROR(INDEX('Qida bazası'!$F$2:$F$103,MATCH(C270,'Qida bazası'!$A$2:$A$103,0))*D270/100,"?"))</f>
        <v/>
      </c>
      <c r="H270" s="19">
        <f>IF(OR(C270="",D270=""),"",IFERROR(INDEX('Qida bazası'!$G$2:$G$103,MATCH(C270,'Qida bazası'!$A$2:$A$103,0))*D270/100,"?"))</f>
        <v/>
      </c>
    </row>
    <row r="271">
      <c r="A271" s="21" t="n"/>
      <c r="E271" s="18">
        <f>IF(OR(C271="",D271=""),"",IFERROR(INDEX('Qida bazası'!$D$2:$D$103,MATCH(C271,'Qida bazası'!$A$2:$A$103,0))*D271/100,"?"))</f>
        <v/>
      </c>
      <c r="F271" s="19">
        <f>IF(OR(C271="",D271=""),"",IFERROR(INDEX('Qida bazası'!$E$2:$E$103,MATCH(C271,'Qida bazası'!$A$2:$A$103,0))*D271/100,"?"))</f>
        <v/>
      </c>
      <c r="G271" s="19">
        <f>IF(OR(C271="",D271=""),"",IFERROR(INDEX('Qida bazası'!$F$2:$F$103,MATCH(C271,'Qida bazası'!$A$2:$A$103,0))*D271/100,"?"))</f>
        <v/>
      </c>
      <c r="H271" s="19">
        <f>IF(OR(C271="",D271=""),"",IFERROR(INDEX('Qida bazası'!$G$2:$G$103,MATCH(C271,'Qida bazası'!$A$2:$A$103,0))*D271/100,"?"))</f>
        <v/>
      </c>
    </row>
    <row r="272">
      <c r="A272" s="21" t="n"/>
      <c r="E272" s="18">
        <f>IF(OR(C272="",D272=""),"",IFERROR(INDEX('Qida bazası'!$D$2:$D$103,MATCH(C272,'Qida bazası'!$A$2:$A$103,0))*D272/100,"?"))</f>
        <v/>
      </c>
      <c r="F272" s="19">
        <f>IF(OR(C272="",D272=""),"",IFERROR(INDEX('Qida bazası'!$E$2:$E$103,MATCH(C272,'Qida bazası'!$A$2:$A$103,0))*D272/100,"?"))</f>
        <v/>
      </c>
      <c r="G272" s="19">
        <f>IF(OR(C272="",D272=""),"",IFERROR(INDEX('Qida bazası'!$F$2:$F$103,MATCH(C272,'Qida bazası'!$A$2:$A$103,0))*D272/100,"?"))</f>
        <v/>
      </c>
      <c r="H272" s="19">
        <f>IF(OR(C272="",D272=""),"",IFERROR(INDEX('Qida bazası'!$G$2:$G$103,MATCH(C272,'Qida bazası'!$A$2:$A$103,0))*D272/100,"?"))</f>
        <v/>
      </c>
    </row>
    <row r="273">
      <c r="A273" s="21" t="n"/>
      <c r="E273" s="18">
        <f>IF(OR(C273="",D273=""),"",IFERROR(INDEX('Qida bazası'!$D$2:$D$103,MATCH(C273,'Qida bazası'!$A$2:$A$103,0))*D273/100,"?"))</f>
        <v/>
      </c>
      <c r="F273" s="19">
        <f>IF(OR(C273="",D273=""),"",IFERROR(INDEX('Qida bazası'!$E$2:$E$103,MATCH(C273,'Qida bazası'!$A$2:$A$103,0))*D273/100,"?"))</f>
        <v/>
      </c>
      <c r="G273" s="19">
        <f>IF(OR(C273="",D273=""),"",IFERROR(INDEX('Qida bazası'!$F$2:$F$103,MATCH(C273,'Qida bazası'!$A$2:$A$103,0))*D273/100,"?"))</f>
        <v/>
      </c>
      <c r="H273" s="19">
        <f>IF(OR(C273="",D273=""),"",IFERROR(INDEX('Qida bazası'!$G$2:$G$103,MATCH(C273,'Qida bazası'!$A$2:$A$103,0))*D273/100,"?"))</f>
        <v/>
      </c>
    </row>
    <row r="274">
      <c r="A274" s="21" t="n"/>
      <c r="E274" s="18">
        <f>IF(OR(C274="",D274=""),"",IFERROR(INDEX('Qida bazası'!$D$2:$D$103,MATCH(C274,'Qida bazası'!$A$2:$A$103,0))*D274/100,"?"))</f>
        <v/>
      </c>
      <c r="F274" s="19">
        <f>IF(OR(C274="",D274=""),"",IFERROR(INDEX('Qida bazası'!$E$2:$E$103,MATCH(C274,'Qida bazası'!$A$2:$A$103,0))*D274/100,"?"))</f>
        <v/>
      </c>
      <c r="G274" s="19">
        <f>IF(OR(C274="",D274=""),"",IFERROR(INDEX('Qida bazası'!$F$2:$F$103,MATCH(C274,'Qida bazası'!$A$2:$A$103,0))*D274/100,"?"))</f>
        <v/>
      </c>
      <c r="H274" s="19">
        <f>IF(OR(C274="",D274=""),"",IFERROR(INDEX('Qida bazası'!$G$2:$G$103,MATCH(C274,'Qida bazası'!$A$2:$A$103,0))*D274/100,"?"))</f>
        <v/>
      </c>
    </row>
    <row r="275">
      <c r="A275" s="21" t="n"/>
      <c r="E275" s="18">
        <f>IF(OR(C275="",D275=""),"",IFERROR(INDEX('Qida bazası'!$D$2:$D$103,MATCH(C275,'Qida bazası'!$A$2:$A$103,0))*D275/100,"?"))</f>
        <v/>
      </c>
      <c r="F275" s="19">
        <f>IF(OR(C275="",D275=""),"",IFERROR(INDEX('Qida bazası'!$E$2:$E$103,MATCH(C275,'Qida bazası'!$A$2:$A$103,0))*D275/100,"?"))</f>
        <v/>
      </c>
      <c r="G275" s="19">
        <f>IF(OR(C275="",D275=""),"",IFERROR(INDEX('Qida bazası'!$F$2:$F$103,MATCH(C275,'Qida bazası'!$A$2:$A$103,0))*D275/100,"?"))</f>
        <v/>
      </c>
      <c r="H275" s="19">
        <f>IF(OR(C275="",D275=""),"",IFERROR(INDEX('Qida bazası'!$G$2:$G$103,MATCH(C275,'Qida bazası'!$A$2:$A$103,0))*D275/100,"?"))</f>
        <v/>
      </c>
    </row>
    <row r="276">
      <c r="A276" s="21" t="n"/>
      <c r="E276" s="18">
        <f>IF(OR(C276="",D276=""),"",IFERROR(INDEX('Qida bazası'!$D$2:$D$103,MATCH(C276,'Qida bazası'!$A$2:$A$103,0))*D276/100,"?"))</f>
        <v/>
      </c>
      <c r="F276" s="19">
        <f>IF(OR(C276="",D276=""),"",IFERROR(INDEX('Qida bazası'!$E$2:$E$103,MATCH(C276,'Qida bazası'!$A$2:$A$103,0))*D276/100,"?"))</f>
        <v/>
      </c>
      <c r="G276" s="19">
        <f>IF(OR(C276="",D276=""),"",IFERROR(INDEX('Qida bazası'!$F$2:$F$103,MATCH(C276,'Qida bazası'!$A$2:$A$103,0))*D276/100,"?"))</f>
        <v/>
      </c>
      <c r="H276" s="19">
        <f>IF(OR(C276="",D276=""),"",IFERROR(INDEX('Qida bazası'!$G$2:$G$103,MATCH(C276,'Qida bazası'!$A$2:$A$103,0))*D276/100,"?"))</f>
        <v/>
      </c>
    </row>
    <row r="277">
      <c r="A277" s="21" t="n"/>
      <c r="E277" s="18">
        <f>IF(OR(C277="",D277=""),"",IFERROR(INDEX('Qida bazası'!$D$2:$D$103,MATCH(C277,'Qida bazası'!$A$2:$A$103,0))*D277/100,"?"))</f>
        <v/>
      </c>
      <c r="F277" s="19">
        <f>IF(OR(C277="",D277=""),"",IFERROR(INDEX('Qida bazası'!$E$2:$E$103,MATCH(C277,'Qida bazası'!$A$2:$A$103,0))*D277/100,"?"))</f>
        <v/>
      </c>
      <c r="G277" s="19">
        <f>IF(OR(C277="",D277=""),"",IFERROR(INDEX('Qida bazası'!$F$2:$F$103,MATCH(C277,'Qida bazası'!$A$2:$A$103,0))*D277/100,"?"))</f>
        <v/>
      </c>
      <c r="H277" s="19">
        <f>IF(OR(C277="",D277=""),"",IFERROR(INDEX('Qida bazası'!$G$2:$G$103,MATCH(C277,'Qida bazası'!$A$2:$A$103,0))*D277/100,"?"))</f>
        <v/>
      </c>
    </row>
    <row r="278">
      <c r="A278" s="21" t="n"/>
      <c r="E278" s="18">
        <f>IF(OR(C278="",D278=""),"",IFERROR(INDEX('Qida bazası'!$D$2:$D$103,MATCH(C278,'Qida bazası'!$A$2:$A$103,0))*D278/100,"?"))</f>
        <v/>
      </c>
      <c r="F278" s="19">
        <f>IF(OR(C278="",D278=""),"",IFERROR(INDEX('Qida bazası'!$E$2:$E$103,MATCH(C278,'Qida bazası'!$A$2:$A$103,0))*D278/100,"?"))</f>
        <v/>
      </c>
      <c r="G278" s="19">
        <f>IF(OR(C278="",D278=""),"",IFERROR(INDEX('Qida bazası'!$F$2:$F$103,MATCH(C278,'Qida bazası'!$A$2:$A$103,0))*D278/100,"?"))</f>
        <v/>
      </c>
      <c r="H278" s="19">
        <f>IF(OR(C278="",D278=""),"",IFERROR(INDEX('Qida bazası'!$G$2:$G$103,MATCH(C278,'Qida bazası'!$A$2:$A$103,0))*D278/100,"?"))</f>
        <v/>
      </c>
    </row>
    <row r="279">
      <c r="A279" s="21" t="n"/>
      <c r="E279" s="18">
        <f>IF(OR(C279="",D279=""),"",IFERROR(INDEX('Qida bazası'!$D$2:$D$103,MATCH(C279,'Qida bazası'!$A$2:$A$103,0))*D279/100,"?"))</f>
        <v/>
      </c>
      <c r="F279" s="19">
        <f>IF(OR(C279="",D279=""),"",IFERROR(INDEX('Qida bazası'!$E$2:$E$103,MATCH(C279,'Qida bazası'!$A$2:$A$103,0))*D279/100,"?"))</f>
        <v/>
      </c>
      <c r="G279" s="19">
        <f>IF(OR(C279="",D279=""),"",IFERROR(INDEX('Qida bazası'!$F$2:$F$103,MATCH(C279,'Qida bazası'!$A$2:$A$103,0))*D279/100,"?"))</f>
        <v/>
      </c>
      <c r="H279" s="19">
        <f>IF(OR(C279="",D279=""),"",IFERROR(INDEX('Qida bazası'!$G$2:$G$103,MATCH(C279,'Qida bazası'!$A$2:$A$103,0))*D279/100,"?"))</f>
        <v/>
      </c>
    </row>
    <row r="280">
      <c r="A280" s="21" t="n"/>
      <c r="E280" s="18">
        <f>IF(OR(C280="",D280=""),"",IFERROR(INDEX('Qida bazası'!$D$2:$D$103,MATCH(C280,'Qida bazası'!$A$2:$A$103,0))*D280/100,"?"))</f>
        <v/>
      </c>
      <c r="F280" s="19">
        <f>IF(OR(C280="",D280=""),"",IFERROR(INDEX('Qida bazası'!$E$2:$E$103,MATCH(C280,'Qida bazası'!$A$2:$A$103,0))*D280/100,"?"))</f>
        <v/>
      </c>
      <c r="G280" s="19">
        <f>IF(OR(C280="",D280=""),"",IFERROR(INDEX('Qida bazası'!$F$2:$F$103,MATCH(C280,'Qida bazası'!$A$2:$A$103,0))*D280/100,"?"))</f>
        <v/>
      </c>
      <c r="H280" s="19">
        <f>IF(OR(C280="",D280=""),"",IFERROR(INDEX('Qida bazası'!$G$2:$G$103,MATCH(C280,'Qida bazası'!$A$2:$A$103,0))*D280/100,"?"))</f>
        <v/>
      </c>
    </row>
    <row r="281">
      <c r="A281" s="21" t="n"/>
      <c r="E281" s="18">
        <f>IF(OR(C281="",D281=""),"",IFERROR(INDEX('Qida bazası'!$D$2:$D$103,MATCH(C281,'Qida bazası'!$A$2:$A$103,0))*D281/100,"?"))</f>
        <v/>
      </c>
      <c r="F281" s="19">
        <f>IF(OR(C281="",D281=""),"",IFERROR(INDEX('Qida bazası'!$E$2:$E$103,MATCH(C281,'Qida bazası'!$A$2:$A$103,0))*D281/100,"?"))</f>
        <v/>
      </c>
      <c r="G281" s="19">
        <f>IF(OR(C281="",D281=""),"",IFERROR(INDEX('Qida bazası'!$F$2:$F$103,MATCH(C281,'Qida bazası'!$A$2:$A$103,0))*D281/100,"?"))</f>
        <v/>
      </c>
      <c r="H281" s="19">
        <f>IF(OR(C281="",D281=""),"",IFERROR(INDEX('Qida bazası'!$G$2:$G$103,MATCH(C281,'Qida bazası'!$A$2:$A$103,0))*D281/100,"?"))</f>
        <v/>
      </c>
    </row>
    <row r="282">
      <c r="A282" s="21" t="n"/>
      <c r="E282" s="18">
        <f>IF(OR(C282="",D282=""),"",IFERROR(INDEX('Qida bazası'!$D$2:$D$103,MATCH(C282,'Qida bazası'!$A$2:$A$103,0))*D282/100,"?"))</f>
        <v/>
      </c>
      <c r="F282" s="19">
        <f>IF(OR(C282="",D282=""),"",IFERROR(INDEX('Qida bazası'!$E$2:$E$103,MATCH(C282,'Qida bazası'!$A$2:$A$103,0))*D282/100,"?"))</f>
        <v/>
      </c>
      <c r="G282" s="19">
        <f>IF(OR(C282="",D282=""),"",IFERROR(INDEX('Qida bazası'!$F$2:$F$103,MATCH(C282,'Qida bazası'!$A$2:$A$103,0))*D282/100,"?"))</f>
        <v/>
      </c>
      <c r="H282" s="19">
        <f>IF(OR(C282="",D282=""),"",IFERROR(INDEX('Qida bazası'!$G$2:$G$103,MATCH(C282,'Qida bazası'!$A$2:$A$103,0))*D282/100,"?"))</f>
        <v/>
      </c>
    </row>
    <row r="283">
      <c r="A283" s="21" t="n"/>
      <c r="E283" s="18">
        <f>IF(OR(C283="",D283=""),"",IFERROR(INDEX('Qida bazası'!$D$2:$D$103,MATCH(C283,'Qida bazası'!$A$2:$A$103,0))*D283/100,"?"))</f>
        <v/>
      </c>
      <c r="F283" s="19">
        <f>IF(OR(C283="",D283=""),"",IFERROR(INDEX('Qida bazası'!$E$2:$E$103,MATCH(C283,'Qida bazası'!$A$2:$A$103,0))*D283/100,"?"))</f>
        <v/>
      </c>
      <c r="G283" s="19">
        <f>IF(OR(C283="",D283=""),"",IFERROR(INDEX('Qida bazası'!$F$2:$F$103,MATCH(C283,'Qida bazası'!$A$2:$A$103,0))*D283/100,"?"))</f>
        <v/>
      </c>
      <c r="H283" s="19">
        <f>IF(OR(C283="",D283=""),"",IFERROR(INDEX('Qida bazası'!$G$2:$G$103,MATCH(C283,'Qida bazası'!$A$2:$A$103,0))*D283/100,"?"))</f>
        <v/>
      </c>
    </row>
    <row r="284">
      <c r="A284" s="21" t="n"/>
      <c r="E284" s="18">
        <f>IF(OR(C284="",D284=""),"",IFERROR(INDEX('Qida bazası'!$D$2:$D$103,MATCH(C284,'Qida bazası'!$A$2:$A$103,0))*D284/100,"?"))</f>
        <v/>
      </c>
      <c r="F284" s="19">
        <f>IF(OR(C284="",D284=""),"",IFERROR(INDEX('Qida bazası'!$E$2:$E$103,MATCH(C284,'Qida bazası'!$A$2:$A$103,0))*D284/100,"?"))</f>
        <v/>
      </c>
      <c r="G284" s="19">
        <f>IF(OR(C284="",D284=""),"",IFERROR(INDEX('Qida bazası'!$F$2:$F$103,MATCH(C284,'Qida bazası'!$A$2:$A$103,0))*D284/100,"?"))</f>
        <v/>
      </c>
      <c r="H284" s="19">
        <f>IF(OR(C284="",D284=""),"",IFERROR(INDEX('Qida bazası'!$G$2:$G$103,MATCH(C284,'Qida bazası'!$A$2:$A$103,0))*D284/100,"?"))</f>
        <v/>
      </c>
    </row>
    <row r="285">
      <c r="A285" s="21" t="n"/>
      <c r="E285" s="18">
        <f>IF(OR(C285="",D285=""),"",IFERROR(INDEX('Qida bazası'!$D$2:$D$103,MATCH(C285,'Qida bazası'!$A$2:$A$103,0))*D285/100,"?"))</f>
        <v/>
      </c>
      <c r="F285" s="19">
        <f>IF(OR(C285="",D285=""),"",IFERROR(INDEX('Qida bazası'!$E$2:$E$103,MATCH(C285,'Qida bazası'!$A$2:$A$103,0))*D285/100,"?"))</f>
        <v/>
      </c>
      <c r="G285" s="19">
        <f>IF(OR(C285="",D285=""),"",IFERROR(INDEX('Qida bazası'!$F$2:$F$103,MATCH(C285,'Qida bazası'!$A$2:$A$103,0))*D285/100,"?"))</f>
        <v/>
      </c>
      <c r="H285" s="19">
        <f>IF(OR(C285="",D285=""),"",IFERROR(INDEX('Qida bazası'!$G$2:$G$103,MATCH(C285,'Qida bazası'!$A$2:$A$103,0))*D285/100,"?"))</f>
        <v/>
      </c>
    </row>
    <row r="286">
      <c r="A286" s="21" t="n"/>
      <c r="E286" s="18">
        <f>IF(OR(C286="",D286=""),"",IFERROR(INDEX('Qida bazası'!$D$2:$D$103,MATCH(C286,'Qida bazası'!$A$2:$A$103,0))*D286/100,"?"))</f>
        <v/>
      </c>
      <c r="F286" s="19">
        <f>IF(OR(C286="",D286=""),"",IFERROR(INDEX('Qida bazası'!$E$2:$E$103,MATCH(C286,'Qida bazası'!$A$2:$A$103,0))*D286/100,"?"))</f>
        <v/>
      </c>
      <c r="G286" s="19">
        <f>IF(OR(C286="",D286=""),"",IFERROR(INDEX('Qida bazası'!$F$2:$F$103,MATCH(C286,'Qida bazası'!$A$2:$A$103,0))*D286/100,"?"))</f>
        <v/>
      </c>
      <c r="H286" s="19">
        <f>IF(OR(C286="",D286=""),"",IFERROR(INDEX('Qida bazası'!$G$2:$G$103,MATCH(C286,'Qida bazası'!$A$2:$A$103,0))*D286/100,"?"))</f>
        <v/>
      </c>
    </row>
    <row r="287">
      <c r="A287" s="21" t="n"/>
      <c r="E287" s="18">
        <f>IF(OR(C287="",D287=""),"",IFERROR(INDEX('Qida bazası'!$D$2:$D$103,MATCH(C287,'Qida bazası'!$A$2:$A$103,0))*D287/100,"?"))</f>
        <v/>
      </c>
      <c r="F287" s="19">
        <f>IF(OR(C287="",D287=""),"",IFERROR(INDEX('Qida bazası'!$E$2:$E$103,MATCH(C287,'Qida bazası'!$A$2:$A$103,0))*D287/100,"?"))</f>
        <v/>
      </c>
      <c r="G287" s="19">
        <f>IF(OR(C287="",D287=""),"",IFERROR(INDEX('Qida bazası'!$F$2:$F$103,MATCH(C287,'Qida bazası'!$A$2:$A$103,0))*D287/100,"?"))</f>
        <v/>
      </c>
      <c r="H287" s="19">
        <f>IF(OR(C287="",D287=""),"",IFERROR(INDEX('Qida bazası'!$G$2:$G$103,MATCH(C287,'Qida bazası'!$A$2:$A$103,0))*D287/100,"?"))</f>
        <v/>
      </c>
    </row>
    <row r="288">
      <c r="A288" s="21" t="n"/>
      <c r="E288" s="18">
        <f>IF(OR(C288="",D288=""),"",IFERROR(INDEX('Qida bazası'!$D$2:$D$103,MATCH(C288,'Qida bazası'!$A$2:$A$103,0))*D288/100,"?"))</f>
        <v/>
      </c>
      <c r="F288" s="19">
        <f>IF(OR(C288="",D288=""),"",IFERROR(INDEX('Qida bazası'!$E$2:$E$103,MATCH(C288,'Qida bazası'!$A$2:$A$103,0))*D288/100,"?"))</f>
        <v/>
      </c>
      <c r="G288" s="19">
        <f>IF(OR(C288="",D288=""),"",IFERROR(INDEX('Qida bazası'!$F$2:$F$103,MATCH(C288,'Qida bazası'!$A$2:$A$103,0))*D288/100,"?"))</f>
        <v/>
      </c>
      <c r="H288" s="19">
        <f>IF(OR(C288="",D288=""),"",IFERROR(INDEX('Qida bazası'!$G$2:$G$103,MATCH(C288,'Qida bazası'!$A$2:$A$103,0))*D288/100,"?"))</f>
        <v/>
      </c>
    </row>
    <row r="289">
      <c r="A289" s="21" t="n"/>
      <c r="E289" s="18">
        <f>IF(OR(C289="",D289=""),"",IFERROR(INDEX('Qida bazası'!$D$2:$D$103,MATCH(C289,'Qida bazası'!$A$2:$A$103,0))*D289/100,"?"))</f>
        <v/>
      </c>
      <c r="F289" s="19">
        <f>IF(OR(C289="",D289=""),"",IFERROR(INDEX('Qida bazası'!$E$2:$E$103,MATCH(C289,'Qida bazası'!$A$2:$A$103,0))*D289/100,"?"))</f>
        <v/>
      </c>
      <c r="G289" s="19">
        <f>IF(OR(C289="",D289=""),"",IFERROR(INDEX('Qida bazası'!$F$2:$F$103,MATCH(C289,'Qida bazası'!$A$2:$A$103,0))*D289/100,"?"))</f>
        <v/>
      </c>
      <c r="H289" s="19">
        <f>IF(OR(C289="",D289=""),"",IFERROR(INDEX('Qida bazası'!$G$2:$G$103,MATCH(C289,'Qida bazası'!$A$2:$A$103,0))*D289/100,"?"))</f>
        <v/>
      </c>
    </row>
    <row r="290">
      <c r="A290" s="21" t="n"/>
      <c r="E290" s="18">
        <f>IF(OR(C290="",D290=""),"",IFERROR(INDEX('Qida bazası'!$D$2:$D$103,MATCH(C290,'Qida bazası'!$A$2:$A$103,0))*D290/100,"?"))</f>
        <v/>
      </c>
      <c r="F290" s="19">
        <f>IF(OR(C290="",D290=""),"",IFERROR(INDEX('Qida bazası'!$E$2:$E$103,MATCH(C290,'Qida bazası'!$A$2:$A$103,0))*D290/100,"?"))</f>
        <v/>
      </c>
      <c r="G290" s="19">
        <f>IF(OR(C290="",D290=""),"",IFERROR(INDEX('Qida bazası'!$F$2:$F$103,MATCH(C290,'Qida bazası'!$A$2:$A$103,0))*D290/100,"?"))</f>
        <v/>
      </c>
      <c r="H290" s="19">
        <f>IF(OR(C290="",D290=""),"",IFERROR(INDEX('Qida bazası'!$G$2:$G$103,MATCH(C290,'Qida bazası'!$A$2:$A$103,0))*D290/100,"?"))</f>
        <v/>
      </c>
    </row>
    <row r="291">
      <c r="A291" s="21" t="n"/>
      <c r="E291" s="18">
        <f>IF(OR(C291="",D291=""),"",IFERROR(INDEX('Qida bazası'!$D$2:$D$103,MATCH(C291,'Qida bazası'!$A$2:$A$103,0))*D291/100,"?"))</f>
        <v/>
      </c>
      <c r="F291" s="19">
        <f>IF(OR(C291="",D291=""),"",IFERROR(INDEX('Qida bazası'!$E$2:$E$103,MATCH(C291,'Qida bazası'!$A$2:$A$103,0))*D291/100,"?"))</f>
        <v/>
      </c>
      <c r="G291" s="19">
        <f>IF(OR(C291="",D291=""),"",IFERROR(INDEX('Qida bazası'!$F$2:$F$103,MATCH(C291,'Qida bazası'!$A$2:$A$103,0))*D291/100,"?"))</f>
        <v/>
      </c>
      <c r="H291" s="19">
        <f>IF(OR(C291="",D291=""),"",IFERROR(INDEX('Qida bazası'!$G$2:$G$103,MATCH(C291,'Qida bazası'!$A$2:$A$103,0))*D291/100,"?"))</f>
        <v/>
      </c>
    </row>
    <row r="292">
      <c r="A292" s="21" t="n"/>
      <c r="E292" s="18">
        <f>IF(OR(C292="",D292=""),"",IFERROR(INDEX('Qida bazası'!$D$2:$D$103,MATCH(C292,'Qida bazası'!$A$2:$A$103,0))*D292/100,"?"))</f>
        <v/>
      </c>
      <c r="F292" s="19">
        <f>IF(OR(C292="",D292=""),"",IFERROR(INDEX('Qida bazası'!$E$2:$E$103,MATCH(C292,'Qida bazası'!$A$2:$A$103,0))*D292/100,"?"))</f>
        <v/>
      </c>
      <c r="G292" s="19">
        <f>IF(OR(C292="",D292=""),"",IFERROR(INDEX('Qida bazası'!$F$2:$F$103,MATCH(C292,'Qida bazası'!$A$2:$A$103,0))*D292/100,"?"))</f>
        <v/>
      </c>
      <c r="H292" s="19">
        <f>IF(OR(C292="",D292=""),"",IFERROR(INDEX('Qida bazası'!$G$2:$G$103,MATCH(C292,'Qida bazası'!$A$2:$A$103,0))*D292/100,"?"))</f>
        <v/>
      </c>
    </row>
    <row r="293">
      <c r="A293" s="21" t="n"/>
      <c r="E293" s="18">
        <f>IF(OR(C293="",D293=""),"",IFERROR(INDEX('Qida bazası'!$D$2:$D$103,MATCH(C293,'Qida bazası'!$A$2:$A$103,0))*D293/100,"?"))</f>
        <v/>
      </c>
      <c r="F293" s="19">
        <f>IF(OR(C293="",D293=""),"",IFERROR(INDEX('Qida bazası'!$E$2:$E$103,MATCH(C293,'Qida bazası'!$A$2:$A$103,0))*D293/100,"?"))</f>
        <v/>
      </c>
      <c r="G293" s="19">
        <f>IF(OR(C293="",D293=""),"",IFERROR(INDEX('Qida bazası'!$F$2:$F$103,MATCH(C293,'Qida bazası'!$A$2:$A$103,0))*D293/100,"?"))</f>
        <v/>
      </c>
      <c r="H293" s="19">
        <f>IF(OR(C293="",D293=""),"",IFERROR(INDEX('Qida bazası'!$G$2:$G$103,MATCH(C293,'Qida bazası'!$A$2:$A$103,0))*D293/100,"?"))</f>
        <v/>
      </c>
    </row>
    <row r="294">
      <c r="A294" s="21" t="n"/>
      <c r="E294" s="18">
        <f>IF(OR(C294="",D294=""),"",IFERROR(INDEX('Qida bazası'!$D$2:$D$103,MATCH(C294,'Qida bazası'!$A$2:$A$103,0))*D294/100,"?"))</f>
        <v/>
      </c>
      <c r="F294" s="19">
        <f>IF(OR(C294="",D294=""),"",IFERROR(INDEX('Qida bazası'!$E$2:$E$103,MATCH(C294,'Qida bazası'!$A$2:$A$103,0))*D294/100,"?"))</f>
        <v/>
      </c>
      <c r="G294" s="19">
        <f>IF(OR(C294="",D294=""),"",IFERROR(INDEX('Qida bazası'!$F$2:$F$103,MATCH(C294,'Qida bazası'!$A$2:$A$103,0))*D294/100,"?"))</f>
        <v/>
      </c>
      <c r="H294" s="19">
        <f>IF(OR(C294="",D294=""),"",IFERROR(INDEX('Qida bazası'!$G$2:$G$103,MATCH(C294,'Qida bazası'!$A$2:$A$103,0))*D294/100,"?"))</f>
        <v/>
      </c>
    </row>
    <row r="295">
      <c r="A295" s="21" t="n"/>
      <c r="E295" s="18">
        <f>IF(OR(C295="",D295=""),"",IFERROR(INDEX('Qida bazası'!$D$2:$D$103,MATCH(C295,'Qida bazası'!$A$2:$A$103,0))*D295/100,"?"))</f>
        <v/>
      </c>
      <c r="F295" s="19">
        <f>IF(OR(C295="",D295=""),"",IFERROR(INDEX('Qida bazası'!$E$2:$E$103,MATCH(C295,'Qida bazası'!$A$2:$A$103,0))*D295/100,"?"))</f>
        <v/>
      </c>
      <c r="G295" s="19">
        <f>IF(OR(C295="",D295=""),"",IFERROR(INDEX('Qida bazası'!$F$2:$F$103,MATCH(C295,'Qida bazası'!$A$2:$A$103,0))*D295/100,"?"))</f>
        <v/>
      </c>
      <c r="H295" s="19">
        <f>IF(OR(C295="",D295=""),"",IFERROR(INDEX('Qida bazası'!$G$2:$G$103,MATCH(C295,'Qida bazası'!$A$2:$A$103,0))*D295/100,"?"))</f>
        <v/>
      </c>
    </row>
    <row r="296">
      <c r="A296" s="21" t="n"/>
      <c r="E296" s="18">
        <f>IF(OR(C296="",D296=""),"",IFERROR(INDEX('Qida bazası'!$D$2:$D$103,MATCH(C296,'Qida bazası'!$A$2:$A$103,0))*D296/100,"?"))</f>
        <v/>
      </c>
      <c r="F296" s="19">
        <f>IF(OR(C296="",D296=""),"",IFERROR(INDEX('Qida bazası'!$E$2:$E$103,MATCH(C296,'Qida bazası'!$A$2:$A$103,0))*D296/100,"?"))</f>
        <v/>
      </c>
      <c r="G296" s="19">
        <f>IF(OR(C296="",D296=""),"",IFERROR(INDEX('Qida bazası'!$F$2:$F$103,MATCH(C296,'Qida bazası'!$A$2:$A$103,0))*D296/100,"?"))</f>
        <v/>
      </c>
      <c r="H296" s="19">
        <f>IF(OR(C296="",D296=""),"",IFERROR(INDEX('Qida bazası'!$G$2:$G$103,MATCH(C296,'Qida bazası'!$A$2:$A$103,0))*D296/100,"?"))</f>
        <v/>
      </c>
    </row>
    <row r="297">
      <c r="A297" s="21" t="n"/>
      <c r="E297" s="18">
        <f>IF(OR(C297="",D297=""),"",IFERROR(INDEX('Qida bazası'!$D$2:$D$103,MATCH(C297,'Qida bazası'!$A$2:$A$103,0))*D297/100,"?"))</f>
        <v/>
      </c>
      <c r="F297" s="19">
        <f>IF(OR(C297="",D297=""),"",IFERROR(INDEX('Qida bazası'!$E$2:$E$103,MATCH(C297,'Qida bazası'!$A$2:$A$103,0))*D297/100,"?"))</f>
        <v/>
      </c>
      <c r="G297" s="19">
        <f>IF(OR(C297="",D297=""),"",IFERROR(INDEX('Qida bazası'!$F$2:$F$103,MATCH(C297,'Qida bazası'!$A$2:$A$103,0))*D297/100,"?"))</f>
        <v/>
      </c>
      <c r="H297" s="19">
        <f>IF(OR(C297="",D297=""),"",IFERROR(INDEX('Qida bazası'!$G$2:$G$103,MATCH(C297,'Qida bazası'!$A$2:$A$103,0))*D297/100,"?"))</f>
        <v/>
      </c>
    </row>
    <row r="298">
      <c r="A298" s="21" t="n"/>
      <c r="E298" s="18">
        <f>IF(OR(C298="",D298=""),"",IFERROR(INDEX('Qida bazası'!$D$2:$D$103,MATCH(C298,'Qida bazası'!$A$2:$A$103,0))*D298/100,"?"))</f>
        <v/>
      </c>
      <c r="F298" s="19">
        <f>IF(OR(C298="",D298=""),"",IFERROR(INDEX('Qida bazası'!$E$2:$E$103,MATCH(C298,'Qida bazası'!$A$2:$A$103,0))*D298/100,"?"))</f>
        <v/>
      </c>
      <c r="G298" s="19">
        <f>IF(OR(C298="",D298=""),"",IFERROR(INDEX('Qida bazası'!$F$2:$F$103,MATCH(C298,'Qida bazası'!$A$2:$A$103,0))*D298/100,"?"))</f>
        <v/>
      </c>
      <c r="H298" s="19">
        <f>IF(OR(C298="",D298=""),"",IFERROR(INDEX('Qida bazası'!$G$2:$G$103,MATCH(C298,'Qida bazası'!$A$2:$A$103,0))*D298/100,"?"))</f>
        <v/>
      </c>
    </row>
    <row r="299">
      <c r="A299" s="21" t="n"/>
      <c r="E299" s="18">
        <f>IF(OR(C299="",D299=""),"",IFERROR(INDEX('Qida bazası'!$D$2:$D$103,MATCH(C299,'Qida bazası'!$A$2:$A$103,0))*D299/100,"?"))</f>
        <v/>
      </c>
      <c r="F299" s="19">
        <f>IF(OR(C299="",D299=""),"",IFERROR(INDEX('Qida bazası'!$E$2:$E$103,MATCH(C299,'Qida bazası'!$A$2:$A$103,0))*D299/100,"?"))</f>
        <v/>
      </c>
      <c r="G299" s="19">
        <f>IF(OR(C299="",D299=""),"",IFERROR(INDEX('Qida bazası'!$F$2:$F$103,MATCH(C299,'Qida bazası'!$A$2:$A$103,0))*D299/100,"?"))</f>
        <v/>
      </c>
      <c r="H299" s="19">
        <f>IF(OR(C299="",D299=""),"",IFERROR(INDEX('Qida bazası'!$G$2:$G$103,MATCH(C299,'Qida bazası'!$A$2:$A$103,0))*D299/100,"?"))</f>
        <v/>
      </c>
    </row>
    <row r="300">
      <c r="A300" s="21" t="n"/>
      <c r="E300" s="18">
        <f>IF(OR(C300="",D300=""),"",IFERROR(INDEX('Qida bazası'!$D$2:$D$103,MATCH(C300,'Qida bazası'!$A$2:$A$103,0))*D300/100,"?"))</f>
        <v/>
      </c>
      <c r="F300" s="19">
        <f>IF(OR(C300="",D300=""),"",IFERROR(INDEX('Qida bazası'!$E$2:$E$103,MATCH(C300,'Qida bazası'!$A$2:$A$103,0))*D300/100,"?"))</f>
        <v/>
      </c>
      <c r="G300" s="19">
        <f>IF(OR(C300="",D300=""),"",IFERROR(INDEX('Qida bazası'!$F$2:$F$103,MATCH(C300,'Qida bazası'!$A$2:$A$103,0))*D300/100,"?"))</f>
        <v/>
      </c>
      <c r="H300" s="19">
        <f>IF(OR(C300="",D300=""),"",IFERROR(INDEX('Qida bazası'!$G$2:$G$103,MATCH(C300,'Qida bazası'!$A$2:$A$103,0))*D300/100,"?"))</f>
        <v/>
      </c>
    </row>
    <row r="301">
      <c r="A301" s="21" t="n"/>
      <c r="E301" s="18">
        <f>IF(OR(C301="",D301=""),"",IFERROR(INDEX('Qida bazası'!$D$2:$D$103,MATCH(C301,'Qida bazası'!$A$2:$A$103,0))*D301/100,"?"))</f>
        <v/>
      </c>
      <c r="F301" s="19">
        <f>IF(OR(C301="",D301=""),"",IFERROR(INDEX('Qida bazası'!$E$2:$E$103,MATCH(C301,'Qida bazası'!$A$2:$A$103,0))*D301/100,"?"))</f>
        <v/>
      </c>
      <c r="G301" s="19">
        <f>IF(OR(C301="",D301=""),"",IFERROR(INDEX('Qida bazası'!$F$2:$F$103,MATCH(C301,'Qida bazası'!$A$2:$A$103,0))*D301/100,"?"))</f>
        <v/>
      </c>
      <c r="H301" s="19">
        <f>IF(OR(C301="",D301=""),"",IFERROR(INDEX('Qida bazası'!$G$2:$G$103,MATCH(C301,'Qida bazası'!$A$2:$A$103,0))*D301/100,"?"))</f>
        <v/>
      </c>
    </row>
    <row r="302">
      <c r="A302" s="21" t="n"/>
      <c r="E302" s="18">
        <f>IF(OR(C302="",D302=""),"",IFERROR(INDEX('Qida bazası'!$D$2:$D$103,MATCH(C302,'Qida bazası'!$A$2:$A$103,0))*D302/100,"?"))</f>
        <v/>
      </c>
      <c r="F302" s="19">
        <f>IF(OR(C302="",D302=""),"",IFERROR(INDEX('Qida bazası'!$E$2:$E$103,MATCH(C302,'Qida bazası'!$A$2:$A$103,0))*D302/100,"?"))</f>
        <v/>
      </c>
      <c r="G302" s="19">
        <f>IF(OR(C302="",D302=""),"",IFERROR(INDEX('Qida bazası'!$F$2:$F$103,MATCH(C302,'Qida bazası'!$A$2:$A$103,0))*D302/100,"?"))</f>
        <v/>
      </c>
      <c r="H302" s="19">
        <f>IF(OR(C302="",D302=""),"",IFERROR(INDEX('Qida bazası'!$G$2:$G$103,MATCH(C302,'Qida bazası'!$A$2:$A$103,0))*D302/100,"?"))</f>
        <v/>
      </c>
    </row>
    <row r="303">
      <c r="A303" s="21" t="n"/>
      <c r="E303" s="18">
        <f>IF(OR(C303="",D303=""),"",IFERROR(INDEX('Qida bazası'!$D$2:$D$103,MATCH(C303,'Qida bazası'!$A$2:$A$103,0))*D303/100,"?"))</f>
        <v/>
      </c>
      <c r="F303" s="19">
        <f>IF(OR(C303="",D303=""),"",IFERROR(INDEX('Qida bazası'!$E$2:$E$103,MATCH(C303,'Qida bazası'!$A$2:$A$103,0))*D303/100,"?"))</f>
        <v/>
      </c>
      <c r="G303" s="19">
        <f>IF(OR(C303="",D303=""),"",IFERROR(INDEX('Qida bazası'!$F$2:$F$103,MATCH(C303,'Qida bazası'!$A$2:$A$103,0))*D303/100,"?"))</f>
        <v/>
      </c>
      <c r="H303" s="19">
        <f>IF(OR(C303="",D303=""),"",IFERROR(INDEX('Qida bazası'!$G$2:$G$103,MATCH(C303,'Qida bazası'!$A$2:$A$103,0))*D303/100,"?"))</f>
        <v/>
      </c>
    </row>
    <row r="304">
      <c r="A304" s="21" t="n"/>
      <c r="E304" s="18">
        <f>IF(OR(C304="",D304=""),"",IFERROR(INDEX('Qida bazası'!$D$2:$D$103,MATCH(C304,'Qida bazası'!$A$2:$A$103,0))*D304/100,"?"))</f>
        <v/>
      </c>
      <c r="F304" s="19">
        <f>IF(OR(C304="",D304=""),"",IFERROR(INDEX('Qida bazası'!$E$2:$E$103,MATCH(C304,'Qida bazası'!$A$2:$A$103,0))*D304/100,"?"))</f>
        <v/>
      </c>
      <c r="G304" s="19">
        <f>IF(OR(C304="",D304=""),"",IFERROR(INDEX('Qida bazası'!$F$2:$F$103,MATCH(C304,'Qida bazası'!$A$2:$A$103,0))*D304/100,"?"))</f>
        <v/>
      </c>
      <c r="H304" s="19">
        <f>IF(OR(C304="",D304=""),"",IFERROR(INDEX('Qida bazası'!$G$2:$G$103,MATCH(C304,'Qida bazası'!$A$2:$A$103,0))*D304/100,"?"))</f>
        <v/>
      </c>
    </row>
    <row r="305">
      <c r="A305" s="21" t="n"/>
      <c r="E305" s="18">
        <f>IF(OR(C305="",D305=""),"",IFERROR(INDEX('Qida bazası'!$D$2:$D$103,MATCH(C305,'Qida bazası'!$A$2:$A$103,0))*D305/100,"?"))</f>
        <v/>
      </c>
      <c r="F305" s="19">
        <f>IF(OR(C305="",D305=""),"",IFERROR(INDEX('Qida bazası'!$E$2:$E$103,MATCH(C305,'Qida bazası'!$A$2:$A$103,0))*D305/100,"?"))</f>
        <v/>
      </c>
      <c r="G305" s="19">
        <f>IF(OR(C305="",D305=""),"",IFERROR(INDEX('Qida bazası'!$F$2:$F$103,MATCH(C305,'Qida bazası'!$A$2:$A$103,0))*D305/100,"?"))</f>
        <v/>
      </c>
      <c r="H305" s="19">
        <f>IF(OR(C305="",D305=""),"",IFERROR(INDEX('Qida bazası'!$G$2:$G$103,MATCH(C305,'Qida bazası'!$A$2:$A$103,0))*D305/100,"?"))</f>
        <v/>
      </c>
    </row>
    <row r="306">
      <c r="A306" s="21" t="n"/>
      <c r="E306" s="18">
        <f>IF(OR(C306="",D306=""),"",IFERROR(INDEX('Qida bazası'!$D$2:$D$103,MATCH(C306,'Qida bazası'!$A$2:$A$103,0))*D306/100,"?"))</f>
        <v/>
      </c>
      <c r="F306" s="19">
        <f>IF(OR(C306="",D306=""),"",IFERROR(INDEX('Qida bazası'!$E$2:$E$103,MATCH(C306,'Qida bazası'!$A$2:$A$103,0))*D306/100,"?"))</f>
        <v/>
      </c>
      <c r="G306" s="19">
        <f>IF(OR(C306="",D306=""),"",IFERROR(INDEX('Qida bazası'!$F$2:$F$103,MATCH(C306,'Qida bazası'!$A$2:$A$103,0))*D306/100,"?"))</f>
        <v/>
      </c>
      <c r="H306" s="19">
        <f>IF(OR(C306="",D306=""),"",IFERROR(INDEX('Qida bazası'!$G$2:$G$103,MATCH(C306,'Qida bazası'!$A$2:$A$103,0))*D306/100,"?"))</f>
        <v/>
      </c>
    </row>
    <row r="307">
      <c r="A307" s="21" t="n"/>
      <c r="E307" s="18">
        <f>IF(OR(C307="",D307=""),"",IFERROR(INDEX('Qida bazası'!$D$2:$D$103,MATCH(C307,'Qida bazası'!$A$2:$A$103,0))*D307/100,"?"))</f>
        <v/>
      </c>
      <c r="F307" s="19">
        <f>IF(OR(C307="",D307=""),"",IFERROR(INDEX('Qida bazası'!$E$2:$E$103,MATCH(C307,'Qida bazası'!$A$2:$A$103,0))*D307/100,"?"))</f>
        <v/>
      </c>
      <c r="G307" s="19">
        <f>IF(OR(C307="",D307=""),"",IFERROR(INDEX('Qida bazası'!$F$2:$F$103,MATCH(C307,'Qida bazası'!$A$2:$A$103,0))*D307/100,"?"))</f>
        <v/>
      </c>
      <c r="H307" s="19">
        <f>IF(OR(C307="",D307=""),"",IFERROR(INDEX('Qida bazası'!$G$2:$G$103,MATCH(C307,'Qida bazası'!$A$2:$A$103,0))*D307/100,"?"))</f>
        <v/>
      </c>
    </row>
    <row r="308">
      <c r="A308" s="21" t="n"/>
      <c r="E308" s="18">
        <f>IF(OR(C308="",D308=""),"",IFERROR(INDEX('Qida bazası'!$D$2:$D$103,MATCH(C308,'Qida bazası'!$A$2:$A$103,0))*D308/100,"?"))</f>
        <v/>
      </c>
      <c r="F308" s="19">
        <f>IF(OR(C308="",D308=""),"",IFERROR(INDEX('Qida bazası'!$E$2:$E$103,MATCH(C308,'Qida bazası'!$A$2:$A$103,0))*D308/100,"?"))</f>
        <v/>
      </c>
      <c r="G308" s="19">
        <f>IF(OR(C308="",D308=""),"",IFERROR(INDEX('Qida bazası'!$F$2:$F$103,MATCH(C308,'Qida bazası'!$A$2:$A$103,0))*D308/100,"?"))</f>
        <v/>
      </c>
      <c r="H308" s="19">
        <f>IF(OR(C308="",D308=""),"",IFERROR(INDEX('Qida bazası'!$G$2:$G$103,MATCH(C308,'Qida bazası'!$A$2:$A$103,0))*D308/100,"?"))</f>
        <v/>
      </c>
    </row>
    <row r="309">
      <c r="A309" s="21" t="n"/>
      <c r="E309" s="18">
        <f>IF(OR(C309="",D309=""),"",IFERROR(INDEX('Qida bazası'!$D$2:$D$103,MATCH(C309,'Qida bazası'!$A$2:$A$103,0))*D309/100,"?"))</f>
        <v/>
      </c>
      <c r="F309" s="19">
        <f>IF(OR(C309="",D309=""),"",IFERROR(INDEX('Qida bazası'!$E$2:$E$103,MATCH(C309,'Qida bazası'!$A$2:$A$103,0))*D309/100,"?"))</f>
        <v/>
      </c>
      <c r="G309" s="19">
        <f>IF(OR(C309="",D309=""),"",IFERROR(INDEX('Qida bazası'!$F$2:$F$103,MATCH(C309,'Qida bazası'!$A$2:$A$103,0))*D309/100,"?"))</f>
        <v/>
      </c>
      <c r="H309" s="19">
        <f>IF(OR(C309="",D309=""),"",IFERROR(INDEX('Qida bazası'!$G$2:$G$103,MATCH(C309,'Qida bazası'!$A$2:$A$103,0))*D309/100,"?"))</f>
        <v/>
      </c>
    </row>
    <row r="310">
      <c r="A310" s="21" t="n"/>
      <c r="E310" s="18">
        <f>IF(OR(C310="",D310=""),"",IFERROR(INDEX('Qida bazası'!$D$2:$D$103,MATCH(C310,'Qida bazası'!$A$2:$A$103,0))*D310/100,"?"))</f>
        <v/>
      </c>
      <c r="F310" s="19">
        <f>IF(OR(C310="",D310=""),"",IFERROR(INDEX('Qida bazası'!$E$2:$E$103,MATCH(C310,'Qida bazası'!$A$2:$A$103,0))*D310/100,"?"))</f>
        <v/>
      </c>
      <c r="G310" s="19">
        <f>IF(OR(C310="",D310=""),"",IFERROR(INDEX('Qida bazası'!$F$2:$F$103,MATCH(C310,'Qida bazası'!$A$2:$A$103,0))*D310/100,"?"))</f>
        <v/>
      </c>
      <c r="H310" s="19">
        <f>IF(OR(C310="",D310=""),"",IFERROR(INDEX('Qida bazası'!$G$2:$G$103,MATCH(C310,'Qida bazası'!$A$2:$A$103,0))*D310/100,"?"))</f>
        <v/>
      </c>
    </row>
    <row r="311">
      <c r="A311" s="21" t="n"/>
      <c r="E311" s="18">
        <f>IF(OR(C311="",D311=""),"",IFERROR(INDEX('Qida bazası'!$D$2:$D$103,MATCH(C311,'Qida bazası'!$A$2:$A$103,0))*D311/100,"?"))</f>
        <v/>
      </c>
      <c r="F311" s="19">
        <f>IF(OR(C311="",D311=""),"",IFERROR(INDEX('Qida bazası'!$E$2:$E$103,MATCH(C311,'Qida bazası'!$A$2:$A$103,0))*D311/100,"?"))</f>
        <v/>
      </c>
      <c r="G311" s="19">
        <f>IF(OR(C311="",D311=""),"",IFERROR(INDEX('Qida bazası'!$F$2:$F$103,MATCH(C311,'Qida bazası'!$A$2:$A$103,0))*D311/100,"?"))</f>
        <v/>
      </c>
      <c r="H311" s="19">
        <f>IF(OR(C311="",D311=""),"",IFERROR(INDEX('Qida bazası'!$G$2:$G$103,MATCH(C311,'Qida bazası'!$A$2:$A$103,0))*D311/100,"?"))</f>
        <v/>
      </c>
    </row>
    <row r="312">
      <c r="A312" s="21" t="n"/>
      <c r="E312" s="18">
        <f>IF(OR(C312="",D312=""),"",IFERROR(INDEX('Qida bazası'!$D$2:$D$103,MATCH(C312,'Qida bazası'!$A$2:$A$103,0))*D312/100,"?"))</f>
        <v/>
      </c>
      <c r="F312" s="19">
        <f>IF(OR(C312="",D312=""),"",IFERROR(INDEX('Qida bazası'!$E$2:$E$103,MATCH(C312,'Qida bazası'!$A$2:$A$103,0))*D312/100,"?"))</f>
        <v/>
      </c>
      <c r="G312" s="19">
        <f>IF(OR(C312="",D312=""),"",IFERROR(INDEX('Qida bazası'!$F$2:$F$103,MATCH(C312,'Qida bazası'!$A$2:$A$103,0))*D312/100,"?"))</f>
        <v/>
      </c>
      <c r="H312" s="19">
        <f>IF(OR(C312="",D312=""),"",IFERROR(INDEX('Qida bazası'!$G$2:$G$103,MATCH(C312,'Qida bazası'!$A$2:$A$103,0))*D312/100,"?"))</f>
        <v/>
      </c>
    </row>
    <row r="313">
      <c r="A313" s="21" t="n"/>
      <c r="E313" s="18">
        <f>IF(OR(C313="",D313=""),"",IFERROR(INDEX('Qida bazası'!$D$2:$D$103,MATCH(C313,'Qida bazası'!$A$2:$A$103,0))*D313/100,"?"))</f>
        <v/>
      </c>
      <c r="F313" s="19">
        <f>IF(OR(C313="",D313=""),"",IFERROR(INDEX('Qida bazası'!$E$2:$E$103,MATCH(C313,'Qida bazası'!$A$2:$A$103,0))*D313/100,"?"))</f>
        <v/>
      </c>
      <c r="G313" s="19">
        <f>IF(OR(C313="",D313=""),"",IFERROR(INDEX('Qida bazası'!$F$2:$F$103,MATCH(C313,'Qida bazası'!$A$2:$A$103,0))*D313/100,"?"))</f>
        <v/>
      </c>
      <c r="H313" s="19">
        <f>IF(OR(C313="",D313=""),"",IFERROR(INDEX('Qida bazası'!$G$2:$G$103,MATCH(C313,'Qida bazası'!$A$2:$A$103,0))*D313/100,"?"))</f>
        <v/>
      </c>
    </row>
    <row r="314">
      <c r="A314" s="21" t="n"/>
      <c r="E314" s="18">
        <f>IF(OR(C314="",D314=""),"",IFERROR(INDEX('Qida bazası'!$D$2:$D$103,MATCH(C314,'Qida bazası'!$A$2:$A$103,0))*D314/100,"?"))</f>
        <v/>
      </c>
      <c r="F314" s="19">
        <f>IF(OR(C314="",D314=""),"",IFERROR(INDEX('Qida bazası'!$E$2:$E$103,MATCH(C314,'Qida bazası'!$A$2:$A$103,0))*D314/100,"?"))</f>
        <v/>
      </c>
      <c r="G314" s="19">
        <f>IF(OR(C314="",D314=""),"",IFERROR(INDEX('Qida bazası'!$F$2:$F$103,MATCH(C314,'Qida bazası'!$A$2:$A$103,0))*D314/100,"?"))</f>
        <v/>
      </c>
      <c r="H314" s="19">
        <f>IF(OR(C314="",D314=""),"",IFERROR(INDEX('Qida bazası'!$G$2:$G$103,MATCH(C314,'Qida bazası'!$A$2:$A$103,0))*D314/100,"?"))</f>
        <v/>
      </c>
    </row>
    <row r="315">
      <c r="A315" s="21" t="n"/>
      <c r="E315" s="18">
        <f>IF(OR(C315="",D315=""),"",IFERROR(INDEX('Qida bazası'!$D$2:$D$103,MATCH(C315,'Qida bazası'!$A$2:$A$103,0))*D315/100,"?"))</f>
        <v/>
      </c>
      <c r="F315" s="19">
        <f>IF(OR(C315="",D315=""),"",IFERROR(INDEX('Qida bazası'!$E$2:$E$103,MATCH(C315,'Qida bazası'!$A$2:$A$103,0))*D315/100,"?"))</f>
        <v/>
      </c>
      <c r="G315" s="19">
        <f>IF(OR(C315="",D315=""),"",IFERROR(INDEX('Qida bazası'!$F$2:$F$103,MATCH(C315,'Qida bazası'!$A$2:$A$103,0))*D315/100,"?"))</f>
        <v/>
      </c>
      <c r="H315" s="19">
        <f>IF(OR(C315="",D315=""),"",IFERROR(INDEX('Qida bazası'!$G$2:$G$103,MATCH(C315,'Qida bazası'!$A$2:$A$103,0))*D315/100,"?"))</f>
        <v/>
      </c>
    </row>
    <row r="316">
      <c r="A316" s="21" t="n"/>
      <c r="E316" s="18">
        <f>IF(OR(C316="",D316=""),"",IFERROR(INDEX('Qida bazası'!$D$2:$D$103,MATCH(C316,'Qida bazası'!$A$2:$A$103,0))*D316/100,"?"))</f>
        <v/>
      </c>
      <c r="F316" s="19">
        <f>IF(OR(C316="",D316=""),"",IFERROR(INDEX('Qida bazası'!$E$2:$E$103,MATCH(C316,'Qida bazası'!$A$2:$A$103,0))*D316/100,"?"))</f>
        <v/>
      </c>
      <c r="G316" s="19">
        <f>IF(OR(C316="",D316=""),"",IFERROR(INDEX('Qida bazası'!$F$2:$F$103,MATCH(C316,'Qida bazası'!$A$2:$A$103,0))*D316/100,"?"))</f>
        <v/>
      </c>
      <c r="H316" s="19">
        <f>IF(OR(C316="",D316=""),"",IFERROR(INDEX('Qida bazası'!$G$2:$G$103,MATCH(C316,'Qida bazası'!$A$2:$A$103,0))*D316/100,"?"))</f>
        <v/>
      </c>
    </row>
    <row r="317">
      <c r="A317" s="21" t="n"/>
      <c r="E317" s="18">
        <f>IF(OR(C317="",D317=""),"",IFERROR(INDEX('Qida bazası'!$D$2:$D$103,MATCH(C317,'Qida bazası'!$A$2:$A$103,0))*D317/100,"?"))</f>
        <v/>
      </c>
      <c r="F317" s="19">
        <f>IF(OR(C317="",D317=""),"",IFERROR(INDEX('Qida bazası'!$E$2:$E$103,MATCH(C317,'Qida bazası'!$A$2:$A$103,0))*D317/100,"?"))</f>
        <v/>
      </c>
      <c r="G317" s="19">
        <f>IF(OR(C317="",D317=""),"",IFERROR(INDEX('Qida bazası'!$F$2:$F$103,MATCH(C317,'Qida bazası'!$A$2:$A$103,0))*D317/100,"?"))</f>
        <v/>
      </c>
      <c r="H317" s="19">
        <f>IF(OR(C317="",D317=""),"",IFERROR(INDEX('Qida bazası'!$G$2:$G$103,MATCH(C317,'Qida bazası'!$A$2:$A$103,0))*D317/100,"?"))</f>
        <v/>
      </c>
    </row>
    <row r="318">
      <c r="A318" s="21" t="n"/>
      <c r="E318" s="18">
        <f>IF(OR(C318="",D318=""),"",IFERROR(INDEX('Qida bazası'!$D$2:$D$103,MATCH(C318,'Qida bazası'!$A$2:$A$103,0))*D318/100,"?"))</f>
        <v/>
      </c>
      <c r="F318" s="19">
        <f>IF(OR(C318="",D318=""),"",IFERROR(INDEX('Qida bazası'!$E$2:$E$103,MATCH(C318,'Qida bazası'!$A$2:$A$103,0))*D318/100,"?"))</f>
        <v/>
      </c>
      <c r="G318" s="19">
        <f>IF(OR(C318="",D318=""),"",IFERROR(INDEX('Qida bazası'!$F$2:$F$103,MATCH(C318,'Qida bazası'!$A$2:$A$103,0))*D318/100,"?"))</f>
        <v/>
      </c>
      <c r="H318" s="19">
        <f>IF(OR(C318="",D318=""),"",IFERROR(INDEX('Qida bazası'!$G$2:$G$103,MATCH(C318,'Qida bazası'!$A$2:$A$103,0))*D318/100,"?"))</f>
        <v/>
      </c>
    </row>
    <row r="319">
      <c r="A319" s="21" t="n"/>
      <c r="E319" s="18">
        <f>IF(OR(C319="",D319=""),"",IFERROR(INDEX('Qida bazası'!$D$2:$D$103,MATCH(C319,'Qida bazası'!$A$2:$A$103,0))*D319/100,"?"))</f>
        <v/>
      </c>
      <c r="F319" s="19">
        <f>IF(OR(C319="",D319=""),"",IFERROR(INDEX('Qida bazası'!$E$2:$E$103,MATCH(C319,'Qida bazası'!$A$2:$A$103,0))*D319/100,"?"))</f>
        <v/>
      </c>
      <c r="G319" s="19">
        <f>IF(OR(C319="",D319=""),"",IFERROR(INDEX('Qida bazası'!$F$2:$F$103,MATCH(C319,'Qida bazası'!$A$2:$A$103,0))*D319/100,"?"))</f>
        <v/>
      </c>
      <c r="H319" s="19">
        <f>IF(OR(C319="",D319=""),"",IFERROR(INDEX('Qida bazası'!$G$2:$G$103,MATCH(C319,'Qida bazası'!$A$2:$A$103,0))*D319/100,"?"))</f>
        <v/>
      </c>
    </row>
    <row r="320">
      <c r="A320" s="21" t="n"/>
      <c r="E320" s="18">
        <f>IF(OR(C320="",D320=""),"",IFERROR(INDEX('Qida bazası'!$D$2:$D$103,MATCH(C320,'Qida bazası'!$A$2:$A$103,0))*D320/100,"?"))</f>
        <v/>
      </c>
      <c r="F320" s="19">
        <f>IF(OR(C320="",D320=""),"",IFERROR(INDEX('Qida bazası'!$E$2:$E$103,MATCH(C320,'Qida bazası'!$A$2:$A$103,0))*D320/100,"?"))</f>
        <v/>
      </c>
      <c r="G320" s="19">
        <f>IF(OR(C320="",D320=""),"",IFERROR(INDEX('Qida bazası'!$F$2:$F$103,MATCH(C320,'Qida bazası'!$A$2:$A$103,0))*D320/100,"?"))</f>
        <v/>
      </c>
      <c r="H320" s="19">
        <f>IF(OR(C320="",D320=""),"",IFERROR(INDEX('Qida bazası'!$G$2:$G$103,MATCH(C320,'Qida bazası'!$A$2:$A$103,0))*D320/100,"?"))</f>
        <v/>
      </c>
    </row>
    <row r="321">
      <c r="A321" s="21" t="n"/>
      <c r="E321" s="18">
        <f>IF(OR(C321="",D321=""),"",IFERROR(INDEX('Qida bazası'!$D$2:$D$103,MATCH(C321,'Qida bazası'!$A$2:$A$103,0))*D321/100,"?"))</f>
        <v/>
      </c>
      <c r="F321" s="19">
        <f>IF(OR(C321="",D321=""),"",IFERROR(INDEX('Qida bazası'!$E$2:$E$103,MATCH(C321,'Qida bazası'!$A$2:$A$103,0))*D321/100,"?"))</f>
        <v/>
      </c>
      <c r="G321" s="19">
        <f>IF(OR(C321="",D321=""),"",IFERROR(INDEX('Qida bazası'!$F$2:$F$103,MATCH(C321,'Qida bazası'!$A$2:$A$103,0))*D321/100,"?"))</f>
        <v/>
      </c>
      <c r="H321" s="19">
        <f>IF(OR(C321="",D321=""),"",IFERROR(INDEX('Qida bazası'!$G$2:$G$103,MATCH(C321,'Qida bazası'!$A$2:$A$103,0))*D321/100,"?"))</f>
        <v/>
      </c>
    </row>
    <row r="322">
      <c r="A322" s="21" t="n"/>
      <c r="E322" s="18">
        <f>IF(OR(C322="",D322=""),"",IFERROR(INDEX('Qida bazası'!$D$2:$D$103,MATCH(C322,'Qida bazası'!$A$2:$A$103,0))*D322/100,"?"))</f>
        <v/>
      </c>
      <c r="F322" s="19">
        <f>IF(OR(C322="",D322=""),"",IFERROR(INDEX('Qida bazası'!$E$2:$E$103,MATCH(C322,'Qida bazası'!$A$2:$A$103,0))*D322/100,"?"))</f>
        <v/>
      </c>
      <c r="G322" s="19">
        <f>IF(OR(C322="",D322=""),"",IFERROR(INDEX('Qida bazası'!$F$2:$F$103,MATCH(C322,'Qida bazası'!$A$2:$A$103,0))*D322/100,"?"))</f>
        <v/>
      </c>
      <c r="H322" s="19">
        <f>IF(OR(C322="",D322=""),"",IFERROR(INDEX('Qida bazası'!$G$2:$G$103,MATCH(C322,'Qida bazası'!$A$2:$A$103,0))*D322/100,"?"))</f>
        <v/>
      </c>
    </row>
    <row r="323">
      <c r="A323" s="21" t="n"/>
      <c r="E323" s="18">
        <f>IF(OR(C323="",D323=""),"",IFERROR(INDEX('Qida bazası'!$D$2:$D$103,MATCH(C323,'Qida bazası'!$A$2:$A$103,0))*D323/100,"?"))</f>
        <v/>
      </c>
      <c r="F323" s="19">
        <f>IF(OR(C323="",D323=""),"",IFERROR(INDEX('Qida bazası'!$E$2:$E$103,MATCH(C323,'Qida bazası'!$A$2:$A$103,0))*D323/100,"?"))</f>
        <v/>
      </c>
      <c r="G323" s="19">
        <f>IF(OR(C323="",D323=""),"",IFERROR(INDEX('Qida bazası'!$F$2:$F$103,MATCH(C323,'Qida bazası'!$A$2:$A$103,0))*D323/100,"?"))</f>
        <v/>
      </c>
      <c r="H323" s="19">
        <f>IF(OR(C323="",D323=""),"",IFERROR(INDEX('Qida bazası'!$G$2:$G$103,MATCH(C323,'Qida bazası'!$A$2:$A$103,0))*D323/100,"?"))</f>
        <v/>
      </c>
    </row>
    <row r="324">
      <c r="A324" s="21" t="n"/>
      <c r="E324" s="18">
        <f>IF(OR(C324="",D324=""),"",IFERROR(INDEX('Qida bazası'!$D$2:$D$103,MATCH(C324,'Qida bazası'!$A$2:$A$103,0))*D324/100,"?"))</f>
        <v/>
      </c>
      <c r="F324" s="19">
        <f>IF(OR(C324="",D324=""),"",IFERROR(INDEX('Qida bazası'!$E$2:$E$103,MATCH(C324,'Qida bazası'!$A$2:$A$103,0))*D324/100,"?"))</f>
        <v/>
      </c>
      <c r="G324" s="19">
        <f>IF(OR(C324="",D324=""),"",IFERROR(INDEX('Qida bazası'!$F$2:$F$103,MATCH(C324,'Qida bazası'!$A$2:$A$103,0))*D324/100,"?"))</f>
        <v/>
      </c>
      <c r="H324" s="19">
        <f>IF(OR(C324="",D324=""),"",IFERROR(INDEX('Qida bazası'!$G$2:$G$103,MATCH(C324,'Qida bazası'!$A$2:$A$103,0))*D324/100,"?"))</f>
        <v/>
      </c>
    </row>
    <row r="325">
      <c r="A325" s="21" t="n"/>
      <c r="E325" s="18">
        <f>IF(OR(C325="",D325=""),"",IFERROR(INDEX('Qida bazası'!$D$2:$D$103,MATCH(C325,'Qida bazası'!$A$2:$A$103,0))*D325/100,"?"))</f>
        <v/>
      </c>
      <c r="F325" s="19">
        <f>IF(OR(C325="",D325=""),"",IFERROR(INDEX('Qida bazası'!$E$2:$E$103,MATCH(C325,'Qida bazası'!$A$2:$A$103,0))*D325/100,"?"))</f>
        <v/>
      </c>
      <c r="G325" s="19">
        <f>IF(OR(C325="",D325=""),"",IFERROR(INDEX('Qida bazası'!$F$2:$F$103,MATCH(C325,'Qida bazası'!$A$2:$A$103,0))*D325/100,"?"))</f>
        <v/>
      </c>
      <c r="H325" s="19">
        <f>IF(OR(C325="",D325=""),"",IFERROR(INDEX('Qida bazası'!$G$2:$G$103,MATCH(C325,'Qida bazası'!$A$2:$A$103,0))*D325/100,"?"))</f>
        <v/>
      </c>
    </row>
    <row r="326">
      <c r="A326" s="21" t="n"/>
      <c r="E326" s="18">
        <f>IF(OR(C326="",D326=""),"",IFERROR(INDEX('Qida bazası'!$D$2:$D$103,MATCH(C326,'Qida bazası'!$A$2:$A$103,0))*D326/100,"?"))</f>
        <v/>
      </c>
      <c r="F326" s="19">
        <f>IF(OR(C326="",D326=""),"",IFERROR(INDEX('Qida bazası'!$E$2:$E$103,MATCH(C326,'Qida bazası'!$A$2:$A$103,0))*D326/100,"?"))</f>
        <v/>
      </c>
      <c r="G326" s="19">
        <f>IF(OR(C326="",D326=""),"",IFERROR(INDEX('Qida bazası'!$F$2:$F$103,MATCH(C326,'Qida bazası'!$A$2:$A$103,0))*D326/100,"?"))</f>
        <v/>
      </c>
      <c r="H326" s="19">
        <f>IF(OR(C326="",D326=""),"",IFERROR(INDEX('Qida bazası'!$G$2:$G$103,MATCH(C326,'Qida bazası'!$A$2:$A$103,0))*D326/100,"?"))</f>
        <v/>
      </c>
    </row>
    <row r="327">
      <c r="A327" s="21" t="n"/>
      <c r="E327" s="18">
        <f>IF(OR(C327="",D327=""),"",IFERROR(INDEX('Qida bazası'!$D$2:$D$103,MATCH(C327,'Qida bazası'!$A$2:$A$103,0))*D327/100,"?"))</f>
        <v/>
      </c>
      <c r="F327" s="19">
        <f>IF(OR(C327="",D327=""),"",IFERROR(INDEX('Qida bazası'!$E$2:$E$103,MATCH(C327,'Qida bazası'!$A$2:$A$103,0))*D327/100,"?"))</f>
        <v/>
      </c>
      <c r="G327" s="19">
        <f>IF(OR(C327="",D327=""),"",IFERROR(INDEX('Qida bazası'!$F$2:$F$103,MATCH(C327,'Qida bazası'!$A$2:$A$103,0))*D327/100,"?"))</f>
        <v/>
      </c>
      <c r="H327" s="19">
        <f>IF(OR(C327="",D327=""),"",IFERROR(INDEX('Qida bazası'!$G$2:$G$103,MATCH(C327,'Qida bazası'!$A$2:$A$103,0))*D327/100,"?"))</f>
        <v/>
      </c>
    </row>
    <row r="328">
      <c r="A328" s="21" t="n"/>
      <c r="E328" s="18">
        <f>IF(OR(C328="",D328=""),"",IFERROR(INDEX('Qida bazası'!$D$2:$D$103,MATCH(C328,'Qida bazası'!$A$2:$A$103,0))*D328/100,"?"))</f>
        <v/>
      </c>
      <c r="F328" s="19">
        <f>IF(OR(C328="",D328=""),"",IFERROR(INDEX('Qida bazası'!$E$2:$E$103,MATCH(C328,'Qida bazası'!$A$2:$A$103,0))*D328/100,"?"))</f>
        <v/>
      </c>
      <c r="G328" s="19">
        <f>IF(OR(C328="",D328=""),"",IFERROR(INDEX('Qida bazası'!$F$2:$F$103,MATCH(C328,'Qida bazası'!$A$2:$A$103,0))*D328/100,"?"))</f>
        <v/>
      </c>
      <c r="H328" s="19">
        <f>IF(OR(C328="",D328=""),"",IFERROR(INDEX('Qida bazası'!$G$2:$G$103,MATCH(C328,'Qida bazası'!$A$2:$A$103,0))*D328/100,"?"))</f>
        <v/>
      </c>
    </row>
    <row r="329">
      <c r="A329" s="21" t="n"/>
      <c r="E329" s="18">
        <f>IF(OR(C329="",D329=""),"",IFERROR(INDEX('Qida bazası'!$D$2:$D$103,MATCH(C329,'Qida bazası'!$A$2:$A$103,0))*D329/100,"?"))</f>
        <v/>
      </c>
      <c r="F329" s="19">
        <f>IF(OR(C329="",D329=""),"",IFERROR(INDEX('Qida bazası'!$E$2:$E$103,MATCH(C329,'Qida bazası'!$A$2:$A$103,0))*D329/100,"?"))</f>
        <v/>
      </c>
      <c r="G329" s="19">
        <f>IF(OR(C329="",D329=""),"",IFERROR(INDEX('Qida bazası'!$F$2:$F$103,MATCH(C329,'Qida bazası'!$A$2:$A$103,0))*D329/100,"?"))</f>
        <v/>
      </c>
      <c r="H329" s="19">
        <f>IF(OR(C329="",D329=""),"",IFERROR(INDEX('Qida bazası'!$G$2:$G$103,MATCH(C329,'Qida bazası'!$A$2:$A$103,0))*D329/100,"?"))</f>
        <v/>
      </c>
    </row>
    <row r="330">
      <c r="A330" s="21" t="n"/>
      <c r="E330" s="18">
        <f>IF(OR(C330="",D330=""),"",IFERROR(INDEX('Qida bazası'!$D$2:$D$103,MATCH(C330,'Qida bazası'!$A$2:$A$103,0))*D330/100,"?"))</f>
        <v/>
      </c>
      <c r="F330" s="19">
        <f>IF(OR(C330="",D330=""),"",IFERROR(INDEX('Qida bazası'!$E$2:$E$103,MATCH(C330,'Qida bazası'!$A$2:$A$103,0))*D330/100,"?"))</f>
        <v/>
      </c>
      <c r="G330" s="19">
        <f>IF(OR(C330="",D330=""),"",IFERROR(INDEX('Qida bazası'!$F$2:$F$103,MATCH(C330,'Qida bazası'!$A$2:$A$103,0))*D330/100,"?"))</f>
        <v/>
      </c>
      <c r="H330" s="19">
        <f>IF(OR(C330="",D330=""),"",IFERROR(INDEX('Qida bazası'!$G$2:$G$103,MATCH(C330,'Qida bazası'!$A$2:$A$103,0))*D330/100,"?"))</f>
        <v/>
      </c>
    </row>
    <row r="331">
      <c r="A331" s="21" t="n"/>
      <c r="E331" s="18">
        <f>IF(OR(C331="",D331=""),"",IFERROR(INDEX('Qida bazası'!$D$2:$D$103,MATCH(C331,'Qida bazası'!$A$2:$A$103,0))*D331/100,"?"))</f>
        <v/>
      </c>
      <c r="F331" s="19">
        <f>IF(OR(C331="",D331=""),"",IFERROR(INDEX('Qida bazası'!$E$2:$E$103,MATCH(C331,'Qida bazası'!$A$2:$A$103,0))*D331/100,"?"))</f>
        <v/>
      </c>
      <c r="G331" s="19">
        <f>IF(OR(C331="",D331=""),"",IFERROR(INDEX('Qida bazası'!$F$2:$F$103,MATCH(C331,'Qida bazası'!$A$2:$A$103,0))*D331/100,"?"))</f>
        <v/>
      </c>
      <c r="H331" s="19">
        <f>IF(OR(C331="",D331=""),"",IFERROR(INDEX('Qida bazası'!$G$2:$G$103,MATCH(C331,'Qida bazası'!$A$2:$A$103,0))*D331/100,"?"))</f>
        <v/>
      </c>
    </row>
    <row r="332">
      <c r="A332" s="21" t="n"/>
      <c r="E332" s="18">
        <f>IF(OR(C332="",D332=""),"",IFERROR(INDEX('Qida bazası'!$D$2:$D$103,MATCH(C332,'Qida bazası'!$A$2:$A$103,0))*D332/100,"?"))</f>
        <v/>
      </c>
      <c r="F332" s="19">
        <f>IF(OR(C332="",D332=""),"",IFERROR(INDEX('Qida bazası'!$E$2:$E$103,MATCH(C332,'Qida bazası'!$A$2:$A$103,0))*D332/100,"?"))</f>
        <v/>
      </c>
      <c r="G332" s="19">
        <f>IF(OR(C332="",D332=""),"",IFERROR(INDEX('Qida bazası'!$F$2:$F$103,MATCH(C332,'Qida bazası'!$A$2:$A$103,0))*D332/100,"?"))</f>
        <v/>
      </c>
      <c r="H332" s="19">
        <f>IF(OR(C332="",D332=""),"",IFERROR(INDEX('Qida bazası'!$G$2:$G$103,MATCH(C332,'Qida bazası'!$A$2:$A$103,0))*D332/100,"?"))</f>
        <v/>
      </c>
    </row>
    <row r="333">
      <c r="A333" s="21" t="n"/>
      <c r="E333" s="18">
        <f>IF(OR(C333="",D333=""),"",IFERROR(INDEX('Qida bazası'!$D$2:$D$103,MATCH(C333,'Qida bazası'!$A$2:$A$103,0))*D333/100,"?"))</f>
        <v/>
      </c>
      <c r="F333" s="19">
        <f>IF(OR(C333="",D333=""),"",IFERROR(INDEX('Qida bazası'!$E$2:$E$103,MATCH(C333,'Qida bazası'!$A$2:$A$103,0))*D333/100,"?"))</f>
        <v/>
      </c>
      <c r="G333" s="19">
        <f>IF(OR(C333="",D333=""),"",IFERROR(INDEX('Qida bazası'!$F$2:$F$103,MATCH(C333,'Qida bazası'!$A$2:$A$103,0))*D333/100,"?"))</f>
        <v/>
      </c>
      <c r="H333" s="19">
        <f>IF(OR(C333="",D333=""),"",IFERROR(INDEX('Qida bazası'!$G$2:$G$103,MATCH(C333,'Qida bazası'!$A$2:$A$103,0))*D333/100,"?"))</f>
        <v/>
      </c>
    </row>
    <row r="334">
      <c r="A334" s="21" t="n"/>
      <c r="E334" s="18">
        <f>IF(OR(C334="",D334=""),"",IFERROR(INDEX('Qida bazası'!$D$2:$D$103,MATCH(C334,'Qida bazası'!$A$2:$A$103,0))*D334/100,"?"))</f>
        <v/>
      </c>
      <c r="F334" s="19">
        <f>IF(OR(C334="",D334=""),"",IFERROR(INDEX('Qida bazası'!$E$2:$E$103,MATCH(C334,'Qida bazası'!$A$2:$A$103,0))*D334/100,"?"))</f>
        <v/>
      </c>
      <c r="G334" s="19">
        <f>IF(OR(C334="",D334=""),"",IFERROR(INDEX('Qida bazası'!$F$2:$F$103,MATCH(C334,'Qida bazası'!$A$2:$A$103,0))*D334/100,"?"))</f>
        <v/>
      </c>
      <c r="H334" s="19">
        <f>IF(OR(C334="",D334=""),"",IFERROR(INDEX('Qida bazası'!$G$2:$G$103,MATCH(C334,'Qida bazası'!$A$2:$A$103,0))*D334/100,"?"))</f>
        <v/>
      </c>
    </row>
    <row r="335">
      <c r="A335" s="21" t="n"/>
      <c r="E335" s="18">
        <f>IF(OR(C335="",D335=""),"",IFERROR(INDEX('Qida bazası'!$D$2:$D$103,MATCH(C335,'Qida bazası'!$A$2:$A$103,0))*D335/100,"?"))</f>
        <v/>
      </c>
      <c r="F335" s="19">
        <f>IF(OR(C335="",D335=""),"",IFERROR(INDEX('Qida bazası'!$E$2:$E$103,MATCH(C335,'Qida bazası'!$A$2:$A$103,0))*D335/100,"?"))</f>
        <v/>
      </c>
      <c r="G335" s="19">
        <f>IF(OR(C335="",D335=""),"",IFERROR(INDEX('Qida bazası'!$F$2:$F$103,MATCH(C335,'Qida bazası'!$A$2:$A$103,0))*D335/100,"?"))</f>
        <v/>
      </c>
      <c r="H335" s="19">
        <f>IF(OR(C335="",D335=""),"",IFERROR(INDEX('Qida bazası'!$G$2:$G$103,MATCH(C335,'Qida bazası'!$A$2:$A$103,0))*D335/100,"?"))</f>
        <v/>
      </c>
    </row>
    <row r="336">
      <c r="A336" s="21" t="n"/>
      <c r="E336" s="18">
        <f>IF(OR(C336="",D336=""),"",IFERROR(INDEX('Qida bazası'!$D$2:$D$103,MATCH(C336,'Qida bazası'!$A$2:$A$103,0))*D336/100,"?"))</f>
        <v/>
      </c>
      <c r="F336" s="19">
        <f>IF(OR(C336="",D336=""),"",IFERROR(INDEX('Qida bazası'!$E$2:$E$103,MATCH(C336,'Qida bazası'!$A$2:$A$103,0))*D336/100,"?"))</f>
        <v/>
      </c>
      <c r="G336" s="19">
        <f>IF(OR(C336="",D336=""),"",IFERROR(INDEX('Qida bazası'!$F$2:$F$103,MATCH(C336,'Qida bazası'!$A$2:$A$103,0))*D336/100,"?"))</f>
        <v/>
      </c>
      <c r="H336" s="19">
        <f>IF(OR(C336="",D336=""),"",IFERROR(INDEX('Qida bazası'!$G$2:$G$103,MATCH(C336,'Qida bazası'!$A$2:$A$103,0))*D336/100,"?"))</f>
        <v/>
      </c>
    </row>
    <row r="337">
      <c r="A337" s="21" t="n"/>
      <c r="E337" s="18">
        <f>IF(OR(C337="",D337=""),"",IFERROR(INDEX('Qida bazası'!$D$2:$D$103,MATCH(C337,'Qida bazası'!$A$2:$A$103,0))*D337/100,"?"))</f>
        <v/>
      </c>
      <c r="F337" s="19">
        <f>IF(OR(C337="",D337=""),"",IFERROR(INDEX('Qida bazası'!$E$2:$E$103,MATCH(C337,'Qida bazası'!$A$2:$A$103,0))*D337/100,"?"))</f>
        <v/>
      </c>
      <c r="G337" s="19">
        <f>IF(OR(C337="",D337=""),"",IFERROR(INDEX('Qida bazası'!$F$2:$F$103,MATCH(C337,'Qida bazası'!$A$2:$A$103,0))*D337/100,"?"))</f>
        <v/>
      </c>
      <c r="H337" s="19">
        <f>IF(OR(C337="",D337=""),"",IFERROR(INDEX('Qida bazası'!$G$2:$G$103,MATCH(C337,'Qida bazası'!$A$2:$A$103,0))*D337/100,"?"))</f>
        <v/>
      </c>
    </row>
    <row r="338">
      <c r="A338" s="21" t="n"/>
      <c r="E338" s="18">
        <f>IF(OR(C338="",D338=""),"",IFERROR(INDEX('Qida bazası'!$D$2:$D$103,MATCH(C338,'Qida bazası'!$A$2:$A$103,0))*D338/100,"?"))</f>
        <v/>
      </c>
      <c r="F338" s="19">
        <f>IF(OR(C338="",D338=""),"",IFERROR(INDEX('Qida bazası'!$E$2:$E$103,MATCH(C338,'Qida bazası'!$A$2:$A$103,0))*D338/100,"?"))</f>
        <v/>
      </c>
      <c r="G338" s="19">
        <f>IF(OR(C338="",D338=""),"",IFERROR(INDEX('Qida bazası'!$F$2:$F$103,MATCH(C338,'Qida bazası'!$A$2:$A$103,0))*D338/100,"?"))</f>
        <v/>
      </c>
      <c r="H338" s="19">
        <f>IF(OR(C338="",D338=""),"",IFERROR(INDEX('Qida bazası'!$G$2:$G$103,MATCH(C338,'Qida bazası'!$A$2:$A$103,0))*D338/100,"?"))</f>
        <v/>
      </c>
    </row>
    <row r="339">
      <c r="A339" s="21" t="n"/>
      <c r="E339" s="18">
        <f>IF(OR(C339="",D339=""),"",IFERROR(INDEX('Qida bazası'!$D$2:$D$103,MATCH(C339,'Qida bazası'!$A$2:$A$103,0))*D339/100,"?"))</f>
        <v/>
      </c>
      <c r="F339" s="19">
        <f>IF(OR(C339="",D339=""),"",IFERROR(INDEX('Qida bazası'!$E$2:$E$103,MATCH(C339,'Qida bazası'!$A$2:$A$103,0))*D339/100,"?"))</f>
        <v/>
      </c>
      <c r="G339" s="19">
        <f>IF(OR(C339="",D339=""),"",IFERROR(INDEX('Qida bazası'!$F$2:$F$103,MATCH(C339,'Qida bazası'!$A$2:$A$103,0))*D339/100,"?"))</f>
        <v/>
      </c>
      <c r="H339" s="19">
        <f>IF(OR(C339="",D339=""),"",IFERROR(INDEX('Qida bazası'!$G$2:$G$103,MATCH(C339,'Qida bazası'!$A$2:$A$103,0))*D339/100,"?"))</f>
        <v/>
      </c>
    </row>
    <row r="340">
      <c r="A340" s="21" t="n"/>
      <c r="E340" s="18">
        <f>IF(OR(C340="",D340=""),"",IFERROR(INDEX('Qida bazası'!$D$2:$D$103,MATCH(C340,'Qida bazası'!$A$2:$A$103,0))*D340/100,"?"))</f>
        <v/>
      </c>
      <c r="F340" s="19">
        <f>IF(OR(C340="",D340=""),"",IFERROR(INDEX('Qida bazası'!$E$2:$E$103,MATCH(C340,'Qida bazası'!$A$2:$A$103,0))*D340/100,"?"))</f>
        <v/>
      </c>
      <c r="G340" s="19">
        <f>IF(OR(C340="",D340=""),"",IFERROR(INDEX('Qida bazası'!$F$2:$F$103,MATCH(C340,'Qida bazası'!$A$2:$A$103,0))*D340/100,"?"))</f>
        <v/>
      </c>
      <c r="H340" s="19">
        <f>IF(OR(C340="",D340=""),"",IFERROR(INDEX('Qida bazası'!$G$2:$G$103,MATCH(C340,'Qida bazası'!$A$2:$A$103,0))*D340/100,"?"))</f>
        <v/>
      </c>
    </row>
    <row r="341">
      <c r="A341" s="21" t="n"/>
      <c r="E341" s="18">
        <f>IF(OR(C341="",D341=""),"",IFERROR(INDEX('Qida bazası'!$D$2:$D$103,MATCH(C341,'Qida bazası'!$A$2:$A$103,0))*D341/100,"?"))</f>
        <v/>
      </c>
      <c r="F341" s="19">
        <f>IF(OR(C341="",D341=""),"",IFERROR(INDEX('Qida bazası'!$E$2:$E$103,MATCH(C341,'Qida bazası'!$A$2:$A$103,0))*D341/100,"?"))</f>
        <v/>
      </c>
      <c r="G341" s="19">
        <f>IF(OR(C341="",D341=""),"",IFERROR(INDEX('Qida bazası'!$F$2:$F$103,MATCH(C341,'Qida bazası'!$A$2:$A$103,0))*D341/100,"?"))</f>
        <v/>
      </c>
      <c r="H341" s="19">
        <f>IF(OR(C341="",D341=""),"",IFERROR(INDEX('Qida bazası'!$G$2:$G$103,MATCH(C341,'Qida bazası'!$A$2:$A$103,0))*D341/100,"?"))</f>
        <v/>
      </c>
    </row>
    <row r="342">
      <c r="A342" s="21" t="n"/>
      <c r="E342" s="18">
        <f>IF(OR(C342="",D342=""),"",IFERROR(INDEX('Qida bazası'!$D$2:$D$103,MATCH(C342,'Qida bazası'!$A$2:$A$103,0))*D342/100,"?"))</f>
        <v/>
      </c>
      <c r="F342" s="19">
        <f>IF(OR(C342="",D342=""),"",IFERROR(INDEX('Qida bazası'!$E$2:$E$103,MATCH(C342,'Qida bazası'!$A$2:$A$103,0))*D342/100,"?"))</f>
        <v/>
      </c>
      <c r="G342" s="19">
        <f>IF(OR(C342="",D342=""),"",IFERROR(INDEX('Qida bazası'!$F$2:$F$103,MATCH(C342,'Qida bazası'!$A$2:$A$103,0))*D342/100,"?"))</f>
        <v/>
      </c>
      <c r="H342" s="19">
        <f>IF(OR(C342="",D342=""),"",IFERROR(INDEX('Qida bazası'!$G$2:$G$103,MATCH(C342,'Qida bazası'!$A$2:$A$103,0))*D342/100,"?"))</f>
        <v/>
      </c>
    </row>
    <row r="343">
      <c r="A343" s="21" t="n"/>
      <c r="E343" s="18">
        <f>IF(OR(C343="",D343=""),"",IFERROR(INDEX('Qida bazası'!$D$2:$D$103,MATCH(C343,'Qida bazası'!$A$2:$A$103,0))*D343/100,"?"))</f>
        <v/>
      </c>
      <c r="F343" s="19">
        <f>IF(OR(C343="",D343=""),"",IFERROR(INDEX('Qida bazası'!$E$2:$E$103,MATCH(C343,'Qida bazası'!$A$2:$A$103,0))*D343/100,"?"))</f>
        <v/>
      </c>
      <c r="G343" s="19">
        <f>IF(OR(C343="",D343=""),"",IFERROR(INDEX('Qida bazası'!$F$2:$F$103,MATCH(C343,'Qida bazası'!$A$2:$A$103,0))*D343/100,"?"))</f>
        <v/>
      </c>
      <c r="H343" s="19">
        <f>IF(OR(C343="",D343=""),"",IFERROR(INDEX('Qida bazası'!$G$2:$G$103,MATCH(C343,'Qida bazası'!$A$2:$A$103,0))*D343/100,"?"))</f>
        <v/>
      </c>
    </row>
    <row r="344">
      <c r="A344" s="21" t="n"/>
      <c r="E344" s="18">
        <f>IF(OR(C344="",D344=""),"",IFERROR(INDEX('Qida bazası'!$D$2:$D$103,MATCH(C344,'Qida bazası'!$A$2:$A$103,0))*D344/100,"?"))</f>
        <v/>
      </c>
      <c r="F344" s="19">
        <f>IF(OR(C344="",D344=""),"",IFERROR(INDEX('Qida bazası'!$E$2:$E$103,MATCH(C344,'Qida bazası'!$A$2:$A$103,0))*D344/100,"?"))</f>
        <v/>
      </c>
      <c r="G344" s="19">
        <f>IF(OR(C344="",D344=""),"",IFERROR(INDEX('Qida bazası'!$F$2:$F$103,MATCH(C344,'Qida bazası'!$A$2:$A$103,0))*D344/100,"?"))</f>
        <v/>
      </c>
      <c r="H344" s="19">
        <f>IF(OR(C344="",D344=""),"",IFERROR(INDEX('Qida bazası'!$G$2:$G$103,MATCH(C344,'Qida bazası'!$A$2:$A$103,0))*D344/100,"?"))</f>
        <v/>
      </c>
    </row>
    <row r="345">
      <c r="A345" s="21" t="n"/>
      <c r="E345" s="18">
        <f>IF(OR(C345="",D345=""),"",IFERROR(INDEX('Qida bazası'!$D$2:$D$103,MATCH(C345,'Qida bazası'!$A$2:$A$103,0))*D345/100,"?"))</f>
        <v/>
      </c>
      <c r="F345" s="19">
        <f>IF(OR(C345="",D345=""),"",IFERROR(INDEX('Qida bazası'!$E$2:$E$103,MATCH(C345,'Qida bazası'!$A$2:$A$103,0))*D345/100,"?"))</f>
        <v/>
      </c>
      <c r="G345" s="19">
        <f>IF(OR(C345="",D345=""),"",IFERROR(INDEX('Qida bazası'!$F$2:$F$103,MATCH(C345,'Qida bazası'!$A$2:$A$103,0))*D345/100,"?"))</f>
        <v/>
      </c>
      <c r="H345" s="19">
        <f>IF(OR(C345="",D345=""),"",IFERROR(INDEX('Qida bazası'!$G$2:$G$103,MATCH(C345,'Qida bazası'!$A$2:$A$103,0))*D345/100,"?"))</f>
        <v/>
      </c>
    </row>
    <row r="346">
      <c r="A346" s="21" t="n"/>
      <c r="E346" s="18">
        <f>IF(OR(C346="",D346=""),"",IFERROR(INDEX('Qida bazası'!$D$2:$D$103,MATCH(C346,'Qida bazası'!$A$2:$A$103,0))*D346/100,"?"))</f>
        <v/>
      </c>
      <c r="F346" s="19">
        <f>IF(OR(C346="",D346=""),"",IFERROR(INDEX('Qida bazası'!$E$2:$E$103,MATCH(C346,'Qida bazası'!$A$2:$A$103,0))*D346/100,"?"))</f>
        <v/>
      </c>
      <c r="G346" s="19">
        <f>IF(OR(C346="",D346=""),"",IFERROR(INDEX('Qida bazası'!$F$2:$F$103,MATCH(C346,'Qida bazası'!$A$2:$A$103,0))*D346/100,"?"))</f>
        <v/>
      </c>
      <c r="H346" s="19">
        <f>IF(OR(C346="",D346=""),"",IFERROR(INDEX('Qida bazası'!$G$2:$G$103,MATCH(C346,'Qida bazası'!$A$2:$A$103,0))*D346/100,"?"))</f>
        <v/>
      </c>
    </row>
    <row r="347">
      <c r="A347" s="21" t="n"/>
      <c r="E347" s="18">
        <f>IF(OR(C347="",D347=""),"",IFERROR(INDEX('Qida bazası'!$D$2:$D$103,MATCH(C347,'Qida bazası'!$A$2:$A$103,0))*D347/100,"?"))</f>
        <v/>
      </c>
      <c r="F347" s="19">
        <f>IF(OR(C347="",D347=""),"",IFERROR(INDEX('Qida bazası'!$E$2:$E$103,MATCH(C347,'Qida bazası'!$A$2:$A$103,0))*D347/100,"?"))</f>
        <v/>
      </c>
      <c r="G347" s="19">
        <f>IF(OR(C347="",D347=""),"",IFERROR(INDEX('Qida bazası'!$F$2:$F$103,MATCH(C347,'Qida bazası'!$A$2:$A$103,0))*D347/100,"?"))</f>
        <v/>
      </c>
      <c r="H347" s="19">
        <f>IF(OR(C347="",D347=""),"",IFERROR(INDEX('Qida bazası'!$G$2:$G$103,MATCH(C347,'Qida bazası'!$A$2:$A$103,0))*D347/100,"?"))</f>
        <v/>
      </c>
    </row>
    <row r="348">
      <c r="A348" s="21" t="n"/>
      <c r="E348" s="18">
        <f>IF(OR(C348="",D348=""),"",IFERROR(INDEX('Qida bazası'!$D$2:$D$103,MATCH(C348,'Qida bazası'!$A$2:$A$103,0))*D348/100,"?"))</f>
        <v/>
      </c>
      <c r="F348" s="19">
        <f>IF(OR(C348="",D348=""),"",IFERROR(INDEX('Qida bazası'!$E$2:$E$103,MATCH(C348,'Qida bazası'!$A$2:$A$103,0))*D348/100,"?"))</f>
        <v/>
      </c>
      <c r="G348" s="19">
        <f>IF(OR(C348="",D348=""),"",IFERROR(INDEX('Qida bazası'!$F$2:$F$103,MATCH(C348,'Qida bazası'!$A$2:$A$103,0))*D348/100,"?"))</f>
        <v/>
      </c>
      <c r="H348" s="19">
        <f>IF(OR(C348="",D348=""),"",IFERROR(INDEX('Qida bazası'!$G$2:$G$103,MATCH(C348,'Qida bazası'!$A$2:$A$103,0))*D348/100,"?"))</f>
        <v/>
      </c>
    </row>
    <row r="349">
      <c r="A349" s="21" t="n"/>
      <c r="E349" s="18">
        <f>IF(OR(C349="",D349=""),"",IFERROR(INDEX('Qida bazası'!$D$2:$D$103,MATCH(C349,'Qida bazası'!$A$2:$A$103,0))*D349/100,"?"))</f>
        <v/>
      </c>
      <c r="F349" s="19">
        <f>IF(OR(C349="",D349=""),"",IFERROR(INDEX('Qida bazası'!$E$2:$E$103,MATCH(C349,'Qida bazası'!$A$2:$A$103,0))*D349/100,"?"))</f>
        <v/>
      </c>
      <c r="G349" s="19">
        <f>IF(OR(C349="",D349=""),"",IFERROR(INDEX('Qida bazası'!$F$2:$F$103,MATCH(C349,'Qida bazası'!$A$2:$A$103,0))*D349/100,"?"))</f>
        <v/>
      </c>
      <c r="H349" s="19">
        <f>IF(OR(C349="",D349=""),"",IFERROR(INDEX('Qida bazası'!$G$2:$G$103,MATCH(C349,'Qida bazası'!$A$2:$A$103,0))*D349/100,"?"))</f>
        <v/>
      </c>
    </row>
    <row r="350">
      <c r="A350" s="21" t="n"/>
      <c r="E350" s="18">
        <f>IF(OR(C350="",D350=""),"",IFERROR(INDEX('Qida bazası'!$D$2:$D$103,MATCH(C350,'Qida bazası'!$A$2:$A$103,0))*D350/100,"?"))</f>
        <v/>
      </c>
      <c r="F350" s="19">
        <f>IF(OR(C350="",D350=""),"",IFERROR(INDEX('Qida bazası'!$E$2:$E$103,MATCH(C350,'Qida bazası'!$A$2:$A$103,0))*D350/100,"?"))</f>
        <v/>
      </c>
      <c r="G350" s="19">
        <f>IF(OR(C350="",D350=""),"",IFERROR(INDEX('Qida bazası'!$F$2:$F$103,MATCH(C350,'Qida bazası'!$A$2:$A$103,0))*D350/100,"?"))</f>
        <v/>
      </c>
      <c r="H350" s="19">
        <f>IF(OR(C350="",D350=""),"",IFERROR(INDEX('Qida bazası'!$G$2:$G$103,MATCH(C350,'Qida bazası'!$A$2:$A$103,0))*D350/100,"?"))</f>
        <v/>
      </c>
    </row>
    <row r="351">
      <c r="A351" s="21" t="n"/>
      <c r="E351" s="18">
        <f>IF(OR(C351="",D351=""),"",IFERROR(INDEX('Qida bazası'!$D$2:$D$103,MATCH(C351,'Qida bazası'!$A$2:$A$103,0))*D351/100,"?"))</f>
        <v/>
      </c>
      <c r="F351" s="19">
        <f>IF(OR(C351="",D351=""),"",IFERROR(INDEX('Qida bazası'!$E$2:$E$103,MATCH(C351,'Qida bazası'!$A$2:$A$103,0))*D351/100,"?"))</f>
        <v/>
      </c>
      <c r="G351" s="19">
        <f>IF(OR(C351="",D351=""),"",IFERROR(INDEX('Qida bazası'!$F$2:$F$103,MATCH(C351,'Qida bazası'!$A$2:$A$103,0))*D351/100,"?"))</f>
        <v/>
      </c>
      <c r="H351" s="19">
        <f>IF(OR(C351="",D351=""),"",IFERROR(INDEX('Qida bazası'!$G$2:$G$103,MATCH(C351,'Qida bazası'!$A$2:$A$103,0))*D351/100,"?"))</f>
        <v/>
      </c>
    </row>
    <row r="352">
      <c r="A352" s="21" t="n"/>
      <c r="E352" s="18">
        <f>IF(OR(C352="",D352=""),"",IFERROR(INDEX('Qida bazası'!$D$2:$D$103,MATCH(C352,'Qida bazası'!$A$2:$A$103,0))*D352/100,"?"))</f>
        <v/>
      </c>
      <c r="F352" s="19">
        <f>IF(OR(C352="",D352=""),"",IFERROR(INDEX('Qida bazası'!$E$2:$E$103,MATCH(C352,'Qida bazası'!$A$2:$A$103,0))*D352/100,"?"))</f>
        <v/>
      </c>
      <c r="G352" s="19">
        <f>IF(OR(C352="",D352=""),"",IFERROR(INDEX('Qida bazası'!$F$2:$F$103,MATCH(C352,'Qida bazası'!$A$2:$A$103,0))*D352/100,"?"))</f>
        <v/>
      </c>
      <c r="H352" s="19">
        <f>IF(OR(C352="",D352=""),"",IFERROR(INDEX('Qida bazası'!$G$2:$G$103,MATCH(C352,'Qida bazası'!$A$2:$A$103,0))*D352/100,"?"))</f>
        <v/>
      </c>
    </row>
    <row r="353">
      <c r="A353" s="21" t="n"/>
      <c r="E353" s="18">
        <f>IF(OR(C353="",D353=""),"",IFERROR(INDEX('Qida bazası'!$D$2:$D$103,MATCH(C353,'Qida bazası'!$A$2:$A$103,0))*D353/100,"?"))</f>
        <v/>
      </c>
      <c r="F353" s="19">
        <f>IF(OR(C353="",D353=""),"",IFERROR(INDEX('Qida bazası'!$E$2:$E$103,MATCH(C353,'Qida bazası'!$A$2:$A$103,0))*D353/100,"?"))</f>
        <v/>
      </c>
      <c r="G353" s="19">
        <f>IF(OR(C353="",D353=""),"",IFERROR(INDEX('Qida bazası'!$F$2:$F$103,MATCH(C353,'Qida bazası'!$A$2:$A$103,0))*D353/100,"?"))</f>
        <v/>
      </c>
      <c r="H353" s="19">
        <f>IF(OR(C353="",D353=""),"",IFERROR(INDEX('Qida bazası'!$G$2:$G$103,MATCH(C353,'Qida bazası'!$A$2:$A$103,0))*D353/100,"?"))</f>
        <v/>
      </c>
    </row>
    <row r="354">
      <c r="A354" s="21" t="n"/>
      <c r="E354" s="18">
        <f>IF(OR(C354="",D354=""),"",IFERROR(INDEX('Qida bazası'!$D$2:$D$103,MATCH(C354,'Qida bazası'!$A$2:$A$103,0))*D354/100,"?"))</f>
        <v/>
      </c>
      <c r="F354" s="19">
        <f>IF(OR(C354="",D354=""),"",IFERROR(INDEX('Qida bazası'!$E$2:$E$103,MATCH(C354,'Qida bazası'!$A$2:$A$103,0))*D354/100,"?"))</f>
        <v/>
      </c>
      <c r="G354" s="19">
        <f>IF(OR(C354="",D354=""),"",IFERROR(INDEX('Qida bazası'!$F$2:$F$103,MATCH(C354,'Qida bazası'!$A$2:$A$103,0))*D354/100,"?"))</f>
        <v/>
      </c>
      <c r="H354" s="19">
        <f>IF(OR(C354="",D354=""),"",IFERROR(INDEX('Qida bazası'!$G$2:$G$103,MATCH(C354,'Qida bazası'!$A$2:$A$103,0))*D354/100,"?"))</f>
        <v/>
      </c>
    </row>
    <row r="355">
      <c r="A355" s="21" t="n"/>
      <c r="E355" s="18">
        <f>IF(OR(C355="",D355=""),"",IFERROR(INDEX('Qida bazası'!$D$2:$D$103,MATCH(C355,'Qida bazası'!$A$2:$A$103,0))*D355/100,"?"))</f>
        <v/>
      </c>
      <c r="F355" s="19">
        <f>IF(OR(C355="",D355=""),"",IFERROR(INDEX('Qida bazası'!$E$2:$E$103,MATCH(C355,'Qida bazası'!$A$2:$A$103,0))*D355/100,"?"))</f>
        <v/>
      </c>
      <c r="G355" s="19">
        <f>IF(OR(C355="",D355=""),"",IFERROR(INDEX('Qida bazası'!$F$2:$F$103,MATCH(C355,'Qida bazası'!$A$2:$A$103,0))*D355/100,"?"))</f>
        <v/>
      </c>
      <c r="H355" s="19">
        <f>IF(OR(C355="",D355=""),"",IFERROR(INDEX('Qida bazası'!$G$2:$G$103,MATCH(C355,'Qida bazası'!$A$2:$A$103,0))*D355/100,"?"))</f>
        <v/>
      </c>
    </row>
    <row r="356">
      <c r="A356" s="21" t="n"/>
      <c r="E356" s="18">
        <f>IF(OR(C356="",D356=""),"",IFERROR(INDEX('Qida bazası'!$D$2:$D$103,MATCH(C356,'Qida bazası'!$A$2:$A$103,0))*D356/100,"?"))</f>
        <v/>
      </c>
      <c r="F356" s="19">
        <f>IF(OR(C356="",D356=""),"",IFERROR(INDEX('Qida bazası'!$E$2:$E$103,MATCH(C356,'Qida bazası'!$A$2:$A$103,0))*D356/100,"?"))</f>
        <v/>
      </c>
      <c r="G356" s="19">
        <f>IF(OR(C356="",D356=""),"",IFERROR(INDEX('Qida bazası'!$F$2:$F$103,MATCH(C356,'Qida bazası'!$A$2:$A$103,0))*D356/100,"?"))</f>
        <v/>
      </c>
      <c r="H356" s="19">
        <f>IF(OR(C356="",D356=""),"",IFERROR(INDEX('Qida bazası'!$G$2:$G$103,MATCH(C356,'Qida bazası'!$A$2:$A$103,0))*D356/100,"?"))</f>
        <v/>
      </c>
    </row>
    <row r="357">
      <c r="A357" s="21" t="n"/>
      <c r="E357" s="18">
        <f>IF(OR(C357="",D357=""),"",IFERROR(INDEX('Qida bazası'!$D$2:$D$103,MATCH(C357,'Qida bazası'!$A$2:$A$103,0))*D357/100,"?"))</f>
        <v/>
      </c>
      <c r="F357" s="19">
        <f>IF(OR(C357="",D357=""),"",IFERROR(INDEX('Qida bazası'!$E$2:$E$103,MATCH(C357,'Qida bazası'!$A$2:$A$103,0))*D357/100,"?"))</f>
        <v/>
      </c>
      <c r="G357" s="19">
        <f>IF(OR(C357="",D357=""),"",IFERROR(INDEX('Qida bazası'!$F$2:$F$103,MATCH(C357,'Qida bazası'!$A$2:$A$103,0))*D357/100,"?"))</f>
        <v/>
      </c>
      <c r="H357" s="19">
        <f>IF(OR(C357="",D357=""),"",IFERROR(INDEX('Qida bazası'!$G$2:$G$103,MATCH(C357,'Qida bazası'!$A$2:$A$103,0))*D357/100,"?"))</f>
        <v/>
      </c>
    </row>
    <row r="358">
      <c r="A358" s="21" t="n"/>
      <c r="E358" s="18">
        <f>IF(OR(C358="",D358=""),"",IFERROR(INDEX('Qida bazası'!$D$2:$D$103,MATCH(C358,'Qida bazası'!$A$2:$A$103,0))*D358/100,"?"))</f>
        <v/>
      </c>
      <c r="F358" s="19">
        <f>IF(OR(C358="",D358=""),"",IFERROR(INDEX('Qida bazası'!$E$2:$E$103,MATCH(C358,'Qida bazası'!$A$2:$A$103,0))*D358/100,"?"))</f>
        <v/>
      </c>
      <c r="G358" s="19">
        <f>IF(OR(C358="",D358=""),"",IFERROR(INDEX('Qida bazası'!$F$2:$F$103,MATCH(C358,'Qida bazası'!$A$2:$A$103,0))*D358/100,"?"))</f>
        <v/>
      </c>
      <c r="H358" s="19">
        <f>IF(OR(C358="",D358=""),"",IFERROR(INDEX('Qida bazası'!$G$2:$G$103,MATCH(C358,'Qida bazası'!$A$2:$A$103,0))*D358/100,"?"))</f>
        <v/>
      </c>
    </row>
    <row r="359">
      <c r="A359" s="21" t="n"/>
      <c r="E359" s="18">
        <f>IF(OR(C359="",D359=""),"",IFERROR(INDEX('Qida bazası'!$D$2:$D$103,MATCH(C359,'Qida bazası'!$A$2:$A$103,0))*D359/100,"?"))</f>
        <v/>
      </c>
      <c r="F359" s="19">
        <f>IF(OR(C359="",D359=""),"",IFERROR(INDEX('Qida bazası'!$E$2:$E$103,MATCH(C359,'Qida bazası'!$A$2:$A$103,0))*D359/100,"?"))</f>
        <v/>
      </c>
      <c r="G359" s="19">
        <f>IF(OR(C359="",D359=""),"",IFERROR(INDEX('Qida bazası'!$F$2:$F$103,MATCH(C359,'Qida bazası'!$A$2:$A$103,0))*D359/100,"?"))</f>
        <v/>
      </c>
      <c r="H359" s="19">
        <f>IF(OR(C359="",D359=""),"",IFERROR(INDEX('Qida bazası'!$G$2:$G$103,MATCH(C359,'Qida bazası'!$A$2:$A$103,0))*D359/100,"?"))</f>
        <v/>
      </c>
    </row>
    <row r="360">
      <c r="A360" s="21" t="n"/>
      <c r="E360" s="18">
        <f>IF(OR(C360="",D360=""),"",IFERROR(INDEX('Qida bazası'!$D$2:$D$103,MATCH(C360,'Qida bazası'!$A$2:$A$103,0))*D360/100,"?"))</f>
        <v/>
      </c>
      <c r="F360" s="19">
        <f>IF(OR(C360="",D360=""),"",IFERROR(INDEX('Qida bazası'!$E$2:$E$103,MATCH(C360,'Qida bazası'!$A$2:$A$103,0))*D360/100,"?"))</f>
        <v/>
      </c>
      <c r="G360" s="19">
        <f>IF(OR(C360="",D360=""),"",IFERROR(INDEX('Qida bazası'!$F$2:$F$103,MATCH(C360,'Qida bazası'!$A$2:$A$103,0))*D360/100,"?"))</f>
        <v/>
      </c>
      <c r="H360" s="19">
        <f>IF(OR(C360="",D360=""),"",IFERROR(INDEX('Qida bazası'!$G$2:$G$103,MATCH(C360,'Qida bazası'!$A$2:$A$103,0))*D360/100,"?"))</f>
        <v/>
      </c>
    </row>
    <row r="361">
      <c r="A361" s="21" t="n"/>
      <c r="E361" s="18">
        <f>IF(OR(C361="",D361=""),"",IFERROR(INDEX('Qida bazası'!$D$2:$D$103,MATCH(C361,'Qida bazası'!$A$2:$A$103,0))*D361/100,"?"))</f>
        <v/>
      </c>
      <c r="F361" s="19">
        <f>IF(OR(C361="",D361=""),"",IFERROR(INDEX('Qida bazası'!$E$2:$E$103,MATCH(C361,'Qida bazası'!$A$2:$A$103,0))*D361/100,"?"))</f>
        <v/>
      </c>
      <c r="G361" s="19">
        <f>IF(OR(C361="",D361=""),"",IFERROR(INDEX('Qida bazası'!$F$2:$F$103,MATCH(C361,'Qida bazası'!$A$2:$A$103,0))*D361/100,"?"))</f>
        <v/>
      </c>
      <c r="H361" s="19">
        <f>IF(OR(C361="",D361=""),"",IFERROR(INDEX('Qida bazası'!$G$2:$G$103,MATCH(C361,'Qida bazası'!$A$2:$A$103,0))*D361/100,"?"))</f>
        <v/>
      </c>
    </row>
    <row r="362">
      <c r="A362" s="21" t="n"/>
      <c r="E362" s="18">
        <f>IF(OR(C362="",D362=""),"",IFERROR(INDEX('Qida bazası'!$D$2:$D$103,MATCH(C362,'Qida bazası'!$A$2:$A$103,0))*D362/100,"?"))</f>
        <v/>
      </c>
      <c r="F362" s="19">
        <f>IF(OR(C362="",D362=""),"",IFERROR(INDEX('Qida bazası'!$E$2:$E$103,MATCH(C362,'Qida bazası'!$A$2:$A$103,0))*D362/100,"?"))</f>
        <v/>
      </c>
      <c r="G362" s="19">
        <f>IF(OR(C362="",D362=""),"",IFERROR(INDEX('Qida bazası'!$F$2:$F$103,MATCH(C362,'Qida bazası'!$A$2:$A$103,0))*D362/100,"?"))</f>
        <v/>
      </c>
      <c r="H362" s="19">
        <f>IF(OR(C362="",D362=""),"",IFERROR(INDEX('Qida bazası'!$G$2:$G$103,MATCH(C362,'Qida bazası'!$A$2:$A$103,0))*D362/100,"?"))</f>
        <v/>
      </c>
    </row>
    <row r="363">
      <c r="A363" s="21" t="n"/>
      <c r="E363" s="18">
        <f>IF(OR(C363="",D363=""),"",IFERROR(INDEX('Qida bazası'!$D$2:$D$103,MATCH(C363,'Qida bazası'!$A$2:$A$103,0))*D363/100,"?"))</f>
        <v/>
      </c>
      <c r="F363" s="19">
        <f>IF(OR(C363="",D363=""),"",IFERROR(INDEX('Qida bazası'!$E$2:$E$103,MATCH(C363,'Qida bazası'!$A$2:$A$103,0))*D363/100,"?"))</f>
        <v/>
      </c>
      <c r="G363" s="19">
        <f>IF(OR(C363="",D363=""),"",IFERROR(INDEX('Qida bazası'!$F$2:$F$103,MATCH(C363,'Qida bazası'!$A$2:$A$103,0))*D363/100,"?"))</f>
        <v/>
      </c>
      <c r="H363" s="19">
        <f>IF(OR(C363="",D363=""),"",IFERROR(INDEX('Qida bazası'!$G$2:$G$103,MATCH(C363,'Qida bazası'!$A$2:$A$103,0))*D363/100,"?"))</f>
        <v/>
      </c>
    </row>
    <row r="364">
      <c r="A364" s="21" t="n"/>
      <c r="E364" s="18">
        <f>IF(OR(C364="",D364=""),"",IFERROR(INDEX('Qida bazası'!$D$2:$D$103,MATCH(C364,'Qida bazası'!$A$2:$A$103,0))*D364/100,"?"))</f>
        <v/>
      </c>
      <c r="F364" s="19">
        <f>IF(OR(C364="",D364=""),"",IFERROR(INDEX('Qida bazası'!$E$2:$E$103,MATCH(C364,'Qida bazası'!$A$2:$A$103,0))*D364/100,"?"))</f>
        <v/>
      </c>
      <c r="G364" s="19">
        <f>IF(OR(C364="",D364=""),"",IFERROR(INDEX('Qida bazası'!$F$2:$F$103,MATCH(C364,'Qida bazası'!$A$2:$A$103,0))*D364/100,"?"))</f>
        <v/>
      </c>
      <c r="H364" s="19">
        <f>IF(OR(C364="",D364=""),"",IFERROR(INDEX('Qida bazası'!$G$2:$G$103,MATCH(C364,'Qida bazası'!$A$2:$A$103,0))*D364/100,"?"))</f>
        <v/>
      </c>
    </row>
    <row r="365">
      <c r="A365" s="21" t="n"/>
      <c r="E365" s="18">
        <f>IF(OR(C365="",D365=""),"",IFERROR(INDEX('Qida bazası'!$D$2:$D$103,MATCH(C365,'Qida bazası'!$A$2:$A$103,0))*D365/100,"?"))</f>
        <v/>
      </c>
      <c r="F365" s="19">
        <f>IF(OR(C365="",D365=""),"",IFERROR(INDEX('Qida bazası'!$E$2:$E$103,MATCH(C365,'Qida bazası'!$A$2:$A$103,0))*D365/100,"?"))</f>
        <v/>
      </c>
      <c r="G365" s="19">
        <f>IF(OR(C365="",D365=""),"",IFERROR(INDEX('Qida bazası'!$F$2:$F$103,MATCH(C365,'Qida bazası'!$A$2:$A$103,0))*D365/100,"?"))</f>
        <v/>
      </c>
      <c r="H365" s="19">
        <f>IF(OR(C365="",D365=""),"",IFERROR(INDEX('Qida bazası'!$G$2:$G$103,MATCH(C365,'Qida bazası'!$A$2:$A$103,0))*D365/100,"?"))</f>
        <v/>
      </c>
    </row>
    <row r="366">
      <c r="A366" s="21" t="n"/>
      <c r="E366" s="18">
        <f>IF(OR(C366="",D366=""),"",IFERROR(INDEX('Qida bazası'!$D$2:$D$103,MATCH(C366,'Qida bazası'!$A$2:$A$103,0))*D366/100,"?"))</f>
        <v/>
      </c>
      <c r="F366" s="19">
        <f>IF(OR(C366="",D366=""),"",IFERROR(INDEX('Qida bazası'!$E$2:$E$103,MATCH(C366,'Qida bazası'!$A$2:$A$103,0))*D366/100,"?"))</f>
        <v/>
      </c>
      <c r="G366" s="19">
        <f>IF(OR(C366="",D366=""),"",IFERROR(INDEX('Qida bazası'!$F$2:$F$103,MATCH(C366,'Qida bazası'!$A$2:$A$103,0))*D366/100,"?"))</f>
        <v/>
      </c>
      <c r="H366" s="19">
        <f>IF(OR(C366="",D366=""),"",IFERROR(INDEX('Qida bazası'!$G$2:$G$103,MATCH(C366,'Qida bazası'!$A$2:$A$103,0))*D366/100,"?"))</f>
        <v/>
      </c>
    </row>
    <row r="367">
      <c r="A367" s="21" t="n"/>
      <c r="E367" s="18">
        <f>IF(OR(C367="",D367=""),"",IFERROR(INDEX('Qida bazası'!$D$2:$D$103,MATCH(C367,'Qida bazası'!$A$2:$A$103,0))*D367/100,"?"))</f>
        <v/>
      </c>
      <c r="F367" s="19">
        <f>IF(OR(C367="",D367=""),"",IFERROR(INDEX('Qida bazası'!$E$2:$E$103,MATCH(C367,'Qida bazası'!$A$2:$A$103,0))*D367/100,"?"))</f>
        <v/>
      </c>
      <c r="G367" s="19">
        <f>IF(OR(C367="",D367=""),"",IFERROR(INDEX('Qida bazası'!$F$2:$F$103,MATCH(C367,'Qida bazası'!$A$2:$A$103,0))*D367/100,"?"))</f>
        <v/>
      </c>
      <c r="H367" s="19">
        <f>IF(OR(C367="",D367=""),"",IFERROR(INDEX('Qida bazası'!$G$2:$G$103,MATCH(C367,'Qida bazası'!$A$2:$A$103,0))*D367/100,"?"))</f>
        <v/>
      </c>
    </row>
    <row r="368">
      <c r="A368" s="21" t="n"/>
      <c r="E368" s="18">
        <f>IF(OR(C368="",D368=""),"",IFERROR(INDEX('Qida bazası'!$D$2:$D$103,MATCH(C368,'Qida bazası'!$A$2:$A$103,0))*D368/100,"?"))</f>
        <v/>
      </c>
      <c r="F368" s="19">
        <f>IF(OR(C368="",D368=""),"",IFERROR(INDEX('Qida bazası'!$E$2:$E$103,MATCH(C368,'Qida bazası'!$A$2:$A$103,0))*D368/100,"?"))</f>
        <v/>
      </c>
      <c r="G368" s="19">
        <f>IF(OR(C368="",D368=""),"",IFERROR(INDEX('Qida bazası'!$F$2:$F$103,MATCH(C368,'Qida bazası'!$A$2:$A$103,0))*D368/100,"?"))</f>
        <v/>
      </c>
      <c r="H368" s="19">
        <f>IF(OR(C368="",D368=""),"",IFERROR(INDEX('Qida bazası'!$G$2:$G$103,MATCH(C368,'Qida bazası'!$A$2:$A$103,0))*D368/100,"?"))</f>
        <v/>
      </c>
    </row>
    <row r="369">
      <c r="A369" s="21" t="n"/>
      <c r="E369" s="18">
        <f>IF(OR(C369="",D369=""),"",IFERROR(INDEX('Qida bazası'!$D$2:$D$103,MATCH(C369,'Qida bazası'!$A$2:$A$103,0))*D369/100,"?"))</f>
        <v/>
      </c>
      <c r="F369" s="19">
        <f>IF(OR(C369="",D369=""),"",IFERROR(INDEX('Qida bazası'!$E$2:$E$103,MATCH(C369,'Qida bazası'!$A$2:$A$103,0))*D369/100,"?"))</f>
        <v/>
      </c>
      <c r="G369" s="19">
        <f>IF(OR(C369="",D369=""),"",IFERROR(INDEX('Qida bazası'!$F$2:$F$103,MATCH(C369,'Qida bazası'!$A$2:$A$103,0))*D369/100,"?"))</f>
        <v/>
      </c>
      <c r="H369" s="19">
        <f>IF(OR(C369="",D369=""),"",IFERROR(INDEX('Qida bazası'!$G$2:$G$103,MATCH(C369,'Qida bazası'!$A$2:$A$103,0))*D369/100,"?"))</f>
        <v/>
      </c>
    </row>
    <row r="370">
      <c r="A370" s="21" t="n"/>
      <c r="E370" s="18">
        <f>IF(OR(C370="",D370=""),"",IFERROR(INDEX('Qida bazası'!$D$2:$D$103,MATCH(C370,'Qida bazası'!$A$2:$A$103,0))*D370/100,"?"))</f>
        <v/>
      </c>
      <c r="F370" s="19">
        <f>IF(OR(C370="",D370=""),"",IFERROR(INDEX('Qida bazası'!$E$2:$E$103,MATCH(C370,'Qida bazası'!$A$2:$A$103,0))*D370/100,"?"))</f>
        <v/>
      </c>
      <c r="G370" s="19">
        <f>IF(OR(C370="",D370=""),"",IFERROR(INDEX('Qida bazası'!$F$2:$F$103,MATCH(C370,'Qida bazası'!$A$2:$A$103,0))*D370/100,"?"))</f>
        <v/>
      </c>
      <c r="H370" s="19">
        <f>IF(OR(C370="",D370=""),"",IFERROR(INDEX('Qida bazası'!$G$2:$G$103,MATCH(C370,'Qida bazası'!$A$2:$A$103,0))*D370/100,"?"))</f>
        <v/>
      </c>
    </row>
    <row r="371">
      <c r="A371" s="21" t="n"/>
      <c r="E371" s="18">
        <f>IF(OR(C371="",D371=""),"",IFERROR(INDEX('Qida bazası'!$D$2:$D$103,MATCH(C371,'Qida bazası'!$A$2:$A$103,0))*D371/100,"?"))</f>
        <v/>
      </c>
      <c r="F371" s="19">
        <f>IF(OR(C371="",D371=""),"",IFERROR(INDEX('Qida bazası'!$E$2:$E$103,MATCH(C371,'Qida bazası'!$A$2:$A$103,0))*D371/100,"?"))</f>
        <v/>
      </c>
      <c r="G371" s="19">
        <f>IF(OR(C371="",D371=""),"",IFERROR(INDEX('Qida bazası'!$F$2:$F$103,MATCH(C371,'Qida bazası'!$A$2:$A$103,0))*D371/100,"?"))</f>
        <v/>
      </c>
      <c r="H371" s="19">
        <f>IF(OR(C371="",D371=""),"",IFERROR(INDEX('Qida bazası'!$G$2:$G$103,MATCH(C371,'Qida bazası'!$A$2:$A$103,0))*D371/100,"?"))</f>
        <v/>
      </c>
    </row>
    <row r="372">
      <c r="A372" s="21" t="n"/>
      <c r="E372" s="18">
        <f>IF(OR(C372="",D372=""),"",IFERROR(INDEX('Qida bazası'!$D$2:$D$103,MATCH(C372,'Qida bazası'!$A$2:$A$103,0))*D372/100,"?"))</f>
        <v/>
      </c>
      <c r="F372" s="19">
        <f>IF(OR(C372="",D372=""),"",IFERROR(INDEX('Qida bazası'!$E$2:$E$103,MATCH(C372,'Qida bazası'!$A$2:$A$103,0))*D372/100,"?"))</f>
        <v/>
      </c>
      <c r="G372" s="19">
        <f>IF(OR(C372="",D372=""),"",IFERROR(INDEX('Qida bazası'!$F$2:$F$103,MATCH(C372,'Qida bazası'!$A$2:$A$103,0))*D372/100,"?"))</f>
        <v/>
      </c>
      <c r="H372" s="19">
        <f>IF(OR(C372="",D372=""),"",IFERROR(INDEX('Qida bazası'!$G$2:$G$103,MATCH(C372,'Qida bazası'!$A$2:$A$103,0))*D372/100,"?"))</f>
        <v/>
      </c>
    </row>
    <row r="373">
      <c r="A373" s="21" t="n"/>
      <c r="E373" s="18">
        <f>IF(OR(C373="",D373=""),"",IFERROR(INDEX('Qida bazası'!$D$2:$D$103,MATCH(C373,'Qida bazası'!$A$2:$A$103,0))*D373/100,"?"))</f>
        <v/>
      </c>
      <c r="F373" s="19">
        <f>IF(OR(C373="",D373=""),"",IFERROR(INDEX('Qida bazası'!$E$2:$E$103,MATCH(C373,'Qida bazası'!$A$2:$A$103,0))*D373/100,"?"))</f>
        <v/>
      </c>
      <c r="G373" s="19">
        <f>IF(OR(C373="",D373=""),"",IFERROR(INDEX('Qida bazası'!$F$2:$F$103,MATCH(C373,'Qida bazası'!$A$2:$A$103,0))*D373/100,"?"))</f>
        <v/>
      </c>
      <c r="H373" s="19">
        <f>IF(OR(C373="",D373=""),"",IFERROR(INDEX('Qida bazası'!$G$2:$G$103,MATCH(C373,'Qida bazası'!$A$2:$A$103,0))*D373/100,"?"))</f>
        <v/>
      </c>
    </row>
    <row r="374">
      <c r="A374" s="21" t="n"/>
      <c r="E374" s="18">
        <f>IF(OR(C374="",D374=""),"",IFERROR(INDEX('Qida bazası'!$D$2:$D$103,MATCH(C374,'Qida bazası'!$A$2:$A$103,0))*D374/100,"?"))</f>
        <v/>
      </c>
      <c r="F374" s="19">
        <f>IF(OR(C374="",D374=""),"",IFERROR(INDEX('Qida bazası'!$E$2:$E$103,MATCH(C374,'Qida bazası'!$A$2:$A$103,0))*D374/100,"?"))</f>
        <v/>
      </c>
      <c r="G374" s="19">
        <f>IF(OR(C374="",D374=""),"",IFERROR(INDEX('Qida bazası'!$F$2:$F$103,MATCH(C374,'Qida bazası'!$A$2:$A$103,0))*D374/100,"?"))</f>
        <v/>
      </c>
      <c r="H374" s="19">
        <f>IF(OR(C374="",D374=""),"",IFERROR(INDEX('Qida bazası'!$G$2:$G$103,MATCH(C374,'Qida bazası'!$A$2:$A$103,0))*D374/100,"?"))</f>
        <v/>
      </c>
    </row>
    <row r="375">
      <c r="A375" s="21" t="n"/>
      <c r="E375" s="18">
        <f>IF(OR(C375="",D375=""),"",IFERROR(INDEX('Qida bazası'!$D$2:$D$103,MATCH(C375,'Qida bazası'!$A$2:$A$103,0))*D375/100,"?"))</f>
        <v/>
      </c>
      <c r="F375" s="19">
        <f>IF(OR(C375="",D375=""),"",IFERROR(INDEX('Qida bazası'!$E$2:$E$103,MATCH(C375,'Qida bazası'!$A$2:$A$103,0))*D375/100,"?"))</f>
        <v/>
      </c>
      <c r="G375" s="19">
        <f>IF(OR(C375="",D375=""),"",IFERROR(INDEX('Qida bazası'!$F$2:$F$103,MATCH(C375,'Qida bazası'!$A$2:$A$103,0))*D375/100,"?"))</f>
        <v/>
      </c>
      <c r="H375" s="19">
        <f>IF(OR(C375="",D375=""),"",IFERROR(INDEX('Qida bazası'!$G$2:$G$103,MATCH(C375,'Qida bazası'!$A$2:$A$103,0))*D375/100,"?"))</f>
        <v/>
      </c>
    </row>
    <row r="376">
      <c r="A376" s="21" t="n"/>
      <c r="E376" s="18">
        <f>IF(OR(C376="",D376=""),"",IFERROR(INDEX('Qida bazası'!$D$2:$D$103,MATCH(C376,'Qida bazası'!$A$2:$A$103,0))*D376/100,"?"))</f>
        <v/>
      </c>
      <c r="F376" s="19">
        <f>IF(OR(C376="",D376=""),"",IFERROR(INDEX('Qida bazası'!$E$2:$E$103,MATCH(C376,'Qida bazası'!$A$2:$A$103,0))*D376/100,"?"))</f>
        <v/>
      </c>
      <c r="G376" s="19">
        <f>IF(OR(C376="",D376=""),"",IFERROR(INDEX('Qida bazası'!$F$2:$F$103,MATCH(C376,'Qida bazası'!$A$2:$A$103,0))*D376/100,"?"))</f>
        <v/>
      </c>
      <c r="H376" s="19">
        <f>IF(OR(C376="",D376=""),"",IFERROR(INDEX('Qida bazası'!$G$2:$G$103,MATCH(C376,'Qida bazası'!$A$2:$A$103,0))*D376/100,"?"))</f>
        <v/>
      </c>
    </row>
    <row r="377">
      <c r="A377" s="21" t="n"/>
      <c r="E377" s="18">
        <f>IF(OR(C377="",D377=""),"",IFERROR(INDEX('Qida bazası'!$D$2:$D$103,MATCH(C377,'Qida bazası'!$A$2:$A$103,0))*D377/100,"?"))</f>
        <v/>
      </c>
      <c r="F377" s="19">
        <f>IF(OR(C377="",D377=""),"",IFERROR(INDEX('Qida bazası'!$E$2:$E$103,MATCH(C377,'Qida bazası'!$A$2:$A$103,0))*D377/100,"?"))</f>
        <v/>
      </c>
      <c r="G377" s="19">
        <f>IF(OR(C377="",D377=""),"",IFERROR(INDEX('Qida bazası'!$F$2:$F$103,MATCH(C377,'Qida bazası'!$A$2:$A$103,0))*D377/100,"?"))</f>
        <v/>
      </c>
      <c r="H377" s="19">
        <f>IF(OR(C377="",D377=""),"",IFERROR(INDEX('Qida bazası'!$G$2:$G$103,MATCH(C377,'Qida bazası'!$A$2:$A$103,0))*D377/100,"?"))</f>
        <v/>
      </c>
    </row>
    <row r="378">
      <c r="A378" s="21" t="n"/>
      <c r="E378" s="18">
        <f>IF(OR(C378="",D378=""),"",IFERROR(INDEX('Qida bazası'!$D$2:$D$103,MATCH(C378,'Qida bazası'!$A$2:$A$103,0))*D378/100,"?"))</f>
        <v/>
      </c>
      <c r="F378" s="19">
        <f>IF(OR(C378="",D378=""),"",IFERROR(INDEX('Qida bazası'!$E$2:$E$103,MATCH(C378,'Qida bazası'!$A$2:$A$103,0))*D378/100,"?"))</f>
        <v/>
      </c>
      <c r="G378" s="19">
        <f>IF(OR(C378="",D378=""),"",IFERROR(INDEX('Qida bazası'!$F$2:$F$103,MATCH(C378,'Qida bazası'!$A$2:$A$103,0))*D378/100,"?"))</f>
        <v/>
      </c>
      <c r="H378" s="19">
        <f>IF(OR(C378="",D378=""),"",IFERROR(INDEX('Qida bazası'!$G$2:$G$103,MATCH(C378,'Qida bazası'!$A$2:$A$103,0))*D378/100,"?"))</f>
        <v/>
      </c>
    </row>
    <row r="379">
      <c r="A379" s="21" t="n"/>
      <c r="E379" s="18">
        <f>IF(OR(C379="",D379=""),"",IFERROR(INDEX('Qida bazası'!$D$2:$D$103,MATCH(C379,'Qida bazası'!$A$2:$A$103,0))*D379/100,"?"))</f>
        <v/>
      </c>
      <c r="F379" s="19">
        <f>IF(OR(C379="",D379=""),"",IFERROR(INDEX('Qida bazası'!$E$2:$E$103,MATCH(C379,'Qida bazası'!$A$2:$A$103,0))*D379/100,"?"))</f>
        <v/>
      </c>
      <c r="G379" s="19">
        <f>IF(OR(C379="",D379=""),"",IFERROR(INDEX('Qida bazası'!$F$2:$F$103,MATCH(C379,'Qida bazası'!$A$2:$A$103,0))*D379/100,"?"))</f>
        <v/>
      </c>
      <c r="H379" s="19">
        <f>IF(OR(C379="",D379=""),"",IFERROR(INDEX('Qida bazası'!$G$2:$G$103,MATCH(C379,'Qida bazası'!$A$2:$A$103,0))*D379/100,"?"))</f>
        <v/>
      </c>
    </row>
    <row r="380">
      <c r="A380" s="21" t="n"/>
      <c r="E380" s="18">
        <f>IF(OR(C380="",D380=""),"",IFERROR(INDEX('Qida bazası'!$D$2:$D$103,MATCH(C380,'Qida bazası'!$A$2:$A$103,0))*D380/100,"?"))</f>
        <v/>
      </c>
      <c r="F380" s="19">
        <f>IF(OR(C380="",D380=""),"",IFERROR(INDEX('Qida bazası'!$E$2:$E$103,MATCH(C380,'Qida bazası'!$A$2:$A$103,0))*D380/100,"?"))</f>
        <v/>
      </c>
      <c r="G380" s="19">
        <f>IF(OR(C380="",D380=""),"",IFERROR(INDEX('Qida bazası'!$F$2:$F$103,MATCH(C380,'Qida bazası'!$A$2:$A$103,0))*D380/100,"?"))</f>
        <v/>
      </c>
      <c r="H380" s="19">
        <f>IF(OR(C380="",D380=""),"",IFERROR(INDEX('Qida bazası'!$G$2:$G$103,MATCH(C380,'Qida bazası'!$A$2:$A$103,0))*D380/100,"?"))</f>
        <v/>
      </c>
    </row>
    <row r="381">
      <c r="A381" s="21" t="n"/>
      <c r="E381" s="18">
        <f>IF(OR(C381="",D381=""),"",IFERROR(INDEX('Qida bazası'!$D$2:$D$103,MATCH(C381,'Qida bazası'!$A$2:$A$103,0))*D381/100,"?"))</f>
        <v/>
      </c>
      <c r="F381" s="19">
        <f>IF(OR(C381="",D381=""),"",IFERROR(INDEX('Qida bazası'!$E$2:$E$103,MATCH(C381,'Qida bazası'!$A$2:$A$103,0))*D381/100,"?"))</f>
        <v/>
      </c>
      <c r="G381" s="19">
        <f>IF(OR(C381="",D381=""),"",IFERROR(INDEX('Qida bazası'!$F$2:$F$103,MATCH(C381,'Qida bazası'!$A$2:$A$103,0))*D381/100,"?"))</f>
        <v/>
      </c>
      <c r="H381" s="19">
        <f>IF(OR(C381="",D381=""),"",IFERROR(INDEX('Qida bazası'!$G$2:$G$103,MATCH(C381,'Qida bazası'!$A$2:$A$103,0))*D381/100,"?"))</f>
        <v/>
      </c>
    </row>
    <row r="382">
      <c r="A382" s="21" t="n"/>
      <c r="E382" s="18">
        <f>IF(OR(C382="",D382=""),"",IFERROR(INDEX('Qida bazası'!$D$2:$D$103,MATCH(C382,'Qida bazası'!$A$2:$A$103,0))*D382/100,"?"))</f>
        <v/>
      </c>
      <c r="F382" s="19">
        <f>IF(OR(C382="",D382=""),"",IFERROR(INDEX('Qida bazası'!$E$2:$E$103,MATCH(C382,'Qida bazası'!$A$2:$A$103,0))*D382/100,"?"))</f>
        <v/>
      </c>
      <c r="G382" s="19">
        <f>IF(OR(C382="",D382=""),"",IFERROR(INDEX('Qida bazası'!$F$2:$F$103,MATCH(C382,'Qida bazası'!$A$2:$A$103,0))*D382/100,"?"))</f>
        <v/>
      </c>
      <c r="H382" s="19">
        <f>IF(OR(C382="",D382=""),"",IFERROR(INDEX('Qida bazası'!$G$2:$G$103,MATCH(C382,'Qida bazası'!$A$2:$A$103,0))*D382/100,"?"))</f>
        <v/>
      </c>
    </row>
    <row r="383">
      <c r="A383" s="21" t="n"/>
      <c r="E383" s="18">
        <f>IF(OR(C383="",D383=""),"",IFERROR(INDEX('Qida bazası'!$D$2:$D$103,MATCH(C383,'Qida bazası'!$A$2:$A$103,0))*D383/100,"?"))</f>
        <v/>
      </c>
      <c r="F383" s="19">
        <f>IF(OR(C383="",D383=""),"",IFERROR(INDEX('Qida bazası'!$E$2:$E$103,MATCH(C383,'Qida bazası'!$A$2:$A$103,0))*D383/100,"?"))</f>
        <v/>
      </c>
      <c r="G383" s="19">
        <f>IF(OR(C383="",D383=""),"",IFERROR(INDEX('Qida bazası'!$F$2:$F$103,MATCH(C383,'Qida bazası'!$A$2:$A$103,0))*D383/100,"?"))</f>
        <v/>
      </c>
      <c r="H383" s="19">
        <f>IF(OR(C383="",D383=""),"",IFERROR(INDEX('Qida bazası'!$G$2:$G$103,MATCH(C383,'Qida bazası'!$A$2:$A$103,0))*D383/100,"?"))</f>
        <v/>
      </c>
    </row>
    <row r="384">
      <c r="A384" s="21" t="n"/>
      <c r="E384" s="18">
        <f>IF(OR(C384="",D384=""),"",IFERROR(INDEX('Qida bazası'!$D$2:$D$103,MATCH(C384,'Qida bazası'!$A$2:$A$103,0))*D384/100,"?"))</f>
        <v/>
      </c>
      <c r="F384" s="19">
        <f>IF(OR(C384="",D384=""),"",IFERROR(INDEX('Qida bazası'!$E$2:$E$103,MATCH(C384,'Qida bazası'!$A$2:$A$103,0))*D384/100,"?"))</f>
        <v/>
      </c>
      <c r="G384" s="19">
        <f>IF(OR(C384="",D384=""),"",IFERROR(INDEX('Qida bazası'!$F$2:$F$103,MATCH(C384,'Qida bazası'!$A$2:$A$103,0))*D384/100,"?"))</f>
        <v/>
      </c>
      <c r="H384" s="19">
        <f>IF(OR(C384="",D384=""),"",IFERROR(INDEX('Qida bazası'!$G$2:$G$103,MATCH(C384,'Qida bazası'!$A$2:$A$103,0))*D384/100,"?"))</f>
        <v/>
      </c>
    </row>
    <row r="385">
      <c r="A385" s="21" t="n"/>
      <c r="E385" s="18">
        <f>IF(OR(C385="",D385=""),"",IFERROR(INDEX('Qida bazası'!$D$2:$D$103,MATCH(C385,'Qida bazası'!$A$2:$A$103,0))*D385/100,"?"))</f>
        <v/>
      </c>
      <c r="F385" s="19">
        <f>IF(OR(C385="",D385=""),"",IFERROR(INDEX('Qida bazası'!$E$2:$E$103,MATCH(C385,'Qida bazası'!$A$2:$A$103,0))*D385/100,"?"))</f>
        <v/>
      </c>
      <c r="G385" s="19">
        <f>IF(OR(C385="",D385=""),"",IFERROR(INDEX('Qida bazası'!$F$2:$F$103,MATCH(C385,'Qida bazası'!$A$2:$A$103,0))*D385/100,"?"))</f>
        <v/>
      </c>
      <c r="H385" s="19">
        <f>IF(OR(C385="",D385=""),"",IFERROR(INDEX('Qida bazası'!$G$2:$G$103,MATCH(C385,'Qida bazası'!$A$2:$A$103,0))*D385/100,"?"))</f>
        <v/>
      </c>
    </row>
    <row r="386">
      <c r="A386" s="21" t="n"/>
      <c r="E386" s="18">
        <f>IF(OR(C386="",D386=""),"",IFERROR(INDEX('Qida bazası'!$D$2:$D$103,MATCH(C386,'Qida bazası'!$A$2:$A$103,0))*D386/100,"?"))</f>
        <v/>
      </c>
      <c r="F386" s="19">
        <f>IF(OR(C386="",D386=""),"",IFERROR(INDEX('Qida bazası'!$E$2:$E$103,MATCH(C386,'Qida bazası'!$A$2:$A$103,0))*D386/100,"?"))</f>
        <v/>
      </c>
      <c r="G386" s="19">
        <f>IF(OR(C386="",D386=""),"",IFERROR(INDEX('Qida bazası'!$F$2:$F$103,MATCH(C386,'Qida bazası'!$A$2:$A$103,0))*D386/100,"?"))</f>
        <v/>
      </c>
      <c r="H386" s="19">
        <f>IF(OR(C386="",D386=""),"",IFERROR(INDEX('Qida bazası'!$G$2:$G$103,MATCH(C386,'Qida bazası'!$A$2:$A$103,0))*D386/100,"?"))</f>
        <v/>
      </c>
    </row>
    <row r="387">
      <c r="A387" s="21" t="n"/>
      <c r="E387" s="18">
        <f>IF(OR(C387="",D387=""),"",IFERROR(INDEX('Qida bazası'!$D$2:$D$103,MATCH(C387,'Qida bazası'!$A$2:$A$103,0))*D387/100,"?"))</f>
        <v/>
      </c>
      <c r="F387" s="19">
        <f>IF(OR(C387="",D387=""),"",IFERROR(INDEX('Qida bazası'!$E$2:$E$103,MATCH(C387,'Qida bazası'!$A$2:$A$103,0))*D387/100,"?"))</f>
        <v/>
      </c>
      <c r="G387" s="19">
        <f>IF(OR(C387="",D387=""),"",IFERROR(INDEX('Qida bazası'!$F$2:$F$103,MATCH(C387,'Qida bazası'!$A$2:$A$103,0))*D387/100,"?"))</f>
        <v/>
      </c>
      <c r="H387" s="19">
        <f>IF(OR(C387="",D387=""),"",IFERROR(INDEX('Qida bazası'!$G$2:$G$103,MATCH(C387,'Qida bazası'!$A$2:$A$103,0))*D387/100,"?"))</f>
        <v/>
      </c>
    </row>
    <row r="388">
      <c r="A388" s="21" t="n"/>
      <c r="E388" s="18">
        <f>IF(OR(C388="",D388=""),"",IFERROR(INDEX('Qida bazası'!$D$2:$D$103,MATCH(C388,'Qida bazası'!$A$2:$A$103,0))*D388/100,"?"))</f>
        <v/>
      </c>
      <c r="F388" s="19">
        <f>IF(OR(C388="",D388=""),"",IFERROR(INDEX('Qida bazası'!$E$2:$E$103,MATCH(C388,'Qida bazası'!$A$2:$A$103,0))*D388/100,"?"))</f>
        <v/>
      </c>
      <c r="G388" s="19">
        <f>IF(OR(C388="",D388=""),"",IFERROR(INDEX('Qida bazası'!$F$2:$F$103,MATCH(C388,'Qida bazası'!$A$2:$A$103,0))*D388/100,"?"))</f>
        <v/>
      </c>
      <c r="H388" s="19">
        <f>IF(OR(C388="",D388=""),"",IFERROR(INDEX('Qida bazası'!$G$2:$G$103,MATCH(C388,'Qida bazası'!$A$2:$A$103,0))*D388/100,"?"))</f>
        <v/>
      </c>
    </row>
    <row r="389">
      <c r="A389" s="21" t="n"/>
      <c r="E389" s="18">
        <f>IF(OR(C389="",D389=""),"",IFERROR(INDEX('Qida bazası'!$D$2:$D$103,MATCH(C389,'Qida bazası'!$A$2:$A$103,0))*D389/100,"?"))</f>
        <v/>
      </c>
      <c r="F389" s="19">
        <f>IF(OR(C389="",D389=""),"",IFERROR(INDEX('Qida bazası'!$E$2:$E$103,MATCH(C389,'Qida bazası'!$A$2:$A$103,0))*D389/100,"?"))</f>
        <v/>
      </c>
      <c r="G389" s="19">
        <f>IF(OR(C389="",D389=""),"",IFERROR(INDEX('Qida bazası'!$F$2:$F$103,MATCH(C389,'Qida bazası'!$A$2:$A$103,0))*D389/100,"?"))</f>
        <v/>
      </c>
      <c r="H389" s="19">
        <f>IF(OR(C389="",D389=""),"",IFERROR(INDEX('Qida bazası'!$G$2:$G$103,MATCH(C389,'Qida bazası'!$A$2:$A$103,0))*D389/100,"?"))</f>
        <v/>
      </c>
    </row>
    <row r="390">
      <c r="A390" s="21" t="n"/>
      <c r="E390" s="18">
        <f>IF(OR(C390="",D390=""),"",IFERROR(INDEX('Qida bazası'!$D$2:$D$103,MATCH(C390,'Qida bazası'!$A$2:$A$103,0))*D390/100,"?"))</f>
        <v/>
      </c>
      <c r="F390" s="19">
        <f>IF(OR(C390="",D390=""),"",IFERROR(INDEX('Qida bazası'!$E$2:$E$103,MATCH(C390,'Qida bazası'!$A$2:$A$103,0))*D390/100,"?"))</f>
        <v/>
      </c>
      <c r="G390" s="19">
        <f>IF(OR(C390="",D390=""),"",IFERROR(INDEX('Qida bazası'!$F$2:$F$103,MATCH(C390,'Qida bazası'!$A$2:$A$103,0))*D390/100,"?"))</f>
        <v/>
      </c>
      <c r="H390" s="19">
        <f>IF(OR(C390="",D390=""),"",IFERROR(INDEX('Qida bazası'!$G$2:$G$103,MATCH(C390,'Qida bazası'!$A$2:$A$103,0))*D390/100,"?"))</f>
        <v/>
      </c>
    </row>
    <row r="391">
      <c r="A391" s="21" t="n"/>
      <c r="E391" s="18">
        <f>IF(OR(C391="",D391=""),"",IFERROR(INDEX('Qida bazası'!$D$2:$D$103,MATCH(C391,'Qida bazası'!$A$2:$A$103,0))*D391/100,"?"))</f>
        <v/>
      </c>
      <c r="F391" s="19">
        <f>IF(OR(C391="",D391=""),"",IFERROR(INDEX('Qida bazası'!$E$2:$E$103,MATCH(C391,'Qida bazası'!$A$2:$A$103,0))*D391/100,"?"))</f>
        <v/>
      </c>
      <c r="G391" s="19">
        <f>IF(OR(C391="",D391=""),"",IFERROR(INDEX('Qida bazası'!$F$2:$F$103,MATCH(C391,'Qida bazası'!$A$2:$A$103,0))*D391/100,"?"))</f>
        <v/>
      </c>
      <c r="H391" s="19">
        <f>IF(OR(C391="",D391=""),"",IFERROR(INDEX('Qida bazası'!$G$2:$G$103,MATCH(C391,'Qida bazası'!$A$2:$A$103,0))*D391/100,"?"))</f>
        <v/>
      </c>
    </row>
    <row r="392">
      <c r="A392" s="21" t="n"/>
      <c r="E392" s="18">
        <f>IF(OR(C392="",D392=""),"",IFERROR(INDEX('Qida bazası'!$D$2:$D$103,MATCH(C392,'Qida bazası'!$A$2:$A$103,0))*D392/100,"?"))</f>
        <v/>
      </c>
      <c r="F392" s="19">
        <f>IF(OR(C392="",D392=""),"",IFERROR(INDEX('Qida bazası'!$E$2:$E$103,MATCH(C392,'Qida bazası'!$A$2:$A$103,0))*D392/100,"?"))</f>
        <v/>
      </c>
      <c r="G392" s="19">
        <f>IF(OR(C392="",D392=""),"",IFERROR(INDEX('Qida bazası'!$F$2:$F$103,MATCH(C392,'Qida bazası'!$A$2:$A$103,0))*D392/100,"?"))</f>
        <v/>
      </c>
      <c r="H392" s="19">
        <f>IF(OR(C392="",D392=""),"",IFERROR(INDEX('Qida bazası'!$G$2:$G$103,MATCH(C392,'Qida bazası'!$A$2:$A$103,0))*D392/100,"?"))</f>
        <v/>
      </c>
    </row>
    <row r="393">
      <c r="A393" s="21" t="n"/>
      <c r="E393" s="18">
        <f>IF(OR(C393="",D393=""),"",IFERROR(INDEX('Qida bazası'!$D$2:$D$103,MATCH(C393,'Qida bazası'!$A$2:$A$103,0))*D393/100,"?"))</f>
        <v/>
      </c>
      <c r="F393" s="19">
        <f>IF(OR(C393="",D393=""),"",IFERROR(INDEX('Qida bazası'!$E$2:$E$103,MATCH(C393,'Qida bazası'!$A$2:$A$103,0))*D393/100,"?"))</f>
        <v/>
      </c>
      <c r="G393" s="19">
        <f>IF(OR(C393="",D393=""),"",IFERROR(INDEX('Qida bazası'!$F$2:$F$103,MATCH(C393,'Qida bazası'!$A$2:$A$103,0))*D393/100,"?"))</f>
        <v/>
      </c>
      <c r="H393" s="19">
        <f>IF(OR(C393="",D393=""),"",IFERROR(INDEX('Qida bazası'!$G$2:$G$103,MATCH(C393,'Qida bazası'!$A$2:$A$103,0))*D393/100,"?"))</f>
        <v/>
      </c>
    </row>
    <row r="394">
      <c r="A394" s="21" t="n"/>
      <c r="E394" s="18">
        <f>IF(OR(C394="",D394=""),"",IFERROR(INDEX('Qida bazası'!$D$2:$D$103,MATCH(C394,'Qida bazası'!$A$2:$A$103,0))*D394/100,"?"))</f>
        <v/>
      </c>
      <c r="F394" s="19">
        <f>IF(OR(C394="",D394=""),"",IFERROR(INDEX('Qida bazası'!$E$2:$E$103,MATCH(C394,'Qida bazası'!$A$2:$A$103,0))*D394/100,"?"))</f>
        <v/>
      </c>
      <c r="G394" s="19">
        <f>IF(OR(C394="",D394=""),"",IFERROR(INDEX('Qida bazası'!$F$2:$F$103,MATCH(C394,'Qida bazası'!$A$2:$A$103,0))*D394/100,"?"))</f>
        <v/>
      </c>
      <c r="H394" s="19">
        <f>IF(OR(C394="",D394=""),"",IFERROR(INDEX('Qida bazası'!$G$2:$G$103,MATCH(C394,'Qida bazası'!$A$2:$A$103,0))*D394/100,"?"))</f>
        <v/>
      </c>
    </row>
    <row r="395">
      <c r="A395" s="21" t="n"/>
      <c r="E395" s="18">
        <f>IF(OR(C395="",D395=""),"",IFERROR(INDEX('Qida bazası'!$D$2:$D$103,MATCH(C395,'Qida bazası'!$A$2:$A$103,0))*D395/100,"?"))</f>
        <v/>
      </c>
      <c r="F395" s="19">
        <f>IF(OR(C395="",D395=""),"",IFERROR(INDEX('Qida bazası'!$E$2:$E$103,MATCH(C395,'Qida bazası'!$A$2:$A$103,0))*D395/100,"?"))</f>
        <v/>
      </c>
      <c r="G395" s="19">
        <f>IF(OR(C395="",D395=""),"",IFERROR(INDEX('Qida bazası'!$F$2:$F$103,MATCH(C395,'Qida bazası'!$A$2:$A$103,0))*D395/100,"?"))</f>
        <v/>
      </c>
      <c r="H395" s="19">
        <f>IF(OR(C395="",D395=""),"",IFERROR(INDEX('Qida bazası'!$G$2:$G$103,MATCH(C395,'Qida bazası'!$A$2:$A$103,0))*D395/100,"?"))</f>
        <v/>
      </c>
    </row>
    <row r="396">
      <c r="A396" s="21" t="n"/>
      <c r="E396" s="18">
        <f>IF(OR(C396="",D396=""),"",IFERROR(INDEX('Qida bazası'!$D$2:$D$103,MATCH(C396,'Qida bazası'!$A$2:$A$103,0))*D396/100,"?"))</f>
        <v/>
      </c>
      <c r="F396" s="19">
        <f>IF(OR(C396="",D396=""),"",IFERROR(INDEX('Qida bazası'!$E$2:$E$103,MATCH(C396,'Qida bazası'!$A$2:$A$103,0))*D396/100,"?"))</f>
        <v/>
      </c>
      <c r="G396" s="19">
        <f>IF(OR(C396="",D396=""),"",IFERROR(INDEX('Qida bazası'!$F$2:$F$103,MATCH(C396,'Qida bazası'!$A$2:$A$103,0))*D396/100,"?"))</f>
        <v/>
      </c>
      <c r="H396" s="19">
        <f>IF(OR(C396="",D396=""),"",IFERROR(INDEX('Qida bazası'!$G$2:$G$103,MATCH(C396,'Qida bazası'!$A$2:$A$103,0))*D396/100,"?"))</f>
        <v/>
      </c>
    </row>
    <row r="397">
      <c r="A397" s="21" t="n"/>
      <c r="E397" s="18">
        <f>IF(OR(C397="",D397=""),"",IFERROR(INDEX('Qida bazası'!$D$2:$D$103,MATCH(C397,'Qida bazası'!$A$2:$A$103,0))*D397/100,"?"))</f>
        <v/>
      </c>
      <c r="F397" s="19">
        <f>IF(OR(C397="",D397=""),"",IFERROR(INDEX('Qida bazası'!$E$2:$E$103,MATCH(C397,'Qida bazası'!$A$2:$A$103,0))*D397/100,"?"))</f>
        <v/>
      </c>
      <c r="G397" s="19">
        <f>IF(OR(C397="",D397=""),"",IFERROR(INDEX('Qida bazası'!$F$2:$F$103,MATCH(C397,'Qida bazası'!$A$2:$A$103,0))*D397/100,"?"))</f>
        <v/>
      </c>
      <c r="H397" s="19">
        <f>IF(OR(C397="",D397=""),"",IFERROR(INDEX('Qida bazası'!$G$2:$G$103,MATCH(C397,'Qida bazası'!$A$2:$A$103,0))*D397/100,"?"))</f>
        <v/>
      </c>
    </row>
    <row r="398">
      <c r="A398" s="21" t="n"/>
      <c r="E398" s="18">
        <f>IF(OR(C398="",D398=""),"",IFERROR(INDEX('Qida bazası'!$D$2:$D$103,MATCH(C398,'Qida bazası'!$A$2:$A$103,0))*D398/100,"?"))</f>
        <v/>
      </c>
      <c r="F398" s="19">
        <f>IF(OR(C398="",D398=""),"",IFERROR(INDEX('Qida bazası'!$E$2:$E$103,MATCH(C398,'Qida bazası'!$A$2:$A$103,0))*D398/100,"?"))</f>
        <v/>
      </c>
      <c r="G398" s="19">
        <f>IF(OR(C398="",D398=""),"",IFERROR(INDEX('Qida bazası'!$F$2:$F$103,MATCH(C398,'Qida bazası'!$A$2:$A$103,0))*D398/100,"?"))</f>
        <v/>
      </c>
      <c r="H398" s="19">
        <f>IF(OR(C398="",D398=""),"",IFERROR(INDEX('Qida bazası'!$G$2:$G$103,MATCH(C398,'Qida bazası'!$A$2:$A$103,0))*D398/100,"?"))</f>
        <v/>
      </c>
    </row>
    <row r="399">
      <c r="A399" s="21" t="n"/>
      <c r="E399" s="18">
        <f>IF(OR(C399="",D399=""),"",IFERROR(INDEX('Qida bazası'!$D$2:$D$103,MATCH(C399,'Qida bazası'!$A$2:$A$103,0))*D399/100,"?"))</f>
        <v/>
      </c>
      <c r="F399" s="19">
        <f>IF(OR(C399="",D399=""),"",IFERROR(INDEX('Qida bazası'!$E$2:$E$103,MATCH(C399,'Qida bazası'!$A$2:$A$103,0))*D399/100,"?"))</f>
        <v/>
      </c>
      <c r="G399" s="19">
        <f>IF(OR(C399="",D399=""),"",IFERROR(INDEX('Qida bazası'!$F$2:$F$103,MATCH(C399,'Qida bazası'!$A$2:$A$103,0))*D399/100,"?"))</f>
        <v/>
      </c>
      <c r="H399" s="19">
        <f>IF(OR(C399="",D399=""),"",IFERROR(INDEX('Qida bazası'!$G$2:$G$103,MATCH(C399,'Qida bazası'!$A$2:$A$103,0))*D399/100,"?"))</f>
        <v/>
      </c>
    </row>
    <row r="400">
      <c r="A400" s="21" t="n"/>
      <c r="E400" s="18">
        <f>IF(OR(C400="",D400=""),"",IFERROR(INDEX('Qida bazası'!$D$2:$D$103,MATCH(C400,'Qida bazası'!$A$2:$A$103,0))*D400/100,"?"))</f>
        <v/>
      </c>
      <c r="F400" s="19">
        <f>IF(OR(C400="",D400=""),"",IFERROR(INDEX('Qida bazası'!$E$2:$E$103,MATCH(C400,'Qida bazası'!$A$2:$A$103,0))*D400/100,"?"))</f>
        <v/>
      </c>
      <c r="G400" s="19">
        <f>IF(OR(C400="",D400=""),"",IFERROR(INDEX('Qida bazası'!$F$2:$F$103,MATCH(C400,'Qida bazası'!$A$2:$A$103,0))*D400/100,"?"))</f>
        <v/>
      </c>
      <c r="H400" s="19">
        <f>IF(OR(C400="",D400=""),"",IFERROR(INDEX('Qida bazası'!$G$2:$G$103,MATCH(C400,'Qida bazası'!$A$2:$A$103,0))*D400/100,"?"))</f>
        <v/>
      </c>
    </row>
    <row r="401">
      <c r="A401" s="21" t="n"/>
      <c r="E401" s="18">
        <f>IF(OR(C401="",D401=""),"",IFERROR(INDEX('Qida bazası'!$D$2:$D$103,MATCH(C401,'Qida bazası'!$A$2:$A$103,0))*D401/100,"?"))</f>
        <v/>
      </c>
      <c r="F401" s="19">
        <f>IF(OR(C401="",D401=""),"",IFERROR(INDEX('Qida bazası'!$E$2:$E$103,MATCH(C401,'Qida bazası'!$A$2:$A$103,0))*D401/100,"?"))</f>
        <v/>
      </c>
      <c r="G401" s="19">
        <f>IF(OR(C401="",D401=""),"",IFERROR(INDEX('Qida bazası'!$F$2:$F$103,MATCH(C401,'Qida bazası'!$A$2:$A$103,0))*D401/100,"?"))</f>
        <v/>
      </c>
      <c r="H401" s="19">
        <f>IF(OR(C401="",D401=""),"",IFERROR(INDEX('Qida bazası'!$G$2:$G$103,MATCH(C401,'Qida bazası'!$A$2:$A$103,0))*D401/100,"?"))</f>
        <v/>
      </c>
    </row>
    <row r="402">
      <c r="A402" s="21" t="n"/>
      <c r="E402" s="18">
        <f>IF(OR(C402="",D402=""),"",IFERROR(INDEX('Qida bazası'!$D$2:$D$103,MATCH(C402,'Qida bazası'!$A$2:$A$103,0))*D402/100,"?"))</f>
        <v/>
      </c>
      <c r="F402" s="19">
        <f>IF(OR(C402="",D402=""),"",IFERROR(INDEX('Qida bazası'!$E$2:$E$103,MATCH(C402,'Qida bazası'!$A$2:$A$103,0))*D402/100,"?"))</f>
        <v/>
      </c>
      <c r="G402" s="19">
        <f>IF(OR(C402="",D402=""),"",IFERROR(INDEX('Qida bazası'!$F$2:$F$103,MATCH(C402,'Qida bazası'!$A$2:$A$103,0))*D402/100,"?"))</f>
        <v/>
      </c>
      <c r="H402" s="19">
        <f>IF(OR(C402="",D402=""),"",IFERROR(INDEX('Qida bazası'!$G$2:$G$103,MATCH(C402,'Qida bazası'!$A$2:$A$103,0))*D402/100,"?"))</f>
        <v/>
      </c>
    </row>
    <row r="403">
      <c r="A403" s="21" t="n"/>
      <c r="E403" s="18">
        <f>IF(OR(C403="",D403=""),"",IFERROR(INDEX('Qida bazası'!$D$2:$D$103,MATCH(C403,'Qida bazası'!$A$2:$A$103,0))*D403/100,"?"))</f>
        <v/>
      </c>
      <c r="F403" s="19">
        <f>IF(OR(C403="",D403=""),"",IFERROR(INDEX('Qida bazası'!$E$2:$E$103,MATCH(C403,'Qida bazası'!$A$2:$A$103,0))*D403/100,"?"))</f>
        <v/>
      </c>
      <c r="G403" s="19">
        <f>IF(OR(C403="",D403=""),"",IFERROR(INDEX('Qida bazası'!$F$2:$F$103,MATCH(C403,'Qida bazası'!$A$2:$A$103,0))*D403/100,"?"))</f>
        <v/>
      </c>
      <c r="H403" s="19">
        <f>IF(OR(C403="",D403=""),"",IFERROR(INDEX('Qida bazası'!$G$2:$G$103,MATCH(C403,'Qida bazası'!$A$2:$A$103,0))*D403/100,"?"))</f>
        <v/>
      </c>
    </row>
    <row r="404">
      <c r="A404" s="21" t="n"/>
      <c r="E404" s="18">
        <f>IF(OR(C404="",D404=""),"",IFERROR(INDEX('Qida bazası'!$D$2:$D$103,MATCH(C404,'Qida bazası'!$A$2:$A$103,0))*D404/100,"?"))</f>
        <v/>
      </c>
      <c r="F404" s="19">
        <f>IF(OR(C404="",D404=""),"",IFERROR(INDEX('Qida bazası'!$E$2:$E$103,MATCH(C404,'Qida bazası'!$A$2:$A$103,0))*D404/100,"?"))</f>
        <v/>
      </c>
      <c r="G404" s="19">
        <f>IF(OR(C404="",D404=""),"",IFERROR(INDEX('Qida bazası'!$F$2:$F$103,MATCH(C404,'Qida bazası'!$A$2:$A$103,0))*D404/100,"?"))</f>
        <v/>
      </c>
      <c r="H404" s="19">
        <f>IF(OR(C404="",D404=""),"",IFERROR(INDEX('Qida bazası'!$G$2:$G$103,MATCH(C404,'Qida bazası'!$A$2:$A$103,0))*D404/100,"?"))</f>
        <v/>
      </c>
    </row>
    <row r="405">
      <c r="A405" s="21" t="n"/>
      <c r="E405" s="18">
        <f>IF(OR(C405="",D405=""),"",IFERROR(INDEX('Qida bazası'!$D$2:$D$103,MATCH(C405,'Qida bazası'!$A$2:$A$103,0))*D405/100,"?"))</f>
        <v/>
      </c>
      <c r="F405" s="19">
        <f>IF(OR(C405="",D405=""),"",IFERROR(INDEX('Qida bazası'!$E$2:$E$103,MATCH(C405,'Qida bazası'!$A$2:$A$103,0))*D405/100,"?"))</f>
        <v/>
      </c>
      <c r="G405" s="19">
        <f>IF(OR(C405="",D405=""),"",IFERROR(INDEX('Qida bazası'!$F$2:$F$103,MATCH(C405,'Qida bazası'!$A$2:$A$103,0))*D405/100,"?"))</f>
        <v/>
      </c>
      <c r="H405" s="19">
        <f>IF(OR(C405="",D405=""),"",IFERROR(INDEX('Qida bazası'!$G$2:$G$103,MATCH(C405,'Qida bazası'!$A$2:$A$103,0))*D405/100,"?"))</f>
        <v/>
      </c>
    </row>
    <row r="406">
      <c r="A406" s="21" t="n"/>
      <c r="E406" s="18">
        <f>IF(OR(C406="",D406=""),"",IFERROR(INDEX('Qida bazası'!$D$2:$D$103,MATCH(C406,'Qida bazası'!$A$2:$A$103,0))*D406/100,"?"))</f>
        <v/>
      </c>
      <c r="F406" s="19">
        <f>IF(OR(C406="",D406=""),"",IFERROR(INDEX('Qida bazası'!$E$2:$E$103,MATCH(C406,'Qida bazası'!$A$2:$A$103,0))*D406/100,"?"))</f>
        <v/>
      </c>
      <c r="G406" s="19">
        <f>IF(OR(C406="",D406=""),"",IFERROR(INDEX('Qida bazası'!$F$2:$F$103,MATCH(C406,'Qida bazası'!$A$2:$A$103,0))*D406/100,"?"))</f>
        <v/>
      </c>
      <c r="H406" s="19">
        <f>IF(OR(C406="",D406=""),"",IFERROR(INDEX('Qida bazası'!$G$2:$G$103,MATCH(C406,'Qida bazası'!$A$2:$A$103,0))*D406/100,"?"))</f>
        <v/>
      </c>
    </row>
    <row r="407">
      <c r="A407" s="21" t="n"/>
      <c r="E407" s="18">
        <f>IF(OR(C407="",D407=""),"",IFERROR(INDEX('Qida bazası'!$D$2:$D$103,MATCH(C407,'Qida bazası'!$A$2:$A$103,0))*D407/100,"?"))</f>
        <v/>
      </c>
      <c r="F407" s="19">
        <f>IF(OR(C407="",D407=""),"",IFERROR(INDEX('Qida bazası'!$E$2:$E$103,MATCH(C407,'Qida bazası'!$A$2:$A$103,0))*D407/100,"?"))</f>
        <v/>
      </c>
      <c r="G407" s="19">
        <f>IF(OR(C407="",D407=""),"",IFERROR(INDEX('Qida bazası'!$F$2:$F$103,MATCH(C407,'Qida bazası'!$A$2:$A$103,0))*D407/100,"?"))</f>
        <v/>
      </c>
      <c r="H407" s="19">
        <f>IF(OR(C407="",D407=""),"",IFERROR(INDEX('Qida bazası'!$G$2:$G$103,MATCH(C407,'Qida bazası'!$A$2:$A$103,0))*D407/100,"?"))</f>
        <v/>
      </c>
    </row>
    <row r="408">
      <c r="A408" s="21" t="n"/>
      <c r="E408" s="18">
        <f>IF(OR(C408="",D408=""),"",IFERROR(INDEX('Qida bazası'!$D$2:$D$103,MATCH(C408,'Qida bazası'!$A$2:$A$103,0))*D408/100,"?"))</f>
        <v/>
      </c>
      <c r="F408" s="19">
        <f>IF(OR(C408="",D408=""),"",IFERROR(INDEX('Qida bazası'!$E$2:$E$103,MATCH(C408,'Qida bazası'!$A$2:$A$103,0))*D408/100,"?"))</f>
        <v/>
      </c>
      <c r="G408" s="19">
        <f>IF(OR(C408="",D408=""),"",IFERROR(INDEX('Qida bazası'!$F$2:$F$103,MATCH(C408,'Qida bazası'!$A$2:$A$103,0))*D408/100,"?"))</f>
        <v/>
      </c>
      <c r="H408" s="19">
        <f>IF(OR(C408="",D408=""),"",IFERROR(INDEX('Qida bazası'!$G$2:$G$103,MATCH(C408,'Qida bazası'!$A$2:$A$103,0))*D408/100,"?"))</f>
        <v/>
      </c>
    </row>
    <row r="409">
      <c r="A409" s="21" t="n"/>
      <c r="E409" s="18">
        <f>IF(OR(C409="",D409=""),"",IFERROR(INDEX('Qida bazası'!$D$2:$D$103,MATCH(C409,'Qida bazası'!$A$2:$A$103,0))*D409/100,"?"))</f>
        <v/>
      </c>
      <c r="F409" s="19">
        <f>IF(OR(C409="",D409=""),"",IFERROR(INDEX('Qida bazası'!$E$2:$E$103,MATCH(C409,'Qida bazası'!$A$2:$A$103,0))*D409/100,"?"))</f>
        <v/>
      </c>
      <c r="G409" s="19">
        <f>IF(OR(C409="",D409=""),"",IFERROR(INDEX('Qida bazası'!$F$2:$F$103,MATCH(C409,'Qida bazası'!$A$2:$A$103,0))*D409/100,"?"))</f>
        <v/>
      </c>
      <c r="H409" s="19">
        <f>IF(OR(C409="",D409=""),"",IFERROR(INDEX('Qida bazası'!$G$2:$G$103,MATCH(C409,'Qida bazası'!$A$2:$A$103,0))*D409/100,"?"))</f>
        <v/>
      </c>
    </row>
    <row r="410">
      <c r="A410" s="21" t="n"/>
      <c r="E410" s="18">
        <f>IF(OR(C410="",D410=""),"",IFERROR(INDEX('Qida bazası'!$D$2:$D$103,MATCH(C410,'Qida bazası'!$A$2:$A$103,0))*D410/100,"?"))</f>
        <v/>
      </c>
      <c r="F410" s="19">
        <f>IF(OR(C410="",D410=""),"",IFERROR(INDEX('Qida bazası'!$E$2:$E$103,MATCH(C410,'Qida bazası'!$A$2:$A$103,0))*D410/100,"?"))</f>
        <v/>
      </c>
      <c r="G410" s="19">
        <f>IF(OR(C410="",D410=""),"",IFERROR(INDEX('Qida bazası'!$F$2:$F$103,MATCH(C410,'Qida bazası'!$A$2:$A$103,0))*D410/100,"?"))</f>
        <v/>
      </c>
      <c r="H410" s="19">
        <f>IF(OR(C410="",D410=""),"",IFERROR(INDEX('Qida bazası'!$G$2:$G$103,MATCH(C410,'Qida bazası'!$A$2:$A$103,0))*D410/100,"?"))</f>
        <v/>
      </c>
    </row>
    <row r="411">
      <c r="A411" s="21" t="n"/>
      <c r="E411" s="18">
        <f>IF(OR(C411="",D411=""),"",IFERROR(INDEX('Qida bazası'!$D$2:$D$103,MATCH(C411,'Qida bazası'!$A$2:$A$103,0))*D411/100,"?"))</f>
        <v/>
      </c>
      <c r="F411" s="19">
        <f>IF(OR(C411="",D411=""),"",IFERROR(INDEX('Qida bazası'!$E$2:$E$103,MATCH(C411,'Qida bazası'!$A$2:$A$103,0))*D411/100,"?"))</f>
        <v/>
      </c>
      <c r="G411" s="19">
        <f>IF(OR(C411="",D411=""),"",IFERROR(INDEX('Qida bazası'!$F$2:$F$103,MATCH(C411,'Qida bazası'!$A$2:$A$103,0))*D411/100,"?"))</f>
        <v/>
      </c>
      <c r="H411" s="19">
        <f>IF(OR(C411="",D411=""),"",IFERROR(INDEX('Qida bazası'!$G$2:$G$103,MATCH(C411,'Qida bazası'!$A$2:$A$103,0))*D411/100,"?"))</f>
        <v/>
      </c>
    </row>
    <row r="412">
      <c r="A412" s="21" t="n"/>
      <c r="E412" s="18">
        <f>IF(OR(C412="",D412=""),"",IFERROR(INDEX('Qida bazası'!$D$2:$D$103,MATCH(C412,'Qida bazası'!$A$2:$A$103,0))*D412/100,"?"))</f>
        <v/>
      </c>
      <c r="F412" s="19">
        <f>IF(OR(C412="",D412=""),"",IFERROR(INDEX('Qida bazası'!$E$2:$E$103,MATCH(C412,'Qida bazası'!$A$2:$A$103,0))*D412/100,"?"))</f>
        <v/>
      </c>
      <c r="G412" s="19">
        <f>IF(OR(C412="",D412=""),"",IFERROR(INDEX('Qida bazası'!$F$2:$F$103,MATCH(C412,'Qida bazası'!$A$2:$A$103,0))*D412/100,"?"))</f>
        <v/>
      </c>
      <c r="H412" s="19">
        <f>IF(OR(C412="",D412=""),"",IFERROR(INDEX('Qida bazası'!$G$2:$G$103,MATCH(C412,'Qida bazası'!$A$2:$A$103,0))*D412/100,"?"))</f>
        <v/>
      </c>
    </row>
    <row r="413">
      <c r="A413" s="21" t="n"/>
      <c r="E413" s="18">
        <f>IF(OR(C413="",D413=""),"",IFERROR(INDEX('Qida bazası'!$D$2:$D$103,MATCH(C413,'Qida bazası'!$A$2:$A$103,0))*D413/100,"?"))</f>
        <v/>
      </c>
      <c r="F413" s="19">
        <f>IF(OR(C413="",D413=""),"",IFERROR(INDEX('Qida bazası'!$E$2:$E$103,MATCH(C413,'Qida bazası'!$A$2:$A$103,0))*D413/100,"?"))</f>
        <v/>
      </c>
      <c r="G413" s="19">
        <f>IF(OR(C413="",D413=""),"",IFERROR(INDEX('Qida bazası'!$F$2:$F$103,MATCH(C413,'Qida bazası'!$A$2:$A$103,0))*D413/100,"?"))</f>
        <v/>
      </c>
      <c r="H413" s="19">
        <f>IF(OR(C413="",D413=""),"",IFERROR(INDEX('Qida bazası'!$G$2:$G$103,MATCH(C413,'Qida bazası'!$A$2:$A$103,0))*D413/100,"?"))</f>
        <v/>
      </c>
    </row>
    <row r="414">
      <c r="A414" s="21" t="n"/>
      <c r="E414" s="18">
        <f>IF(OR(C414="",D414=""),"",IFERROR(INDEX('Qida bazası'!$D$2:$D$103,MATCH(C414,'Qida bazası'!$A$2:$A$103,0))*D414/100,"?"))</f>
        <v/>
      </c>
      <c r="F414" s="19">
        <f>IF(OR(C414="",D414=""),"",IFERROR(INDEX('Qida bazası'!$E$2:$E$103,MATCH(C414,'Qida bazası'!$A$2:$A$103,0))*D414/100,"?"))</f>
        <v/>
      </c>
      <c r="G414" s="19">
        <f>IF(OR(C414="",D414=""),"",IFERROR(INDEX('Qida bazası'!$F$2:$F$103,MATCH(C414,'Qida bazası'!$A$2:$A$103,0))*D414/100,"?"))</f>
        <v/>
      </c>
      <c r="H414" s="19">
        <f>IF(OR(C414="",D414=""),"",IFERROR(INDEX('Qida bazası'!$G$2:$G$103,MATCH(C414,'Qida bazası'!$A$2:$A$103,0))*D414/100,"?"))</f>
        <v/>
      </c>
    </row>
    <row r="415">
      <c r="A415" s="21" t="n"/>
      <c r="E415" s="18">
        <f>IF(OR(C415="",D415=""),"",IFERROR(INDEX('Qida bazası'!$D$2:$D$103,MATCH(C415,'Qida bazası'!$A$2:$A$103,0))*D415/100,"?"))</f>
        <v/>
      </c>
      <c r="F415" s="19">
        <f>IF(OR(C415="",D415=""),"",IFERROR(INDEX('Qida bazası'!$E$2:$E$103,MATCH(C415,'Qida bazası'!$A$2:$A$103,0))*D415/100,"?"))</f>
        <v/>
      </c>
      <c r="G415" s="19">
        <f>IF(OR(C415="",D415=""),"",IFERROR(INDEX('Qida bazası'!$F$2:$F$103,MATCH(C415,'Qida bazası'!$A$2:$A$103,0))*D415/100,"?"))</f>
        <v/>
      </c>
      <c r="H415" s="19">
        <f>IF(OR(C415="",D415=""),"",IFERROR(INDEX('Qida bazası'!$G$2:$G$103,MATCH(C415,'Qida bazası'!$A$2:$A$103,0))*D415/100,"?"))</f>
        <v/>
      </c>
    </row>
    <row r="416">
      <c r="A416" s="21" t="n"/>
      <c r="E416" s="18">
        <f>IF(OR(C416="",D416=""),"",IFERROR(INDEX('Qida bazası'!$D$2:$D$103,MATCH(C416,'Qida bazası'!$A$2:$A$103,0))*D416/100,"?"))</f>
        <v/>
      </c>
      <c r="F416" s="19">
        <f>IF(OR(C416="",D416=""),"",IFERROR(INDEX('Qida bazası'!$E$2:$E$103,MATCH(C416,'Qida bazası'!$A$2:$A$103,0))*D416/100,"?"))</f>
        <v/>
      </c>
      <c r="G416" s="19">
        <f>IF(OR(C416="",D416=""),"",IFERROR(INDEX('Qida bazası'!$F$2:$F$103,MATCH(C416,'Qida bazası'!$A$2:$A$103,0))*D416/100,"?"))</f>
        <v/>
      </c>
      <c r="H416" s="19">
        <f>IF(OR(C416="",D416=""),"",IFERROR(INDEX('Qida bazası'!$G$2:$G$103,MATCH(C416,'Qida bazası'!$A$2:$A$103,0))*D416/100,"?"))</f>
        <v/>
      </c>
    </row>
    <row r="417">
      <c r="A417" s="21" t="n"/>
      <c r="E417" s="18">
        <f>IF(OR(C417="",D417=""),"",IFERROR(INDEX('Qida bazası'!$D$2:$D$103,MATCH(C417,'Qida bazası'!$A$2:$A$103,0))*D417/100,"?"))</f>
        <v/>
      </c>
      <c r="F417" s="19">
        <f>IF(OR(C417="",D417=""),"",IFERROR(INDEX('Qida bazası'!$E$2:$E$103,MATCH(C417,'Qida bazası'!$A$2:$A$103,0))*D417/100,"?"))</f>
        <v/>
      </c>
      <c r="G417" s="19">
        <f>IF(OR(C417="",D417=""),"",IFERROR(INDEX('Qida bazası'!$F$2:$F$103,MATCH(C417,'Qida bazası'!$A$2:$A$103,0))*D417/100,"?"))</f>
        <v/>
      </c>
      <c r="H417" s="19">
        <f>IF(OR(C417="",D417=""),"",IFERROR(INDEX('Qida bazası'!$G$2:$G$103,MATCH(C417,'Qida bazası'!$A$2:$A$103,0))*D417/100,"?"))</f>
        <v/>
      </c>
    </row>
    <row r="418">
      <c r="A418" s="21" t="n"/>
      <c r="E418" s="18">
        <f>IF(OR(C418="",D418=""),"",IFERROR(INDEX('Qida bazası'!$D$2:$D$103,MATCH(C418,'Qida bazası'!$A$2:$A$103,0))*D418/100,"?"))</f>
        <v/>
      </c>
      <c r="F418" s="19">
        <f>IF(OR(C418="",D418=""),"",IFERROR(INDEX('Qida bazası'!$E$2:$E$103,MATCH(C418,'Qida bazası'!$A$2:$A$103,0))*D418/100,"?"))</f>
        <v/>
      </c>
      <c r="G418" s="19">
        <f>IF(OR(C418="",D418=""),"",IFERROR(INDEX('Qida bazası'!$F$2:$F$103,MATCH(C418,'Qida bazası'!$A$2:$A$103,0))*D418/100,"?"))</f>
        <v/>
      </c>
      <c r="H418" s="19">
        <f>IF(OR(C418="",D418=""),"",IFERROR(INDEX('Qida bazası'!$G$2:$G$103,MATCH(C418,'Qida bazası'!$A$2:$A$103,0))*D418/100,"?"))</f>
        <v/>
      </c>
    </row>
    <row r="419">
      <c r="A419" s="21" t="n"/>
      <c r="E419" s="18">
        <f>IF(OR(C419="",D419=""),"",IFERROR(INDEX('Qida bazası'!$D$2:$D$103,MATCH(C419,'Qida bazası'!$A$2:$A$103,0))*D419/100,"?"))</f>
        <v/>
      </c>
      <c r="F419" s="19">
        <f>IF(OR(C419="",D419=""),"",IFERROR(INDEX('Qida bazası'!$E$2:$E$103,MATCH(C419,'Qida bazası'!$A$2:$A$103,0))*D419/100,"?"))</f>
        <v/>
      </c>
      <c r="G419" s="19">
        <f>IF(OR(C419="",D419=""),"",IFERROR(INDEX('Qida bazası'!$F$2:$F$103,MATCH(C419,'Qida bazası'!$A$2:$A$103,0))*D419/100,"?"))</f>
        <v/>
      </c>
      <c r="H419" s="19">
        <f>IF(OR(C419="",D419=""),"",IFERROR(INDEX('Qida bazası'!$G$2:$G$103,MATCH(C419,'Qida bazası'!$A$2:$A$103,0))*D419/100,"?"))</f>
        <v/>
      </c>
    </row>
    <row r="420">
      <c r="A420" s="21" t="n"/>
      <c r="E420" s="18">
        <f>IF(OR(C420="",D420=""),"",IFERROR(INDEX('Qida bazası'!$D$2:$D$103,MATCH(C420,'Qida bazası'!$A$2:$A$103,0))*D420/100,"?"))</f>
        <v/>
      </c>
      <c r="F420" s="19">
        <f>IF(OR(C420="",D420=""),"",IFERROR(INDEX('Qida bazası'!$E$2:$E$103,MATCH(C420,'Qida bazası'!$A$2:$A$103,0))*D420/100,"?"))</f>
        <v/>
      </c>
      <c r="G420" s="19">
        <f>IF(OR(C420="",D420=""),"",IFERROR(INDEX('Qida bazası'!$F$2:$F$103,MATCH(C420,'Qida bazası'!$A$2:$A$103,0))*D420/100,"?"))</f>
        <v/>
      </c>
      <c r="H420" s="19">
        <f>IF(OR(C420="",D420=""),"",IFERROR(INDEX('Qida bazası'!$G$2:$G$103,MATCH(C420,'Qida bazası'!$A$2:$A$103,0))*D420/100,"?"))</f>
        <v/>
      </c>
    </row>
    <row r="421">
      <c r="A421" s="21" t="n"/>
      <c r="E421" s="18">
        <f>IF(OR(C421="",D421=""),"",IFERROR(INDEX('Qida bazası'!$D$2:$D$103,MATCH(C421,'Qida bazası'!$A$2:$A$103,0))*D421/100,"?"))</f>
        <v/>
      </c>
      <c r="F421" s="19">
        <f>IF(OR(C421="",D421=""),"",IFERROR(INDEX('Qida bazası'!$E$2:$E$103,MATCH(C421,'Qida bazası'!$A$2:$A$103,0))*D421/100,"?"))</f>
        <v/>
      </c>
      <c r="G421" s="19">
        <f>IF(OR(C421="",D421=""),"",IFERROR(INDEX('Qida bazası'!$F$2:$F$103,MATCH(C421,'Qida bazası'!$A$2:$A$103,0))*D421/100,"?"))</f>
        <v/>
      </c>
      <c r="H421" s="19">
        <f>IF(OR(C421="",D421=""),"",IFERROR(INDEX('Qida bazası'!$G$2:$G$103,MATCH(C421,'Qida bazası'!$A$2:$A$103,0))*D421/100,"?"))</f>
        <v/>
      </c>
    </row>
    <row r="422">
      <c r="A422" s="21" t="n"/>
      <c r="E422" s="18">
        <f>IF(OR(C422="",D422=""),"",IFERROR(INDEX('Qida bazası'!$D$2:$D$103,MATCH(C422,'Qida bazası'!$A$2:$A$103,0))*D422/100,"?"))</f>
        <v/>
      </c>
      <c r="F422" s="19">
        <f>IF(OR(C422="",D422=""),"",IFERROR(INDEX('Qida bazası'!$E$2:$E$103,MATCH(C422,'Qida bazası'!$A$2:$A$103,0))*D422/100,"?"))</f>
        <v/>
      </c>
      <c r="G422" s="19">
        <f>IF(OR(C422="",D422=""),"",IFERROR(INDEX('Qida bazası'!$F$2:$F$103,MATCH(C422,'Qida bazası'!$A$2:$A$103,0))*D422/100,"?"))</f>
        <v/>
      </c>
      <c r="H422" s="19">
        <f>IF(OR(C422="",D422=""),"",IFERROR(INDEX('Qida bazası'!$G$2:$G$103,MATCH(C422,'Qida bazası'!$A$2:$A$103,0))*D422/100,"?"))</f>
        <v/>
      </c>
    </row>
    <row r="423">
      <c r="A423" s="21" t="n"/>
      <c r="E423" s="18">
        <f>IF(OR(C423="",D423=""),"",IFERROR(INDEX('Qida bazası'!$D$2:$D$103,MATCH(C423,'Qida bazası'!$A$2:$A$103,0))*D423/100,"?"))</f>
        <v/>
      </c>
      <c r="F423" s="19">
        <f>IF(OR(C423="",D423=""),"",IFERROR(INDEX('Qida bazası'!$E$2:$E$103,MATCH(C423,'Qida bazası'!$A$2:$A$103,0))*D423/100,"?"))</f>
        <v/>
      </c>
      <c r="G423" s="19">
        <f>IF(OR(C423="",D423=""),"",IFERROR(INDEX('Qida bazası'!$F$2:$F$103,MATCH(C423,'Qida bazası'!$A$2:$A$103,0))*D423/100,"?"))</f>
        <v/>
      </c>
      <c r="H423" s="19">
        <f>IF(OR(C423="",D423=""),"",IFERROR(INDEX('Qida bazası'!$G$2:$G$103,MATCH(C423,'Qida bazası'!$A$2:$A$103,0))*D423/100,"?"))</f>
        <v/>
      </c>
    </row>
    <row r="424">
      <c r="A424" s="21" t="n"/>
      <c r="E424" s="18">
        <f>IF(OR(C424="",D424=""),"",IFERROR(INDEX('Qida bazası'!$D$2:$D$103,MATCH(C424,'Qida bazası'!$A$2:$A$103,0))*D424/100,"?"))</f>
        <v/>
      </c>
      <c r="F424" s="19">
        <f>IF(OR(C424="",D424=""),"",IFERROR(INDEX('Qida bazası'!$E$2:$E$103,MATCH(C424,'Qida bazası'!$A$2:$A$103,0))*D424/100,"?"))</f>
        <v/>
      </c>
      <c r="G424" s="19">
        <f>IF(OR(C424="",D424=""),"",IFERROR(INDEX('Qida bazası'!$F$2:$F$103,MATCH(C424,'Qida bazası'!$A$2:$A$103,0))*D424/100,"?"))</f>
        <v/>
      </c>
      <c r="H424" s="19">
        <f>IF(OR(C424="",D424=""),"",IFERROR(INDEX('Qida bazası'!$G$2:$G$103,MATCH(C424,'Qida bazası'!$A$2:$A$103,0))*D424/100,"?"))</f>
        <v/>
      </c>
    </row>
    <row r="425">
      <c r="A425" s="21" t="n"/>
      <c r="E425" s="18">
        <f>IF(OR(C425="",D425=""),"",IFERROR(INDEX('Qida bazası'!$D$2:$D$103,MATCH(C425,'Qida bazası'!$A$2:$A$103,0))*D425/100,"?"))</f>
        <v/>
      </c>
      <c r="F425" s="19">
        <f>IF(OR(C425="",D425=""),"",IFERROR(INDEX('Qida bazası'!$E$2:$E$103,MATCH(C425,'Qida bazası'!$A$2:$A$103,0))*D425/100,"?"))</f>
        <v/>
      </c>
      <c r="G425" s="19">
        <f>IF(OR(C425="",D425=""),"",IFERROR(INDEX('Qida bazası'!$F$2:$F$103,MATCH(C425,'Qida bazası'!$A$2:$A$103,0))*D425/100,"?"))</f>
        <v/>
      </c>
      <c r="H425" s="19">
        <f>IF(OR(C425="",D425=""),"",IFERROR(INDEX('Qida bazası'!$G$2:$G$103,MATCH(C425,'Qida bazası'!$A$2:$A$103,0))*D425/100,"?"))</f>
        <v/>
      </c>
    </row>
    <row r="426">
      <c r="A426" s="21" t="n"/>
      <c r="E426" s="18">
        <f>IF(OR(C426="",D426=""),"",IFERROR(INDEX('Qida bazası'!$D$2:$D$103,MATCH(C426,'Qida bazası'!$A$2:$A$103,0))*D426/100,"?"))</f>
        <v/>
      </c>
      <c r="F426" s="19">
        <f>IF(OR(C426="",D426=""),"",IFERROR(INDEX('Qida bazası'!$E$2:$E$103,MATCH(C426,'Qida bazası'!$A$2:$A$103,0))*D426/100,"?"))</f>
        <v/>
      </c>
      <c r="G426" s="19">
        <f>IF(OR(C426="",D426=""),"",IFERROR(INDEX('Qida bazası'!$F$2:$F$103,MATCH(C426,'Qida bazası'!$A$2:$A$103,0))*D426/100,"?"))</f>
        <v/>
      </c>
      <c r="H426" s="19">
        <f>IF(OR(C426="",D426=""),"",IFERROR(INDEX('Qida bazası'!$G$2:$G$103,MATCH(C426,'Qida bazası'!$A$2:$A$103,0))*D426/100,"?"))</f>
        <v/>
      </c>
    </row>
    <row r="427">
      <c r="A427" s="21" t="n"/>
      <c r="E427" s="18">
        <f>IF(OR(C427="",D427=""),"",IFERROR(INDEX('Qida bazası'!$D$2:$D$103,MATCH(C427,'Qida bazası'!$A$2:$A$103,0))*D427/100,"?"))</f>
        <v/>
      </c>
      <c r="F427" s="19">
        <f>IF(OR(C427="",D427=""),"",IFERROR(INDEX('Qida bazası'!$E$2:$E$103,MATCH(C427,'Qida bazası'!$A$2:$A$103,0))*D427/100,"?"))</f>
        <v/>
      </c>
      <c r="G427" s="19">
        <f>IF(OR(C427="",D427=""),"",IFERROR(INDEX('Qida bazası'!$F$2:$F$103,MATCH(C427,'Qida bazası'!$A$2:$A$103,0))*D427/100,"?"))</f>
        <v/>
      </c>
      <c r="H427" s="19">
        <f>IF(OR(C427="",D427=""),"",IFERROR(INDEX('Qida bazası'!$G$2:$G$103,MATCH(C427,'Qida bazası'!$A$2:$A$103,0))*D427/100,"?"))</f>
        <v/>
      </c>
    </row>
    <row r="428">
      <c r="A428" s="21" t="n"/>
      <c r="E428" s="18">
        <f>IF(OR(C428="",D428=""),"",IFERROR(INDEX('Qida bazası'!$D$2:$D$103,MATCH(C428,'Qida bazası'!$A$2:$A$103,0))*D428/100,"?"))</f>
        <v/>
      </c>
      <c r="F428" s="19">
        <f>IF(OR(C428="",D428=""),"",IFERROR(INDEX('Qida bazası'!$E$2:$E$103,MATCH(C428,'Qida bazası'!$A$2:$A$103,0))*D428/100,"?"))</f>
        <v/>
      </c>
      <c r="G428" s="19">
        <f>IF(OR(C428="",D428=""),"",IFERROR(INDEX('Qida bazası'!$F$2:$F$103,MATCH(C428,'Qida bazası'!$A$2:$A$103,0))*D428/100,"?"))</f>
        <v/>
      </c>
      <c r="H428" s="19">
        <f>IF(OR(C428="",D428=""),"",IFERROR(INDEX('Qida bazası'!$G$2:$G$103,MATCH(C428,'Qida bazası'!$A$2:$A$103,0))*D428/100,"?"))</f>
        <v/>
      </c>
    </row>
    <row r="429">
      <c r="A429" s="21" t="n"/>
      <c r="E429" s="18">
        <f>IF(OR(C429="",D429=""),"",IFERROR(INDEX('Qida bazası'!$D$2:$D$103,MATCH(C429,'Qida bazası'!$A$2:$A$103,0))*D429/100,"?"))</f>
        <v/>
      </c>
      <c r="F429" s="19">
        <f>IF(OR(C429="",D429=""),"",IFERROR(INDEX('Qida bazası'!$E$2:$E$103,MATCH(C429,'Qida bazası'!$A$2:$A$103,0))*D429/100,"?"))</f>
        <v/>
      </c>
      <c r="G429" s="19">
        <f>IF(OR(C429="",D429=""),"",IFERROR(INDEX('Qida bazası'!$F$2:$F$103,MATCH(C429,'Qida bazası'!$A$2:$A$103,0))*D429/100,"?"))</f>
        <v/>
      </c>
      <c r="H429" s="19">
        <f>IF(OR(C429="",D429=""),"",IFERROR(INDEX('Qida bazası'!$G$2:$G$103,MATCH(C429,'Qida bazası'!$A$2:$A$103,0))*D429/100,"?"))</f>
        <v/>
      </c>
    </row>
    <row r="430">
      <c r="A430" s="21" t="n"/>
      <c r="E430" s="18">
        <f>IF(OR(C430="",D430=""),"",IFERROR(INDEX('Qida bazası'!$D$2:$D$103,MATCH(C430,'Qida bazası'!$A$2:$A$103,0))*D430/100,"?"))</f>
        <v/>
      </c>
      <c r="F430" s="19">
        <f>IF(OR(C430="",D430=""),"",IFERROR(INDEX('Qida bazası'!$E$2:$E$103,MATCH(C430,'Qida bazası'!$A$2:$A$103,0))*D430/100,"?"))</f>
        <v/>
      </c>
      <c r="G430" s="19">
        <f>IF(OR(C430="",D430=""),"",IFERROR(INDEX('Qida bazası'!$F$2:$F$103,MATCH(C430,'Qida bazası'!$A$2:$A$103,0))*D430/100,"?"))</f>
        <v/>
      </c>
      <c r="H430" s="19">
        <f>IF(OR(C430="",D430=""),"",IFERROR(INDEX('Qida bazası'!$G$2:$G$103,MATCH(C430,'Qida bazası'!$A$2:$A$103,0))*D430/100,"?"))</f>
        <v/>
      </c>
    </row>
    <row r="431">
      <c r="A431" s="21" t="n"/>
      <c r="E431" s="18">
        <f>IF(OR(C431="",D431=""),"",IFERROR(INDEX('Qida bazası'!$D$2:$D$103,MATCH(C431,'Qida bazası'!$A$2:$A$103,0))*D431/100,"?"))</f>
        <v/>
      </c>
      <c r="F431" s="19">
        <f>IF(OR(C431="",D431=""),"",IFERROR(INDEX('Qida bazası'!$E$2:$E$103,MATCH(C431,'Qida bazası'!$A$2:$A$103,0))*D431/100,"?"))</f>
        <v/>
      </c>
      <c r="G431" s="19">
        <f>IF(OR(C431="",D431=""),"",IFERROR(INDEX('Qida bazası'!$F$2:$F$103,MATCH(C431,'Qida bazası'!$A$2:$A$103,0))*D431/100,"?"))</f>
        <v/>
      </c>
      <c r="H431" s="19">
        <f>IF(OR(C431="",D431=""),"",IFERROR(INDEX('Qida bazası'!$G$2:$G$103,MATCH(C431,'Qida bazası'!$A$2:$A$103,0))*D431/100,"?"))</f>
        <v/>
      </c>
    </row>
    <row r="432">
      <c r="A432" s="21" t="n"/>
      <c r="E432" s="18">
        <f>IF(OR(C432="",D432=""),"",IFERROR(INDEX('Qida bazası'!$D$2:$D$103,MATCH(C432,'Qida bazası'!$A$2:$A$103,0))*D432/100,"?"))</f>
        <v/>
      </c>
      <c r="F432" s="19">
        <f>IF(OR(C432="",D432=""),"",IFERROR(INDEX('Qida bazası'!$E$2:$E$103,MATCH(C432,'Qida bazası'!$A$2:$A$103,0))*D432/100,"?"))</f>
        <v/>
      </c>
      <c r="G432" s="19">
        <f>IF(OR(C432="",D432=""),"",IFERROR(INDEX('Qida bazası'!$F$2:$F$103,MATCH(C432,'Qida bazası'!$A$2:$A$103,0))*D432/100,"?"))</f>
        <v/>
      </c>
      <c r="H432" s="19">
        <f>IF(OR(C432="",D432=""),"",IFERROR(INDEX('Qida bazası'!$G$2:$G$103,MATCH(C432,'Qida bazası'!$A$2:$A$103,0))*D432/100,"?"))</f>
        <v/>
      </c>
    </row>
    <row r="433">
      <c r="A433" s="21" t="n"/>
      <c r="E433" s="18">
        <f>IF(OR(C433="",D433=""),"",IFERROR(INDEX('Qida bazası'!$D$2:$D$103,MATCH(C433,'Qida bazası'!$A$2:$A$103,0))*D433/100,"?"))</f>
        <v/>
      </c>
      <c r="F433" s="19">
        <f>IF(OR(C433="",D433=""),"",IFERROR(INDEX('Qida bazası'!$E$2:$E$103,MATCH(C433,'Qida bazası'!$A$2:$A$103,0))*D433/100,"?"))</f>
        <v/>
      </c>
      <c r="G433" s="19">
        <f>IF(OR(C433="",D433=""),"",IFERROR(INDEX('Qida bazası'!$F$2:$F$103,MATCH(C433,'Qida bazası'!$A$2:$A$103,0))*D433/100,"?"))</f>
        <v/>
      </c>
      <c r="H433" s="19">
        <f>IF(OR(C433="",D433=""),"",IFERROR(INDEX('Qida bazası'!$G$2:$G$103,MATCH(C433,'Qida bazası'!$A$2:$A$103,0))*D433/100,"?"))</f>
        <v/>
      </c>
    </row>
    <row r="434">
      <c r="A434" s="21" t="n"/>
      <c r="E434" s="18">
        <f>IF(OR(C434="",D434=""),"",IFERROR(INDEX('Qida bazası'!$D$2:$D$103,MATCH(C434,'Qida bazası'!$A$2:$A$103,0))*D434/100,"?"))</f>
        <v/>
      </c>
      <c r="F434" s="19">
        <f>IF(OR(C434="",D434=""),"",IFERROR(INDEX('Qida bazası'!$E$2:$E$103,MATCH(C434,'Qida bazası'!$A$2:$A$103,0))*D434/100,"?"))</f>
        <v/>
      </c>
      <c r="G434" s="19">
        <f>IF(OR(C434="",D434=""),"",IFERROR(INDEX('Qida bazası'!$F$2:$F$103,MATCH(C434,'Qida bazası'!$A$2:$A$103,0))*D434/100,"?"))</f>
        <v/>
      </c>
      <c r="H434" s="19">
        <f>IF(OR(C434="",D434=""),"",IFERROR(INDEX('Qida bazası'!$G$2:$G$103,MATCH(C434,'Qida bazası'!$A$2:$A$103,0))*D434/100,"?"))</f>
        <v/>
      </c>
    </row>
    <row r="435">
      <c r="A435" s="21" t="n"/>
      <c r="E435" s="18">
        <f>IF(OR(C435="",D435=""),"",IFERROR(INDEX('Qida bazası'!$D$2:$D$103,MATCH(C435,'Qida bazası'!$A$2:$A$103,0))*D435/100,"?"))</f>
        <v/>
      </c>
      <c r="F435" s="19">
        <f>IF(OR(C435="",D435=""),"",IFERROR(INDEX('Qida bazası'!$E$2:$E$103,MATCH(C435,'Qida bazası'!$A$2:$A$103,0))*D435/100,"?"))</f>
        <v/>
      </c>
      <c r="G435" s="19">
        <f>IF(OR(C435="",D435=""),"",IFERROR(INDEX('Qida bazası'!$F$2:$F$103,MATCH(C435,'Qida bazası'!$A$2:$A$103,0))*D435/100,"?"))</f>
        <v/>
      </c>
      <c r="H435" s="19">
        <f>IF(OR(C435="",D435=""),"",IFERROR(INDEX('Qida bazası'!$G$2:$G$103,MATCH(C435,'Qida bazası'!$A$2:$A$103,0))*D435/100,"?"))</f>
        <v/>
      </c>
    </row>
    <row r="436">
      <c r="A436" s="21" t="n"/>
      <c r="E436" s="18">
        <f>IF(OR(C436="",D436=""),"",IFERROR(INDEX('Qida bazası'!$D$2:$D$103,MATCH(C436,'Qida bazası'!$A$2:$A$103,0))*D436/100,"?"))</f>
        <v/>
      </c>
      <c r="F436" s="19">
        <f>IF(OR(C436="",D436=""),"",IFERROR(INDEX('Qida bazası'!$E$2:$E$103,MATCH(C436,'Qida bazası'!$A$2:$A$103,0))*D436/100,"?"))</f>
        <v/>
      </c>
      <c r="G436" s="19">
        <f>IF(OR(C436="",D436=""),"",IFERROR(INDEX('Qida bazası'!$F$2:$F$103,MATCH(C436,'Qida bazası'!$A$2:$A$103,0))*D436/100,"?"))</f>
        <v/>
      </c>
      <c r="H436" s="19">
        <f>IF(OR(C436="",D436=""),"",IFERROR(INDEX('Qida bazası'!$G$2:$G$103,MATCH(C436,'Qida bazası'!$A$2:$A$103,0))*D436/100,"?"))</f>
        <v/>
      </c>
    </row>
    <row r="437">
      <c r="A437" s="21" t="n"/>
      <c r="E437" s="18">
        <f>IF(OR(C437="",D437=""),"",IFERROR(INDEX('Qida bazası'!$D$2:$D$103,MATCH(C437,'Qida bazası'!$A$2:$A$103,0))*D437/100,"?"))</f>
        <v/>
      </c>
      <c r="F437" s="19">
        <f>IF(OR(C437="",D437=""),"",IFERROR(INDEX('Qida bazası'!$E$2:$E$103,MATCH(C437,'Qida bazası'!$A$2:$A$103,0))*D437/100,"?"))</f>
        <v/>
      </c>
      <c r="G437" s="19">
        <f>IF(OR(C437="",D437=""),"",IFERROR(INDEX('Qida bazası'!$F$2:$F$103,MATCH(C437,'Qida bazası'!$A$2:$A$103,0))*D437/100,"?"))</f>
        <v/>
      </c>
      <c r="H437" s="19">
        <f>IF(OR(C437="",D437=""),"",IFERROR(INDEX('Qida bazası'!$G$2:$G$103,MATCH(C437,'Qida bazası'!$A$2:$A$103,0))*D437/100,"?"))</f>
        <v/>
      </c>
    </row>
    <row r="438">
      <c r="A438" s="21" t="n"/>
      <c r="E438" s="18">
        <f>IF(OR(C438="",D438=""),"",IFERROR(INDEX('Qida bazası'!$D$2:$D$103,MATCH(C438,'Qida bazası'!$A$2:$A$103,0))*D438/100,"?"))</f>
        <v/>
      </c>
      <c r="F438" s="19">
        <f>IF(OR(C438="",D438=""),"",IFERROR(INDEX('Qida bazası'!$E$2:$E$103,MATCH(C438,'Qida bazası'!$A$2:$A$103,0))*D438/100,"?"))</f>
        <v/>
      </c>
      <c r="G438" s="19">
        <f>IF(OR(C438="",D438=""),"",IFERROR(INDEX('Qida bazası'!$F$2:$F$103,MATCH(C438,'Qida bazası'!$A$2:$A$103,0))*D438/100,"?"))</f>
        <v/>
      </c>
      <c r="H438" s="19">
        <f>IF(OR(C438="",D438=""),"",IFERROR(INDEX('Qida bazası'!$G$2:$G$103,MATCH(C438,'Qida bazası'!$A$2:$A$103,0))*D438/100,"?"))</f>
        <v/>
      </c>
    </row>
    <row r="439">
      <c r="A439" s="21" t="n"/>
      <c r="E439" s="18">
        <f>IF(OR(C439="",D439=""),"",IFERROR(INDEX('Qida bazası'!$D$2:$D$103,MATCH(C439,'Qida bazası'!$A$2:$A$103,0))*D439/100,"?"))</f>
        <v/>
      </c>
      <c r="F439" s="19">
        <f>IF(OR(C439="",D439=""),"",IFERROR(INDEX('Qida bazası'!$E$2:$E$103,MATCH(C439,'Qida bazası'!$A$2:$A$103,0))*D439/100,"?"))</f>
        <v/>
      </c>
      <c r="G439" s="19">
        <f>IF(OR(C439="",D439=""),"",IFERROR(INDEX('Qida bazası'!$F$2:$F$103,MATCH(C439,'Qida bazası'!$A$2:$A$103,0))*D439/100,"?"))</f>
        <v/>
      </c>
      <c r="H439" s="19">
        <f>IF(OR(C439="",D439=""),"",IFERROR(INDEX('Qida bazası'!$G$2:$G$103,MATCH(C439,'Qida bazası'!$A$2:$A$103,0))*D439/100,"?"))</f>
        <v/>
      </c>
    </row>
    <row r="440">
      <c r="A440" s="21" t="n"/>
      <c r="E440" s="18">
        <f>IF(OR(C440="",D440=""),"",IFERROR(INDEX('Qida bazası'!$D$2:$D$103,MATCH(C440,'Qida bazası'!$A$2:$A$103,0))*D440/100,"?"))</f>
        <v/>
      </c>
      <c r="F440" s="19">
        <f>IF(OR(C440="",D440=""),"",IFERROR(INDEX('Qida bazası'!$E$2:$E$103,MATCH(C440,'Qida bazası'!$A$2:$A$103,0))*D440/100,"?"))</f>
        <v/>
      </c>
      <c r="G440" s="19">
        <f>IF(OR(C440="",D440=""),"",IFERROR(INDEX('Qida bazası'!$F$2:$F$103,MATCH(C440,'Qida bazası'!$A$2:$A$103,0))*D440/100,"?"))</f>
        <v/>
      </c>
      <c r="H440" s="19">
        <f>IF(OR(C440="",D440=""),"",IFERROR(INDEX('Qida bazası'!$G$2:$G$103,MATCH(C440,'Qida bazası'!$A$2:$A$103,0))*D440/100,"?"))</f>
        <v/>
      </c>
    </row>
    <row r="441">
      <c r="A441" s="21" t="n"/>
      <c r="E441" s="18">
        <f>IF(OR(C441="",D441=""),"",IFERROR(INDEX('Qida bazası'!$D$2:$D$103,MATCH(C441,'Qida bazası'!$A$2:$A$103,0))*D441/100,"?"))</f>
        <v/>
      </c>
      <c r="F441" s="19">
        <f>IF(OR(C441="",D441=""),"",IFERROR(INDEX('Qida bazası'!$E$2:$E$103,MATCH(C441,'Qida bazası'!$A$2:$A$103,0))*D441/100,"?"))</f>
        <v/>
      </c>
      <c r="G441" s="19">
        <f>IF(OR(C441="",D441=""),"",IFERROR(INDEX('Qida bazası'!$F$2:$F$103,MATCH(C441,'Qida bazası'!$A$2:$A$103,0))*D441/100,"?"))</f>
        <v/>
      </c>
      <c r="H441" s="19">
        <f>IF(OR(C441="",D441=""),"",IFERROR(INDEX('Qida bazası'!$G$2:$G$103,MATCH(C441,'Qida bazası'!$A$2:$A$103,0))*D441/100,"?"))</f>
        <v/>
      </c>
    </row>
    <row r="442">
      <c r="A442" s="21" t="n"/>
      <c r="E442" s="18">
        <f>IF(OR(C442="",D442=""),"",IFERROR(INDEX('Qida bazası'!$D$2:$D$103,MATCH(C442,'Qida bazası'!$A$2:$A$103,0))*D442/100,"?"))</f>
        <v/>
      </c>
      <c r="F442" s="19">
        <f>IF(OR(C442="",D442=""),"",IFERROR(INDEX('Qida bazası'!$E$2:$E$103,MATCH(C442,'Qida bazası'!$A$2:$A$103,0))*D442/100,"?"))</f>
        <v/>
      </c>
      <c r="G442" s="19">
        <f>IF(OR(C442="",D442=""),"",IFERROR(INDEX('Qida bazası'!$F$2:$F$103,MATCH(C442,'Qida bazası'!$A$2:$A$103,0))*D442/100,"?"))</f>
        <v/>
      </c>
      <c r="H442" s="19">
        <f>IF(OR(C442="",D442=""),"",IFERROR(INDEX('Qida bazası'!$G$2:$G$103,MATCH(C442,'Qida bazası'!$A$2:$A$103,0))*D442/100,"?"))</f>
        <v/>
      </c>
    </row>
    <row r="443">
      <c r="A443" s="21" t="n"/>
      <c r="E443" s="18">
        <f>IF(OR(C443="",D443=""),"",IFERROR(INDEX('Qida bazası'!$D$2:$D$103,MATCH(C443,'Qida bazası'!$A$2:$A$103,0))*D443/100,"?"))</f>
        <v/>
      </c>
      <c r="F443" s="19">
        <f>IF(OR(C443="",D443=""),"",IFERROR(INDEX('Qida bazası'!$E$2:$E$103,MATCH(C443,'Qida bazası'!$A$2:$A$103,0))*D443/100,"?"))</f>
        <v/>
      </c>
      <c r="G443" s="19">
        <f>IF(OR(C443="",D443=""),"",IFERROR(INDEX('Qida bazası'!$F$2:$F$103,MATCH(C443,'Qida bazası'!$A$2:$A$103,0))*D443/100,"?"))</f>
        <v/>
      </c>
      <c r="H443" s="19">
        <f>IF(OR(C443="",D443=""),"",IFERROR(INDEX('Qida bazası'!$G$2:$G$103,MATCH(C443,'Qida bazası'!$A$2:$A$103,0))*D443/100,"?"))</f>
        <v/>
      </c>
    </row>
    <row r="444">
      <c r="A444" s="21" t="n"/>
      <c r="E444" s="18">
        <f>IF(OR(C444="",D444=""),"",IFERROR(INDEX('Qida bazası'!$D$2:$D$103,MATCH(C444,'Qida bazası'!$A$2:$A$103,0))*D444/100,"?"))</f>
        <v/>
      </c>
      <c r="F444" s="19">
        <f>IF(OR(C444="",D444=""),"",IFERROR(INDEX('Qida bazası'!$E$2:$E$103,MATCH(C444,'Qida bazası'!$A$2:$A$103,0))*D444/100,"?"))</f>
        <v/>
      </c>
      <c r="G444" s="19">
        <f>IF(OR(C444="",D444=""),"",IFERROR(INDEX('Qida bazası'!$F$2:$F$103,MATCH(C444,'Qida bazası'!$A$2:$A$103,0))*D444/100,"?"))</f>
        <v/>
      </c>
      <c r="H444" s="19">
        <f>IF(OR(C444="",D444=""),"",IFERROR(INDEX('Qida bazası'!$G$2:$G$103,MATCH(C444,'Qida bazası'!$A$2:$A$103,0))*D444/100,"?"))</f>
        <v/>
      </c>
    </row>
    <row r="445">
      <c r="A445" s="21" t="n"/>
      <c r="E445" s="18">
        <f>IF(OR(C445="",D445=""),"",IFERROR(INDEX('Qida bazası'!$D$2:$D$103,MATCH(C445,'Qida bazası'!$A$2:$A$103,0))*D445/100,"?"))</f>
        <v/>
      </c>
      <c r="F445" s="19">
        <f>IF(OR(C445="",D445=""),"",IFERROR(INDEX('Qida bazası'!$E$2:$E$103,MATCH(C445,'Qida bazası'!$A$2:$A$103,0))*D445/100,"?"))</f>
        <v/>
      </c>
      <c r="G445" s="19">
        <f>IF(OR(C445="",D445=""),"",IFERROR(INDEX('Qida bazası'!$F$2:$F$103,MATCH(C445,'Qida bazası'!$A$2:$A$103,0))*D445/100,"?"))</f>
        <v/>
      </c>
      <c r="H445" s="19">
        <f>IF(OR(C445="",D445=""),"",IFERROR(INDEX('Qida bazası'!$G$2:$G$103,MATCH(C445,'Qida bazası'!$A$2:$A$103,0))*D445/100,"?"))</f>
        <v/>
      </c>
    </row>
    <row r="446">
      <c r="A446" s="21" t="n"/>
      <c r="E446" s="18">
        <f>IF(OR(C446="",D446=""),"",IFERROR(INDEX('Qida bazası'!$D$2:$D$103,MATCH(C446,'Qida bazası'!$A$2:$A$103,0))*D446/100,"?"))</f>
        <v/>
      </c>
      <c r="F446" s="19">
        <f>IF(OR(C446="",D446=""),"",IFERROR(INDEX('Qida bazası'!$E$2:$E$103,MATCH(C446,'Qida bazası'!$A$2:$A$103,0))*D446/100,"?"))</f>
        <v/>
      </c>
      <c r="G446" s="19">
        <f>IF(OR(C446="",D446=""),"",IFERROR(INDEX('Qida bazası'!$F$2:$F$103,MATCH(C446,'Qida bazası'!$A$2:$A$103,0))*D446/100,"?"))</f>
        <v/>
      </c>
      <c r="H446" s="19">
        <f>IF(OR(C446="",D446=""),"",IFERROR(INDEX('Qida bazası'!$G$2:$G$103,MATCH(C446,'Qida bazası'!$A$2:$A$103,0))*D446/100,"?"))</f>
        <v/>
      </c>
    </row>
    <row r="447">
      <c r="A447" s="21" t="n"/>
      <c r="E447" s="18">
        <f>IF(OR(C447="",D447=""),"",IFERROR(INDEX('Qida bazası'!$D$2:$D$103,MATCH(C447,'Qida bazası'!$A$2:$A$103,0))*D447/100,"?"))</f>
        <v/>
      </c>
      <c r="F447" s="19">
        <f>IF(OR(C447="",D447=""),"",IFERROR(INDEX('Qida bazası'!$E$2:$E$103,MATCH(C447,'Qida bazası'!$A$2:$A$103,0))*D447/100,"?"))</f>
        <v/>
      </c>
      <c r="G447" s="19">
        <f>IF(OR(C447="",D447=""),"",IFERROR(INDEX('Qida bazası'!$F$2:$F$103,MATCH(C447,'Qida bazası'!$A$2:$A$103,0))*D447/100,"?"))</f>
        <v/>
      </c>
      <c r="H447" s="19">
        <f>IF(OR(C447="",D447=""),"",IFERROR(INDEX('Qida bazası'!$G$2:$G$103,MATCH(C447,'Qida bazası'!$A$2:$A$103,0))*D447/100,"?"))</f>
        <v/>
      </c>
    </row>
    <row r="448">
      <c r="A448" s="21" t="n"/>
      <c r="E448" s="18">
        <f>IF(OR(C448="",D448=""),"",IFERROR(INDEX('Qida bazası'!$D$2:$D$103,MATCH(C448,'Qida bazası'!$A$2:$A$103,0))*D448/100,"?"))</f>
        <v/>
      </c>
      <c r="F448" s="19">
        <f>IF(OR(C448="",D448=""),"",IFERROR(INDEX('Qida bazası'!$E$2:$E$103,MATCH(C448,'Qida bazası'!$A$2:$A$103,0))*D448/100,"?"))</f>
        <v/>
      </c>
      <c r="G448" s="19">
        <f>IF(OR(C448="",D448=""),"",IFERROR(INDEX('Qida bazası'!$F$2:$F$103,MATCH(C448,'Qida bazası'!$A$2:$A$103,0))*D448/100,"?"))</f>
        <v/>
      </c>
      <c r="H448" s="19">
        <f>IF(OR(C448="",D448=""),"",IFERROR(INDEX('Qida bazası'!$G$2:$G$103,MATCH(C448,'Qida bazası'!$A$2:$A$103,0))*D448/100,"?"))</f>
        <v/>
      </c>
    </row>
    <row r="449">
      <c r="A449" s="21" t="n"/>
      <c r="E449" s="18">
        <f>IF(OR(C449="",D449=""),"",IFERROR(INDEX('Qida bazası'!$D$2:$D$103,MATCH(C449,'Qida bazası'!$A$2:$A$103,0))*D449/100,"?"))</f>
        <v/>
      </c>
      <c r="F449" s="19">
        <f>IF(OR(C449="",D449=""),"",IFERROR(INDEX('Qida bazası'!$E$2:$E$103,MATCH(C449,'Qida bazası'!$A$2:$A$103,0))*D449/100,"?"))</f>
        <v/>
      </c>
      <c r="G449" s="19">
        <f>IF(OR(C449="",D449=""),"",IFERROR(INDEX('Qida bazası'!$F$2:$F$103,MATCH(C449,'Qida bazası'!$A$2:$A$103,0))*D449/100,"?"))</f>
        <v/>
      </c>
      <c r="H449" s="19">
        <f>IF(OR(C449="",D449=""),"",IFERROR(INDEX('Qida bazası'!$G$2:$G$103,MATCH(C449,'Qida bazası'!$A$2:$A$103,0))*D449/100,"?"))</f>
        <v/>
      </c>
    </row>
    <row r="450">
      <c r="A450" s="21" t="n"/>
      <c r="E450" s="18">
        <f>IF(OR(C450="",D450=""),"",IFERROR(INDEX('Qida bazası'!$D$2:$D$103,MATCH(C450,'Qida bazası'!$A$2:$A$103,0))*D450/100,"?"))</f>
        <v/>
      </c>
      <c r="F450" s="19">
        <f>IF(OR(C450="",D450=""),"",IFERROR(INDEX('Qida bazası'!$E$2:$E$103,MATCH(C450,'Qida bazası'!$A$2:$A$103,0))*D450/100,"?"))</f>
        <v/>
      </c>
      <c r="G450" s="19">
        <f>IF(OR(C450="",D450=""),"",IFERROR(INDEX('Qida bazası'!$F$2:$F$103,MATCH(C450,'Qida bazası'!$A$2:$A$103,0))*D450/100,"?"))</f>
        <v/>
      </c>
      <c r="H450" s="19">
        <f>IF(OR(C450="",D450=""),"",IFERROR(INDEX('Qida bazası'!$G$2:$G$103,MATCH(C450,'Qida bazası'!$A$2:$A$103,0))*D450/100,"?"))</f>
        <v/>
      </c>
    </row>
    <row r="451">
      <c r="A451" s="21" t="n"/>
      <c r="E451" s="18">
        <f>IF(OR(C451="",D451=""),"",IFERROR(INDEX('Qida bazası'!$D$2:$D$103,MATCH(C451,'Qida bazası'!$A$2:$A$103,0))*D451/100,"?"))</f>
        <v/>
      </c>
      <c r="F451" s="19">
        <f>IF(OR(C451="",D451=""),"",IFERROR(INDEX('Qida bazası'!$E$2:$E$103,MATCH(C451,'Qida bazası'!$A$2:$A$103,0))*D451/100,"?"))</f>
        <v/>
      </c>
      <c r="G451" s="19">
        <f>IF(OR(C451="",D451=""),"",IFERROR(INDEX('Qida bazası'!$F$2:$F$103,MATCH(C451,'Qida bazası'!$A$2:$A$103,0))*D451/100,"?"))</f>
        <v/>
      </c>
      <c r="H451" s="19">
        <f>IF(OR(C451="",D451=""),"",IFERROR(INDEX('Qida bazası'!$G$2:$G$103,MATCH(C451,'Qida bazası'!$A$2:$A$103,0))*D451/100,"?"))</f>
        <v/>
      </c>
    </row>
    <row r="452">
      <c r="A452" s="21" t="n"/>
      <c r="E452" s="18">
        <f>IF(OR(C452="",D452=""),"",IFERROR(INDEX('Qida bazası'!$D$2:$D$103,MATCH(C452,'Qida bazası'!$A$2:$A$103,0))*D452/100,"?"))</f>
        <v/>
      </c>
      <c r="F452" s="19">
        <f>IF(OR(C452="",D452=""),"",IFERROR(INDEX('Qida bazası'!$E$2:$E$103,MATCH(C452,'Qida bazası'!$A$2:$A$103,0))*D452/100,"?"))</f>
        <v/>
      </c>
      <c r="G452" s="19">
        <f>IF(OR(C452="",D452=""),"",IFERROR(INDEX('Qida bazası'!$F$2:$F$103,MATCH(C452,'Qida bazası'!$A$2:$A$103,0))*D452/100,"?"))</f>
        <v/>
      </c>
      <c r="H452" s="19">
        <f>IF(OR(C452="",D452=""),"",IFERROR(INDEX('Qida bazası'!$G$2:$G$103,MATCH(C452,'Qida bazası'!$A$2:$A$103,0))*D452/100,"?"))</f>
        <v/>
      </c>
    </row>
    <row r="453">
      <c r="A453" s="21" t="n"/>
      <c r="E453" s="18">
        <f>IF(OR(C453="",D453=""),"",IFERROR(INDEX('Qida bazası'!$D$2:$D$103,MATCH(C453,'Qida bazası'!$A$2:$A$103,0))*D453/100,"?"))</f>
        <v/>
      </c>
      <c r="F453" s="19">
        <f>IF(OR(C453="",D453=""),"",IFERROR(INDEX('Qida bazası'!$E$2:$E$103,MATCH(C453,'Qida bazası'!$A$2:$A$103,0))*D453/100,"?"))</f>
        <v/>
      </c>
      <c r="G453" s="19">
        <f>IF(OR(C453="",D453=""),"",IFERROR(INDEX('Qida bazası'!$F$2:$F$103,MATCH(C453,'Qida bazası'!$A$2:$A$103,0))*D453/100,"?"))</f>
        <v/>
      </c>
      <c r="H453" s="19">
        <f>IF(OR(C453="",D453=""),"",IFERROR(INDEX('Qida bazası'!$G$2:$G$103,MATCH(C453,'Qida bazası'!$A$2:$A$103,0))*D453/100,"?"))</f>
        <v/>
      </c>
    </row>
    <row r="454">
      <c r="A454" s="21" t="n"/>
      <c r="E454" s="18">
        <f>IF(OR(C454="",D454=""),"",IFERROR(INDEX('Qida bazası'!$D$2:$D$103,MATCH(C454,'Qida bazası'!$A$2:$A$103,0))*D454/100,"?"))</f>
        <v/>
      </c>
      <c r="F454" s="19">
        <f>IF(OR(C454="",D454=""),"",IFERROR(INDEX('Qida bazası'!$E$2:$E$103,MATCH(C454,'Qida bazası'!$A$2:$A$103,0))*D454/100,"?"))</f>
        <v/>
      </c>
      <c r="G454" s="19">
        <f>IF(OR(C454="",D454=""),"",IFERROR(INDEX('Qida bazası'!$F$2:$F$103,MATCH(C454,'Qida bazası'!$A$2:$A$103,0))*D454/100,"?"))</f>
        <v/>
      </c>
      <c r="H454" s="19">
        <f>IF(OR(C454="",D454=""),"",IFERROR(INDEX('Qida bazası'!$G$2:$G$103,MATCH(C454,'Qida bazası'!$A$2:$A$103,0))*D454/100,"?"))</f>
        <v/>
      </c>
    </row>
    <row r="455">
      <c r="A455" s="21" t="n"/>
      <c r="E455" s="18">
        <f>IF(OR(C455="",D455=""),"",IFERROR(INDEX('Qida bazası'!$D$2:$D$103,MATCH(C455,'Qida bazası'!$A$2:$A$103,0))*D455/100,"?"))</f>
        <v/>
      </c>
      <c r="F455" s="19">
        <f>IF(OR(C455="",D455=""),"",IFERROR(INDEX('Qida bazası'!$E$2:$E$103,MATCH(C455,'Qida bazası'!$A$2:$A$103,0))*D455/100,"?"))</f>
        <v/>
      </c>
      <c r="G455" s="19">
        <f>IF(OR(C455="",D455=""),"",IFERROR(INDEX('Qida bazası'!$F$2:$F$103,MATCH(C455,'Qida bazası'!$A$2:$A$103,0))*D455/100,"?"))</f>
        <v/>
      </c>
      <c r="H455" s="19">
        <f>IF(OR(C455="",D455=""),"",IFERROR(INDEX('Qida bazası'!$G$2:$G$103,MATCH(C455,'Qida bazası'!$A$2:$A$103,0))*D455/100,"?"))</f>
        <v/>
      </c>
    </row>
    <row r="456">
      <c r="A456" s="21" t="n"/>
      <c r="E456" s="18">
        <f>IF(OR(C456="",D456=""),"",IFERROR(INDEX('Qida bazası'!$D$2:$D$103,MATCH(C456,'Qida bazası'!$A$2:$A$103,0))*D456/100,"?"))</f>
        <v/>
      </c>
      <c r="F456" s="19">
        <f>IF(OR(C456="",D456=""),"",IFERROR(INDEX('Qida bazası'!$E$2:$E$103,MATCH(C456,'Qida bazası'!$A$2:$A$103,0))*D456/100,"?"))</f>
        <v/>
      </c>
      <c r="G456" s="19">
        <f>IF(OR(C456="",D456=""),"",IFERROR(INDEX('Qida bazası'!$F$2:$F$103,MATCH(C456,'Qida bazası'!$A$2:$A$103,0))*D456/100,"?"))</f>
        <v/>
      </c>
      <c r="H456" s="19">
        <f>IF(OR(C456="",D456=""),"",IFERROR(INDEX('Qida bazası'!$G$2:$G$103,MATCH(C456,'Qida bazası'!$A$2:$A$103,0))*D456/100,"?"))</f>
        <v/>
      </c>
    </row>
    <row r="457">
      <c r="A457" s="21" t="n"/>
      <c r="E457" s="18">
        <f>IF(OR(C457="",D457=""),"",IFERROR(INDEX('Qida bazası'!$D$2:$D$103,MATCH(C457,'Qida bazası'!$A$2:$A$103,0))*D457/100,"?"))</f>
        <v/>
      </c>
      <c r="F457" s="19">
        <f>IF(OR(C457="",D457=""),"",IFERROR(INDEX('Qida bazası'!$E$2:$E$103,MATCH(C457,'Qida bazası'!$A$2:$A$103,0))*D457/100,"?"))</f>
        <v/>
      </c>
      <c r="G457" s="19">
        <f>IF(OR(C457="",D457=""),"",IFERROR(INDEX('Qida bazası'!$F$2:$F$103,MATCH(C457,'Qida bazası'!$A$2:$A$103,0))*D457/100,"?"))</f>
        <v/>
      </c>
      <c r="H457" s="19">
        <f>IF(OR(C457="",D457=""),"",IFERROR(INDEX('Qida bazası'!$G$2:$G$103,MATCH(C457,'Qida bazası'!$A$2:$A$103,0))*D457/100,"?"))</f>
        <v/>
      </c>
    </row>
    <row r="458">
      <c r="A458" s="21" t="n"/>
      <c r="E458" s="18">
        <f>IF(OR(C458="",D458=""),"",IFERROR(INDEX('Qida bazası'!$D$2:$D$103,MATCH(C458,'Qida bazası'!$A$2:$A$103,0))*D458/100,"?"))</f>
        <v/>
      </c>
      <c r="F458" s="19">
        <f>IF(OR(C458="",D458=""),"",IFERROR(INDEX('Qida bazası'!$E$2:$E$103,MATCH(C458,'Qida bazası'!$A$2:$A$103,0))*D458/100,"?"))</f>
        <v/>
      </c>
      <c r="G458" s="19">
        <f>IF(OR(C458="",D458=""),"",IFERROR(INDEX('Qida bazası'!$F$2:$F$103,MATCH(C458,'Qida bazası'!$A$2:$A$103,0))*D458/100,"?"))</f>
        <v/>
      </c>
      <c r="H458" s="19">
        <f>IF(OR(C458="",D458=""),"",IFERROR(INDEX('Qida bazası'!$G$2:$G$103,MATCH(C458,'Qida bazası'!$A$2:$A$103,0))*D458/100,"?"))</f>
        <v/>
      </c>
    </row>
    <row r="459">
      <c r="A459" s="21" t="n"/>
      <c r="E459" s="18">
        <f>IF(OR(C459="",D459=""),"",IFERROR(INDEX('Qida bazası'!$D$2:$D$103,MATCH(C459,'Qida bazası'!$A$2:$A$103,0))*D459/100,"?"))</f>
        <v/>
      </c>
      <c r="F459" s="19">
        <f>IF(OR(C459="",D459=""),"",IFERROR(INDEX('Qida bazası'!$E$2:$E$103,MATCH(C459,'Qida bazası'!$A$2:$A$103,0))*D459/100,"?"))</f>
        <v/>
      </c>
      <c r="G459" s="19">
        <f>IF(OR(C459="",D459=""),"",IFERROR(INDEX('Qida bazası'!$F$2:$F$103,MATCH(C459,'Qida bazası'!$A$2:$A$103,0))*D459/100,"?"))</f>
        <v/>
      </c>
      <c r="H459" s="19">
        <f>IF(OR(C459="",D459=""),"",IFERROR(INDEX('Qida bazası'!$G$2:$G$103,MATCH(C459,'Qida bazası'!$A$2:$A$103,0))*D459/100,"?"))</f>
        <v/>
      </c>
    </row>
    <row r="460">
      <c r="A460" s="21" t="n"/>
      <c r="E460" s="18">
        <f>IF(OR(C460="",D460=""),"",IFERROR(INDEX('Qida bazası'!$D$2:$D$103,MATCH(C460,'Qida bazası'!$A$2:$A$103,0))*D460/100,"?"))</f>
        <v/>
      </c>
      <c r="F460" s="19">
        <f>IF(OR(C460="",D460=""),"",IFERROR(INDEX('Qida bazası'!$E$2:$E$103,MATCH(C460,'Qida bazası'!$A$2:$A$103,0))*D460/100,"?"))</f>
        <v/>
      </c>
      <c r="G460" s="19">
        <f>IF(OR(C460="",D460=""),"",IFERROR(INDEX('Qida bazası'!$F$2:$F$103,MATCH(C460,'Qida bazası'!$A$2:$A$103,0))*D460/100,"?"))</f>
        <v/>
      </c>
      <c r="H460" s="19">
        <f>IF(OR(C460="",D460=""),"",IFERROR(INDEX('Qida bazası'!$G$2:$G$103,MATCH(C460,'Qida bazası'!$A$2:$A$103,0))*D460/100,"?"))</f>
        <v/>
      </c>
    </row>
    <row r="461">
      <c r="A461" s="21" t="n"/>
      <c r="E461" s="18">
        <f>IF(OR(C461="",D461=""),"",IFERROR(INDEX('Qida bazası'!$D$2:$D$103,MATCH(C461,'Qida bazası'!$A$2:$A$103,0))*D461/100,"?"))</f>
        <v/>
      </c>
      <c r="F461" s="19">
        <f>IF(OR(C461="",D461=""),"",IFERROR(INDEX('Qida bazası'!$E$2:$E$103,MATCH(C461,'Qida bazası'!$A$2:$A$103,0))*D461/100,"?"))</f>
        <v/>
      </c>
      <c r="G461" s="19">
        <f>IF(OR(C461="",D461=""),"",IFERROR(INDEX('Qida bazası'!$F$2:$F$103,MATCH(C461,'Qida bazası'!$A$2:$A$103,0))*D461/100,"?"))</f>
        <v/>
      </c>
      <c r="H461" s="19">
        <f>IF(OR(C461="",D461=""),"",IFERROR(INDEX('Qida bazası'!$G$2:$G$103,MATCH(C461,'Qida bazası'!$A$2:$A$103,0))*D461/100,"?"))</f>
        <v/>
      </c>
    </row>
    <row r="462">
      <c r="A462" s="21" t="n"/>
      <c r="E462" s="18">
        <f>IF(OR(C462="",D462=""),"",IFERROR(INDEX('Qida bazası'!$D$2:$D$103,MATCH(C462,'Qida bazası'!$A$2:$A$103,0))*D462/100,"?"))</f>
        <v/>
      </c>
      <c r="F462" s="19">
        <f>IF(OR(C462="",D462=""),"",IFERROR(INDEX('Qida bazası'!$E$2:$E$103,MATCH(C462,'Qida bazası'!$A$2:$A$103,0))*D462/100,"?"))</f>
        <v/>
      </c>
      <c r="G462" s="19">
        <f>IF(OR(C462="",D462=""),"",IFERROR(INDEX('Qida bazası'!$F$2:$F$103,MATCH(C462,'Qida bazası'!$A$2:$A$103,0))*D462/100,"?"))</f>
        <v/>
      </c>
      <c r="H462" s="19">
        <f>IF(OR(C462="",D462=""),"",IFERROR(INDEX('Qida bazası'!$G$2:$G$103,MATCH(C462,'Qida bazası'!$A$2:$A$103,0))*D462/100,"?"))</f>
        <v/>
      </c>
    </row>
    <row r="463">
      <c r="A463" s="21" t="n"/>
      <c r="E463" s="18">
        <f>IF(OR(C463="",D463=""),"",IFERROR(INDEX('Qida bazası'!$D$2:$D$103,MATCH(C463,'Qida bazası'!$A$2:$A$103,0))*D463/100,"?"))</f>
        <v/>
      </c>
      <c r="F463" s="19">
        <f>IF(OR(C463="",D463=""),"",IFERROR(INDEX('Qida bazası'!$E$2:$E$103,MATCH(C463,'Qida bazası'!$A$2:$A$103,0))*D463/100,"?"))</f>
        <v/>
      </c>
      <c r="G463" s="19">
        <f>IF(OR(C463="",D463=""),"",IFERROR(INDEX('Qida bazası'!$F$2:$F$103,MATCH(C463,'Qida bazası'!$A$2:$A$103,0))*D463/100,"?"))</f>
        <v/>
      </c>
      <c r="H463" s="19">
        <f>IF(OR(C463="",D463=""),"",IFERROR(INDEX('Qida bazası'!$G$2:$G$103,MATCH(C463,'Qida bazası'!$A$2:$A$103,0))*D463/100,"?"))</f>
        <v/>
      </c>
    </row>
    <row r="464">
      <c r="A464" s="21" t="n"/>
      <c r="E464" s="18">
        <f>IF(OR(C464="",D464=""),"",IFERROR(INDEX('Qida bazası'!$D$2:$D$103,MATCH(C464,'Qida bazası'!$A$2:$A$103,0))*D464/100,"?"))</f>
        <v/>
      </c>
      <c r="F464" s="19">
        <f>IF(OR(C464="",D464=""),"",IFERROR(INDEX('Qida bazası'!$E$2:$E$103,MATCH(C464,'Qida bazası'!$A$2:$A$103,0))*D464/100,"?"))</f>
        <v/>
      </c>
      <c r="G464" s="19">
        <f>IF(OR(C464="",D464=""),"",IFERROR(INDEX('Qida bazası'!$F$2:$F$103,MATCH(C464,'Qida bazası'!$A$2:$A$103,0))*D464/100,"?"))</f>
        <v/>
      </c>
      <c r="H464" s="19">
        <f>IF(OR(C464="",D464=""),"",IFERROR(INDEX('Qida bazası'!$G$2:$G$103,MATCH(C464,'Qida bazası'!$A$2:$A$103,0))*D464/100,"?"))</f>
        <v/>
      </c>
    </row>
    <row r="465">
      <c r="A465" s="21" t="n"/>
      <c r="E465" s="18">
        <f>IF(OR(C465="",D465=""),"",IFERROR(INDEX('Qida bazası'!$D$2:$D$103,MATCH(C465,'Qida bazası'!$A$2:$A$103,0))*D465/100,"?"))</f>
        <v/>
      </c>
      <c r="F465" s="19">
        <f>IF(OR(C465="",D465=""),"",IFERROR(INDEX('Qida bazası'!$E$2:$E$103,MATCH(C465,'Qida bazası'!$A$2:$A$103,0))*D465/100,"?"))</f>
        <v/>
      </c>
      <c r="G465" s="19">
        <f>IF(OR(C465="",D465=""),"",IFERROR(INDEX('Qida bazası'!$F$2:$F$103,MATCH(C465,'Qida bazası'!$A$2:$A$103,0))*D465/100,"?"))</f>
        <v/>
      </c>
      <c r="H465" s="19">
        <f>IF(OR(C465="",D465=""),"",IFERROR(INDEX('Qida bazası'!$G$2:$G$103,MATCH(C465,'Qida bazası'!$A$2:$A$103,0))*D465/100,"?"))</f>
        <v/>
      </c>
    </row>
    <row r="466">
      <c r="A466" s="21" t="n"/>
      <c r="E466" s="18">
        <f>IF(OR(C466="",D466=""),"",IFERROR(INDEX('Qida bazası'!$D$2:$D$103,MATCH(C466,'Qida bazası'!$A$2:$A$103,0))*D466/100,"?"))</f>
        <v/>
      </c>
      <c r="F466" s="19">
        <f>IF(OR(C466="",D466=""),"",IFERROR(INDEX('Qida bazası'!$E$2:$E$103,MATCH(C466,'Qida bazası'!$A$2:$A$103,0))*D466/100,"?"))</f>
        <v/>
      </c>
      <c r="G466" s="19">
        <f>IF(OR(C466="",D466=""),"",IFERROR(INDEX('Qida bazası'!$F$2:$F$103,MATCH(C466,'Qida bazası'!$A$2:$A$103,0))*D466/100,"?"))</f>
        <v/>
      </c>
      <c r="H466" s="19">
        <f>IF(OR(C466="",D466=""),"",IFERROR(INDEX('Qida bazası'!$G$2:$G$103,MATCH(C466,'Qida bazası'!$A$2:$A$103,0))*D466/100,"?"))</f>
        <v/>
      </c>
    </row>
    <row r="467">
      <c r="A467" s="21" t="n"/>
      <c r="E467" s="18">
        <f>IF(OR(C467="",D467=""),"",IFERROR(INDEX('Qida bazası'!$D$2:$D$103,MATCH(C467,'Qida bazası'!$A$2:$A$103,0))*D467/100,"?"))</f>
        <v/>
      </c>
      <c r="F467" s="19">
        <f>IF(OR(C467="",D467=""),"",IFERROR(INDEX('Qida bazası'!$E$2:$E$103,MATCH(C467,'Qida bazası'!$A$2:$A$103,0))*D467/100,"?"))</f>
        <v/>
      </c>
      <c r="G467" s="19">
        <f>IF(OR(C467="",D467=""),"",IFERROR(INDEX('Qida bazası'!$F$2:$F$103,MATCH(C467,'Qida bazası'!$A$2:$A$103,0))*D467/100,"?"))</f>
        <v/>
      </c>
      <c r="H467" s="19">
        <f>IF(OR(C467="",D467=""),"",IFERROR(INDEX('Qida bazası'!$G$2:$G$103,MATCH(C467,'Qida bazası'!$A$2:$A$103,0))*D467/100,"?"))</f>
        <v/>
      </c>
    </row>
    <row r="468">
      <c r="A468" s="21" t="n"/>
      <c r="E468" s="18">
        <f>IF(OR(C468="",D468=""),"",IFERROR(INDEX('Qida bazası'!$D$2:$D$103,MATCH(C468,'Qida bazası'!$A$2:$A$103,0))*D468/100,"?"))</f>
        <v/>
      </c>
      <c r="F468" s="19">
        <f>IF(OR(C468="",D468=""),"",IFERROR(INDEX('Qida bazası'!$E$2:$E$103,MATCH(C468,'Qida bazası'!$A$2:$A$103,0))*D468/100,"?"))</f>
        <v/>
      </c>
      <c r="G468" s="19">
        <f>IF(OR(C468="",D468=""),"",IFERROR(INDEX('Qida bazası'!$F$2:$F$103,MATCH(C468,'Qida bazası'!$A$2:$A$103,0))*D468/100,"?"))</f>
        <v/>
      </c>
      <c r="H468" s="19">
        <f>IF(OR(C468="",D468=""),"",IFERROR(INDEX('Qida bazası'!$G$2:$G$103,MATCH(C468,'Qida bazası'!$A$2:$A$103,0))*D468/100,"?"))</f>
        <v/>
      </c>
    </row>
    <row r="469">
      <c r="A469" s="21" t="n"/>
      <c r="E469" s="18">
        <f>IF(OR(C469="",D469=""),"",IFERROR(INDEX('Qida bazası'!$D$2:$D$103,MATCH(C469,'Qida bazası'!$A$2:$A$103,0))*D469/100,"?"))</f>
        <v/>
      </c>
      <c r="F469" s="19">
        <f>IF(OR(C469="",D469=""),"",IFERROR(INDEX('Qida bazası'!$E$2:$E$103,MATCH(C469,'Qida bazası'!$A$2:$A$103,0))*D469/100,"?"))</f>
        <v/>
      </c>
      <c r="G469" s="19">
        <f>IF(OR(C469="",D469=""),"",IFERROR(INDEX('Qida bazası'!$F$2:$F$103,MATCH(C469,'Qida bazası'!$A$2:$A$103,0))*D469/100,"?"))</f>
        <v/>
      </c>
      <c r="H469" s="19">
        <f>IF(OR(C469="",D469=""),"",IFERROR(INDEX('Qida bazası'!$G$2:$G$103,MATCH(C469,'Qida bazası'!$A$2:$A$103,0))*D469/100,"?"))</f>
        <v/>
      </c>
    </row>
    <row r="470">
      <c r="A470" s="21" t="n"/>
      <c r="E470" s="18">
        <f>IF(OR(C470="",D470=""),"",IFERROR(INDEX('Qida bazası'!$D$2:$D$103,MATCH(C470,'Qida bazası'!$A$2:$A$103,0))*D470/100,"?"))</f>
        <v/>
      </c>
      <c r="F470" s="19">
        <f>IF(OR(C470="",D470=""),"",IFERROR(INDEX('Qida bazası'!$E$2:$E$103,MATCH(C470,'Qida bazası'!$A$2:$A$103,0))*D470/100,"?"))</f>
        <v/>
      </c>
      <c r="G470" s="19">
        <f>IF(OR(C470="",D470=""),"",IFERROR(INDEX('Qida bazası'!$F$2:$F$103,MATCH(C470,'Qida bazası'!$A$2:$A$103,0))*D470/100,"?"))</f>
        <v/>
      </c>
      <c r="H470" s="19">
        <f>IF(OR(C470="",D470=""),"",IFERROR(INDEX('Qida bazası'!$G$2:$G$103,MATCH(C470,'Qida bazası'!$A$2:$A$103,0))*D470/100,"?"))</f>
        <v/>
      </c>
    </row>
    <row r="471">
      <c r="A471" s="21" t="n"/>
      <c r="E471" s="18">
        <f>IF(OR(C471="",D471=""),"",IFERROR(INDEX('Qida bazası'!$D$2:$D$103,MATCH(C471,'Qida bazası'!$A$2:$A$103,0))*D471/100,"?"))</f>
        <v/>
      </c>
      <c r="F471" s="19">
        <f>IF(OR(C471="",D471=""),"",IFERROR(INDEX('Qida bazası'!$E$2:$E$103,MATCH(C471,'Qida bazası'!$A$2:$A$103,0))*D471/100,"?"))</f>
        <v/>
      </c>
      <c r="G471" s="19">
        <f>IF(OR(C471="",D471=""),"",IFERROR(INDEX('Qida bazası'!$F$2:$F$103,MATCH(C471,'Qida bazası'!$A$2:$A$103,0))*D471/100,"?"))</f>
        <v/>
      </c>
      <c r="H471" s="19">
        <f>IF(OR(C471="",D471=""),"",IFERROR(INDEX('Qida bazası'!$G$2:$G$103,MATCH(C471,'Qida bazası'!$A$2:$A$103,0))*D471/100,"?"))</f>
        <v/>
      </c>
    </row>
    <row r="472">
      <c r="A472" s="21" t="n"/>
      <c r="E472" s="18">
        <f>IF(OR(C472="",D472=""),"",IFERROR(INDEX('Qida bazası'!$D$2:$D$103,MATCH(C472,'Qida bazası'!$A$2:$A$103,0))*D472/100,"?"))</f>
        <v/>
      </c>
      <c r="F472" s="19">
        <f>IF(OR(C472="",D472=""),"",IFERROR(INDEX('Qida bazası'!$E$2:$E$103,MATCH(C472,'Qida bazası'!$A$2:$A$103,0))*D472/100,"?"))</f>
        <v/>
      </c>
      <c r="G472" s="19">
        <f>IF(OR(C472="",D472=""),"",IFERROR(INDEX('Qida bazası'!$F$2:$F$103,MATCH(C472,'Qida bazası'!$A$2:$A$103,0))*D472/100,"?"))</f>
        <v/>
      </c>
      <c r="H472" s="19">
        <f>IF(OR(C472="",D472=""),"",IFERROR(INDEX('Qida bazası'!$G$2:$G$103,MATCH(C472,'Qida bazası'!$A$2:$A$103,0))*D472/100,"?"))</f>
        <v/>
      </c>
    </row>
    <row r="473">
      <c r="A473" s="21" t="n"/>
      <c r="E473" s="18">
        <f>IF(OR(C473="",D473=""),"",IFERROR(INDEX('Qida bazası'!$D$2:$D$103,MATCH(C473,'Qida bazası'!$A$2:$A$103,0))*D473/100,"?"))</f>
        <v/>
      </c>
      <c r="F473" s="19">
        <f>IF(OR(C473="",D473=""),"",IFERROR(INDEX('Qida bazası'!$E$2:$E$103,MATCH(C473,'Qida bazası'!$A$2:$A$103,0))*D473/100,"?"))</f>
        <v/>
      </c>
      <c r="G473" s="19">
        <f>IF(OR(C473="",D473=""),"",IFERROR(INDEX('Qida bazası'!$F$2:$F$103,MATCH(C473,'Qida bazası'!$A$2:$A$103,0))*D473/100,"?"))</f>
        <v/>
      </c>
      <c r="H473" s="19">
        <f>IF(OR(C473="",D473=""),"",IFERROR(INDEX('Qida bazası'!$G$2:$G$103,MATCH(C473,'Qida bazası'!$A$2:$A$103,0))*D473/100,"?"))</f>
        <v/>
      </c>
    </row>
    <row r="474">
      <c r="A474" s="21" t="n"/>
      <c r="E474" s="18">
        <f>IF(OR(C474="",D474=""),"",IFERROR(INDEX('Qida bazası'!$D$2:$D$103,MATCH(C474,'Qida bazası'!$A$2:$A$103,0))*D474/100,"?"))</f>
        <v/>
      </c>
      <c r="F474" s="19">
        <f>IF(OR(C474="",D474=""),"",IFERROR(INDEX('Qida bazası'!$E$2:$E$103,MATCH(C474,'Qida bazası'!$A$2:$A$103,0))*D474/100,"?"))</f>
        <v/>
      </c>
      <c r="G474" s="19">
        <f>IF(OR(C474="",D474=""),"",IFERROR(INDEX('Qida bazası'!$F$2:$F$103,MATCH(C474,'Qida bazası'!$A$2:$A$103,0))*D474/100,"?"))</f>
        <v/>
      </c>
      <c r="H474" s="19">
        <f>IF(OR(C474="",D474=""),"",IFERROR(INDEX('Qida bazası'!$G$2:$G$103,MATCH(C474,'Qida bazası'!$A$2:$A$103,0))*D474/100,"?"))</f>
        <v/>
      </c>
    </row>
    <row r="475">
      <c r="A475" s="21" t="n"/>
      <c r="E475" s="18">
        <f>IF(OR(C475="",D475=""),"",IFERROR(INDEX('Qida bazası'!$D$2:$D$103,MATCH(C475,'Qida bazası'!$A$2:$A$103,0))*D475/100,"?"))</f>
        <v/>
      </c>
      <c r="F475" s="19">
        <f>IF(OR(C475="",D475=""),"",IFERROR(INDEX('Qida bazası'!$E$2:$E$103,MATCH(C475,'Qida bazası'!$A$2:$A$103,0))*D475/100,"?"))</f>
        <v/>
      </c>
      <c r="G475" s="19">
        <f>IF(OR(C475="",D475=""),"",IFERROR(INDEX('Qida bazası'!$F$2:$F$103,MATCH(C475,'Qida bazası'!$A$2:$A$103,0))*D475/100,"?"))</f>
        <v/>
      </c>
      <c r="H475" s="19">
        <f>IF(OR(C475="",D475=""),"",IFERROR(INDEX('Qida bazası'!$G$2:$G$103,MATCH(C475,'Qida bazası'!$A$2:$A$103,0))*D475/100,"?"))</f>
        <v/>
      </c>
    </row>
    <row r="476">
      <c r="A476" s="21" t="n"/>
      <c r="E476" s="18">
        <f>IF(OR(C476="",D476=""),"",IFERROR(INDEX('Qida bazası'!$D$2:$D$103,MATCH(C476,'Qida bazası'!$A$2:$A$103,0))*D476/100,"?"))</f>
        <v/>
      </c>
      <c r="F476" s="19">
        <f>IF(OR(C476="",D476=""),"",IFERROR(INDEX('Qida bazası'!$E$2:$E$103,MATCH(C476,'Qida bazası'!$A$2:$A$103,0))*D476/100,"?"))</f>
        <v/>
      </c>
      <c r="G476" s="19">
        <f>IF(OR(C476="",D476=""),"",IFERROR(INDEX('Qida bazası'!$F$2:$F$103,MATCH(C476,'Qida bazası'!$A$2:$A$103,0))*D476/100,"?"))</f>
        <v/>
      </c>
      <c r="H476" s="19">
        <f>IF(OR(C476="",D476=""),"",IFERROR(INDEX('Qida bazası'!$G$2:$G$103,MATCH(C476,'Qida bazası'!$A$2:$A$103,0))*D476/100,"?"))</f>
        <v/>
      </c>
    </row>
    <row r="477">
      <c r="A477" s="21" t="n"/>
      <c r="E477" s="18">
        <f>IF(OR(C477="",D477=""),"",IFERROR(INDEX('Qida bazası'!$D$2:$D$103,MATCH(C477,'Qida bazası'!$A$2:$A$103,0))*D477/100,"?"))</f>
        <v/>
      </c>
      <c r="F477" s="19">
        <f>IF(OR(C477="",D477=""),"",IFERROR(INDEX('Qida bazası'!$E$2:$E$103,MATCH(C477,'Qida bazası'!$A$2:$A$103,0))*D477/100,"?"))</f>
        <v/>
      </c>
      <c r="G477" s="19">
        <f>IF(OR(C477="",D477=""),"",IFERROR(INDEX('Qida bazası'!$F$2:$F$103,MATCH(C477,'Qida bazası'!$A$2:$A$103,0))*D477/100,"?"))</f>
        <v/>
      </c>
      <c r="H477" s="19">
        <f>IF(OR(C477="",D477=""),"",IFERROR(INDEX('Qida bazası'!$G$2:$G$103,MATCH(C477,'Qida bazası'!$A$2:$A$103,0))*D477/100,"?"))</f>
        <v/>
      </c>
    </row>
    <row r="478">
      <c r="A478" s="21" t="n"/>
      <c r="E478" s="18">
        <f>IF(OR(C478="",D478=""),"",IFERROR(INDEX('Qida bazası'!$D$2:$D$103,MATCH(C478,'Qida bazası'!$A$2:$A$103,0))*D478/100,"?"))</f>
        <v/>
      </c>
      <c r="F478" s="19">
        <f>IF(OR(C478="",D478=""),"",IFERROR(INDEX('Qida bazası'!$E$2:$E$103,MATCH(C478,'Qida bazası'!$A$2:$A$103,0))*D478/100,"?"))</f>
        <v/>
      </c>
      <c r="G478" s="19">
        <f>IF(OR(C478="",D478=""),"",IFERROR(INDEX('Qida bazası'!$F$2:$F$103,MATCH(C478,'Qida bazası'!$A$2:$A$103,0))*D478/100,"?"))</f>
        <v/>
      </c>
      <c r="H478" s="19">
        <f>IF(OR(C478="",D478=""),"",IFERROR(INDEX('Qida bazası'!$G$2:$G$103,MATCH(C478,'Qida bazası'!$A$2:$A$103,0))*D478/100,"?"))</f>
        <v/>
      </c>
    </row>
    <row r="479">
      <c r="A479" s="21" t="n"/>
      <c r="E479" s="18">
        <f>IF(OR(C479="",D479=""),"",IFERROR(INDEX('Qida bazası'!$D$2:$D$103,MATCH(C479,'Qida bazası'!$A$2:$A$103,0))*D479/100,"?"))</f>
        <v/>
      </c>
      <c r="F479" s="19">
        <f>IF(OR(C479="",D479=""),"",IFERROR(INDEX('Qida bazası'!$E$2:$E$103,MATCH(C479,'Qida bazası'!$A$2:$A$103,0))*D479/100,"?"))</f>
        <v/>
      </c>
      <c r="G479" s="19">
        <f>IF(OR(C479="",D479=""),"",IFERROR(INDEX('Qida bazası'!$F$2:$F$103,MATCH(C479,'Qida bazası'!$A$2:$A$103,0))*D479/100,"?"))</f>
        <v/>
      </c>
      <c r="H479" s="19">
        <f>IF(OR(C479="",D479=""),"",IFERROR(INDEX('Qida bazası'!$G$2:$G$103,MATCH(C479,'Qida bazası'!$A$2:$A$103,0))*D479/100,"?"))</f>
        <v/>
      </c>
    </row>
    <row r="480">
      <c r="A480" s="21" t="n"/>
      <c r="E480" s="18">
        <f>IF(OR(C480="",D480=""),"",IFERROR(INDEX('Qida bazası'!$D$2:$D$103,MATCH(C480,'Qida bazası'!$A$2:$A$103,0))*D480/100,"?"))</f>
        <v/>
      </c>
      <c r="F480" s="19">
        <f>IF(OR(C480="",D480=""),"",IFERROR(INDEX('Qida bazası'!$E$2:$E$103,MATCH(C480,'Qida bazası'!$A$2:$A$103,0))*D480/100,"?"))</f>
        <v/>
      </c>
      <c r="G480" s="19">
        <f>IF(OR(C480="",D480=""),"",IFERROR(INDEX('Qida bazası'!$F$2:$F$103,MATCH(C480,'Qida bazası'!$A$2:$A$103,0))*D480/100,"?"))</f>
        <v/>
      </c>
      <c r="H480" s="19">
        <f>IF(OR(C480="",D480=""),"",IFERROR(INDEX('Qida bazası'!$G$2:$G$103,MATCH(C480,'Qida bazası'!$A$2:$A$103,0))*D480/100,"?"))</f>
        <v/>
      </c>
    </row>
    <row r="481">
      <c r="A481" s="21" t="n"/>
      <c r="E481" s="18">
        <f>IF(OR(C481="",D481=""),"",IFERROR(INDEX('Qida bazası'!$D$2:$D$103,MATCH(C481,'Qida bazası'!$A$2:$A$103,0))*D481/100,"?"))</f>
        <v/>
      </c>
      <c r="F481" s="19">
        <f>IF(OR(C481="",D481=""),"",IFERROR(INDEX('Qida bazası'!$E$2:$E$103,MATCH(C481,'Qida bazası'!$A$2:$A$103,0))*D481/100,"?"))</f>
        <v/>
      </c>
      <c r="G481" s="19">
        <f>IF(OR(C481="",D481=""),"",IFERROR(INDEX('Qida bazası'!$F$2:$F$103,MATCH(C481,'Qida bazası'!$A$2:$A$103,0))*D481/100,"?"))</f>
        <v/>
      </c>
      <c r="H481" s="19">
        <f>IF(OR(C481="",D481=""),"",IFERROR(INDEX('Qida bazası'!$G$2:$G$103,MATCH(C481,'Qida bazası'!$A$2:$A$103,0))*D481/100,"?"))</f>
        <v/>
      </c>
    </row>
    <row r="482">
      <c r="A482" s="21" t="n"/>
      <c r="E482" s="18">
        <f>IF(OR(C482="",D482=""),"",IFERROR(INDEX('Qida bazası'!$D$2:$D$103,MATCH(C482,'Qida bazası'!$A$2:$A$103,0))*D482/100,"?"))</f>
        <v/>
      </c>
      <c r="F482" s="19">
        <f>IF(OR(C482="",D482=""),"",IFERROR(INDEX('Qida bazası'!$E$2:$E$103,MATCH(C482,'Qida bazası'!$A$2:$A$103,0))*D482/100,"?"))</f>
        <v/>
      </c>
      <c r="G482" s="19">
        <f>IF(OR(C482="",D482=""),"",IFERROR(INDEX('Qida bazası'!$F$2:$F$103,MATCH(C482,'Qida bazası'!$A$2:$A$103,0))*D482/100,"?"))</f>
        <v/>
      </c>
      <c r="H482" s="19">
        <f>IF(OR(C482="",D482=""),"",IFERROR(INDEX('Qida bazası'!$G$2:$G$103,MATCH(C482,'Qida bazası'!$A$2:$A$103,0))*D482/100,"?"))</f>
        <v/>
      </c>
    </row>
    <row r="483">
      <c r="A483" s="21" t="n"/>
      <c r="E483" s="18">
        <f>IF(OR(C483="",D483=""),"",IFERROR(INDEX('Qida bazası'!$D$2:$D$103,MATCH(C483,'Qida bazası'!$A$2:$A$103,0))*D483/100,"?"))</f>
        <v/>
      </c>
      <c r="F483" s="19">
        <f>IF(OR(C483="",D483=""),"",IFERROR(INDEX('Qida bazası'!$E$2:$E$103,MATCH(C483,'Qida bazası'!$A$2:$A$103,0))*D483/100,"?"))</f>
        <v/>
      </c>
      <c r="G483" s="19">
        <f>IF(OR(C483="",D483=""),"",IFERROR(INDEX('Qida bazası'!$F$2:$F$103,MATCH(C483,'Qida bazası'!$A$2:$A$103,0))*D483/100,"?"))</f>
        <v/>
      </c>
      <c r="H483" s="19">
        <f>IF(OR(C483="",D483=""),"",IFERROR(INDEX('Qida bazası'!$G$2:$G$103,MATCH(C483,'Qida bazası'!$A$2:$A$103,0))*D483/100,"?"))</f>
        <v/>
      </c>
    </row>
    <row r="484">
      <c r="A484" s="21" t="n"/>
      <c r="E484" s="18">
        <f>IF(OR(C484="",D484=""),"",IFERROR(INDEX('Qida bazası'!$D$2:$D$103,MATCH(C484,'Qida bazası'!$A$2:$A$103,0))*D484/100,"?"))</f>
        <v/>
      </c>
      <c r="F484" s="19">
        <f>IF(OR(C484="",D484=""),"",IFERROR(INDEX('Qida bazası'!$E$2:$E$103,MATCH(C484,'Qida bazası'!$A$2:$A$103,0))*D484/100,"?"))</f>
        <v/>
      </c>
      <c r="G484" s="19">
        <f>IF(OR(C484="",D484=""),"",IFERROR(INDEX('Qida bazası'!$F$2:$F$103,MATCH(C484,'Qida bazası'!$A$2:$A$103,0))*D484/100,"?"))</f>
        <v/>
      </c>
      <c r="H484" s="19">
        <f>IF(OR(C484="",D484=""),"",IFERROR(INDEX('Qida bazası'!$G$2:$G$103,MATCH(C484,'Qida bazası'!$A$2:$A$103,0))*D484/100,"?"))</f>
        <v/>
      </c>
    </row>
    <row r="485">
      <c r="A485" s="21" t="n"/>
      <c r="E485" s="18">
        <f>IF(OR(C485="",D485=""),"",IFERROR(INDEX('Qida bazası'!$D$2:$D$103,MATCH(C485,'Qida bazası'!$A$2:$A$103,0))*D485/100,"?"))</f>
        <v/>
      </c>
      <c r="F485" s="19">
        <f>IF(OR(C485="",D485=""),"",IFERROR(INDEX('Qida bazası'!$E$2:$E$103,MATCH(C485,'Qida bazası'!$A$2:$A$103,0))*D485/100,"?"))</f>
        <v/>
      </c>
      <c r="G485" s="19">
        <f>IF(OR(C485="",D485=""),"",IFERROR(INDEX('Qida bazası'!$F$2:$F$103,MATCH(C485,'Qida bazası'!$A$2:$A$103,0))*D485/100,"?"))</f>
        <v/>
      </c>
      <c r="H485" s="19">
        <f>IF(OR(C485="",D485=""),"",IFERROR(INDEX('Qida bazası'!$G$2:$G$103,MATCH(C485,'Qida bazası'!$A$2:$A$103,0))*D485/100,"?"))</f>
        <v/>
      </c>
    </row>
    <row r="486">
      <c r="A486" s="21" t="n"/>
      <c r="E486" s="18">
        <f>IF(OR(C486="",D486=""),"",IFERROR(INDEX('Qida bazası'!$D$2:$D$103,MATCH(C486,'Qida bazası'!$A$2:$A$103,0))*D486/100,"?"))</f>
        <v/>
      </c>
      <c r="F486" s="19">
        <f>IF(OR(C486="",D486=""),"",IFERROR(INDEX('Qida bazası'!$E$2:$E$103,MATCH(C486,'Qida bazası'!$A$2:$A$103,0))*D486/100,"?"))</f>
        <v/>
      </c>
      <c r="G486" s="19">
        <f>IF(OR(C486="",D486=""),"",IFERROR(INDEX('Qida bazası'!$F$2:$F$103,MATCH(C486,'Qida bazası'!$A$2:$A$103,0))*D486/100,"?"))</f>
        <v/>
      </c>
      <c r="H486" s="19">
        <f>IF(OR(C486="",D486=""),"",IFERROR(INDEX('Qida bazası'!$G$2:$G$103,MATCH(C486,'Qida bazası'!$A$2:$A$103,0))*D486/100,"?"))</f>
        <v/>
      </c>
    </row>
    <row r="487">
      <c r="A487" s="21" t="n"/>
      <c r="E487" s="18">
        <f>IF(OR(C487="",D487=""),"",IFERROR(INDEX('Qida bazası'!$D$2:$D$103,MATCH(C487,'Qida bazası'!$A$2:$A$103,0))*D487/100,"?"))</f>
        <v/>
      </c>
      <c r="F487" s="19">
        <f>IF(OR(C487="",D487=""),"",IFERROR(INDEX('Qida bazası'!$E$2:$E$103,MATCH(C487,'Qida bazası'!$A$2:$A$103,0))*D487/100,"?"))</f>
        <v/>
      </c>
      <c r="G487" s="19">
        <f>IF(OR(C487="",D487=""),"",IFERROR(INDEX('Qida bazası'!$F$2:$F$103,MATCH(C487,'Qida bazası'!$A$2:$A$103,0))*D487/100,"?"))</f>
        <v/>
      </c>
      <c r="H487" s="19">
        <f>IF(OR(C487="",D487=""),"",IFERROR(INDEX('Qida bazası'!$G$2:$G$103,MATCH(C487,'Qida bazası'!$A$2:$A$103,0))*D487/100,"?"))</f>
        <v/>
      </c>
    </row>
    <row r="488">
      <c r="A488" s="21" t="n"/>
      <c r="E488" s="18">
        <f>IF(OR(C488="",D488=""),"",IFERROR(INDEX('Qida bazası'!$D$2:$D$103,MATCH(C488,'Qida bazası'!$A$2:$A$103,0))*D488/100,"?"))</f>
        <v/>
      </c>
      <c r="F488" s="19">
        <f>IF(OR(C488="",D488=""),"",IFERROR(INDEX('Qida bazası'!$E$2:$E$103,MATCH(C488,'Qida bazası'!$A$2:$A$103,0))*D488/100,"?"))</f>
        <v/>
      </c>
      <c r="G488" s="19">
        <f>IF(OR(C488="",D488=""),"",IFERROR(INDEX('Qida bazası'!$F$2:$F$103,MATCH(C488,'Qida bazası'!$A$2:$A$103,0))*D488/100,"?"))</f>
        <v/>
      </c>
      <c r="H488" s="19">
        <f>IF(OR(C488="",D488=""),"",IFERROR(INDEX('Qida bazası'!$G$2:$G$103,MATCH(C488,'Qida bazası'!$A$2:$A$103,0))*D488/100,"?"))</f>
        <v/>
      </c>
    </row>
    <row r="489">
      <c r="A489" s="21" t="n"/>
      <c r="E489" s="18">
        <f>IF(OR(C489="",D489=""),"",IFERROR(INDEX('Qida bazası'!$D$2:$D$103,MATCH(C489,'Qida bazası'!$A$2:$A$103,0))*D489/100,"?"))</f>
        <v/>
      </c>
      <c r="F489" s="19">
        <f>IF(OR(C489="",D489=""),"",IFERROR(INDEX('Qida bazası'!$E$2:$E$103,MATCH(C489,'Qida bazası'!$A$2:$A$103,0))*D489/100,"?"))</f>
        <v/>
      </c>
      <c r="G489" s="19">
        <f>IF(OR(C489="",D489=""),"",IFERROR(INDEX('Qida bazası'!$F$2:$F$103,MATCH(C489,'Qida bazası'!$A$2:$A$103,0))*D489/100,"?"))</f>
        <v/>
      </c>
      <c r="H489" s="19">
        <f>IF(OR(C489="",D489=""),"",IFERROR(INDEX('Qida bazası'!$G$2:$G$103,MATCH(C489,'Qida bazası'!$A$2:$A$103,0))*D489/100,"?"))</f>
        <v/>
      </c>
    </row>
    <row r="490">
      <c r="A490" s="21" t="n"/>
      <c r="E490" s="18">
        <f>IF(OR(C490="",D490=""),"",IFERROR(INDEX('Qida bazası'!$D$2:$D$103,MATCH(C490,'Qida bazası'!$A$2:$A$103,0))*D490/100,"?"))</f>
        <v/>
      </c>
      <c r="F490" s="19">
        <f>IF(OR(C490="",D490=""),"",IFERROR(INDEX('Qida bazası'!$E$2:$E$103,MATCH(C490,'Qida bazası'!$A$2:$A$103,0))*D490/100,"?"))</f>
        <v/>
      </c>
      <c r="G490" s="19">
        <f>IF(OR(C490="",D490=""),"",IFERROR(INDEX('Qida bazası'!$F$2:$F$103,MATCH(C490,'Qida bazası'!$A$2:$A$103,0))*D490/100,"?"))</f>
        <v/>
      </c>
      <c r="H490" s="19">
        <f>IF(OR(C490="",D490=""),"",IFERROR(INDEX('Qida bazası'!$G$2:$G$103,MATCH(C490,'Qida bazası'!$A$2:$A$103,0))*D490/100,"?"))</f>
        <v/>
      </c>
    </row>
    <row r="491">
      <c r="A491" s="21" t="n"/>
      <c r="E491" s="18">
        <f>IF(OR(C491="",D491=""),"",IFERROR(INDEX('Qida bazası'!$D$2:$D$103,MATCH(C491,'Qida bazası'!$A$2:$A$103,0))*D491/100,"?"))</f>
        <v/>
      </c>
      <c r="F491" s="19">
        <f>IF(OR(C491="",D491=""),"",IFERROR(INDEX('Qida bazası'!$E$2:$E$103,MATCH(C491,'Qida bazası'!$A$2:$A$103,0))*D491/100,"?"))</f>
        <v/>
      </c>
      <c r="G491" s="19">
        <f>IF(OR(C491="",D491=""),"",IFERROR(INDEX('Qida bazası'!$F$2:$F$103,MATCH(C491,'Qida bazası'!$A$2:$A$103,0))*D491/100,"?"))</f>
        <v/>
      </c>
      <c r="H491" s="19">
        <f>IF(OR(C491="",D491=""),"",IFERROR(INDEX('Qida bazası'!$G$2:$G$103,MATCH(C491,'Qida bazası'!$A$2:$A$103,0))*D491/100,"?"))</f>
        <v/>
      </c>
    </row>
    <row r="492">
      <c r="A492" s="21" t="n"/>
      <c r="E492" s="18">
        <f>IF(OR(C492="",D492=""),"",IFERROR(INDEX('Qida bazası'!$D$2:$D$103,MATCH(C492,'Qida bazası'!$A$2:$A$103,0))*D492/100,"?"))</f>
        <v/>
      </c>
      <c r="F492" s="19">
        <f>IF(OR(C492="",D492=""),"",IFERROR(INDEX('Qida bazası'!$E$2:$E$103,MATCH(C492,'Qida bazası'!$A$2:$A$103,0))*D492/100,"?"))</f>
        <v/>
      </c>
      <c r="G492" s="19">
        <f>IF(OR(C492="",D492=""),"",IFERROR(INDEX('Qida bazası'!$F$2:$F$103,MATCH(C492,'Qida bazası'!$A$2:$A$103,0))*D492/100,"?"))</f>
        <v/>
      </c>
      <c r="H492" s="19">
        <f>IF(OR(C492="",D492=""),"",IFERROR(INDEX('Qida bazası'!$G$2:$G$103,MATCH(C492,'Qida bazası'!$A$2:$A$103,0))*D492/100,"?"))</f>
        <v/>
      </c>
    </row>
    <row r="493">
      <c r="A493" s="21" t="n"/>
      <c r="E493" s="18">
        <f>IF(OR(C493="",D493=""),"",IFERROR(INDEX('Qida bazası'!$D$2:$D$103,MATCH(C493,'Qida bazası'!$A$2:$A$103,0))*D493/100,"?"))</f>
        <v/>
      </c>
      <c r="F493" s="19">
        <f>IF(OR(C493="",D493=""),"",IFERROR(INDEX('Qida bazası'!$E$2:$E$103,MATCH(C493,'Qida bazası'!$A$2:$A$103,0))*D493/100,"?"))</f>
        <v/>
      </c>
      <c r="G493" s="19">
        <f>IF(OR(C493="",D493=""),"",IFERROR(INDEX('Qida bazası'!$F$2:$F$103,MATCH(C493,'Qida bazası'!$A$2:$A$103,0))*D493/100,"?"))</f>
        <v/>
      </c>
      <c r="H493" s="19">
        <f>IF(OR(C493="",D493=""),"",IFERROR(INDEX('Qida bazası'!$G$2:$G$103,MATCH(C493,'Qida bazası'!$A$2:$A$103,0))*D493/100,"?"))</f>
        <v/>
      </c>
    </row>
    <row r="494">
      <c r="A494" s="21" t="n"/>
      <c r="E494" s="18">
        <f>IF(OR(C494="",D494=""),"",IFERROR(INDEX('Qida bazası'!$D$2:$D$103,MATCH(C494,'Qida bazası'!$A$2:$A$103,0))*D494/100,"?"))</f>
        <v/>
      </c>
      <c r="F494" s="19">
        <f>IF(OR(C494="",D494=""),"",IFERROR(INDEX('Qida bazası'!$E$2:$E$103,MATCH(C494,'Qida bazası'!$A$2:$A$103,0))*D494/100,"?"))</f>
        <v/>
      </c>
      <c r="G494" s="19">
        <f>IF(OR(C494="",D494=""),"",IFERROR(INDEX('Qida bazası'!$F$2:$F$103,MATCH(C494,'Qida bazası'!$A$2:$A$103,0))*D494/100,"?"))</f>
        <v/>
      </c>
      <c r="H494" s="19">
        <f>IF(OR(C494="",D494=""),"",IFERROR(INDEX('Qida bazası'!$G$2:$G$103,MATCH(C494,'Qida bazası'!$A$2:$A$103,0))*D494/100,"?"))</f>
        <v/>
      </c>
    </row>
    <row r="495">
      <c r="A495" s="21" t="n"/>
      <c r="E495" s="18">
        <f>IF(OR(C495="",D495=""),"",IFERROR(INDEX('Qida bazası'!$D$2:$D$103,MATCH(C495,'Qida bazası'!$A$2:$A$103,0))*D495/100,"?"))</f>
        <v/>
      </c>
      <c r="F495" s="19">
        <f>IF(OR(C495="",D495=""),"",IFERROR(INDEX('Qida bazası'!$E$2:$E$103,MATCH(C495,'Qida bazası'!$A$2:$A$103,0))*D495/100,"?"))</f>
        <v/>
      </c>
      <c r="G495" s="19">
        <f>IF(OR(C495="",D495=""),"",IFERROR(INDEX('Qida bazası'!$F$2:$F$103,MATCH(C495,'Qida bazası'!$A$2:$A$103,0))*D495/100,"?"))</f>
        <v/>
      </c>
      <c r="H495" s="19">
        <f>IF(OR(C495="",D495=""),"",IFERROR(INDEX('Qida bazası'!$G$2:$G$103,MATCH(C495,'Qida bazası'!$A$2:$A$103,0))*D495/100,"?"))</f>
        <v/>
      </c>
    </row>
    <row r="496">
      <c r="A496" s="21" t="n"/>
      <c r="E496" s="18">
        <f>IF(OR(C496="",D496=""),"",IFERROR(INDEX('Qida bazası'!$D$2:$D$103,MATCH(C496,'Qida bazası'!$A$2:$A$103,0))*D496/100,"?"))</f>
        <v/>
      </c>
      <c r="F496" s="19">
        <f>IF(OR(C496="",D496=""),"",IFERROR(INDEX('Qida bazası'!$E$2:$E$103,MATCH(C496,'Qida bazası'!$A$2:$A$103,0))*D496/100,"?"))</f>
        <v/>
      </c>
      <c r="G496" s="19">
        <f>IF(OR(C496="",D496=""),"",IFERROR(INDEX('Qida bazası'!$F$2:$F$103,MATCH(C496,'Qida bazası'!$A$2:$A$103,0))*D496/100,"?"))</f>
        <v/>
      </c>
      <c r="H496" s="19">
        <f>IF(OR(C496="",D496=""),"",IFERROR(INDEX('Qida bazası'!$G$2:$G$103,MATCH(C496,'Qida bazası'!$A$2:$A$103,0))*D496/100,"?"))</f>
        <v/>
      </c>
    </row>
    <row r="497">
      <c r="A497" s="21" t="n"/>
      <c r="E497" s="18">
        <f>IF(OR(C497="",D497=""),"",IFERROR(INDEX('Qida bazası'!$D$2:$D$103,MATCH(C497,'Qida bazası'!$A$2:$A$103,0))*D497/100,"?"))</f>
        <v/>
      </c>
      <c r="F497" s="19">
        <f>IF(OR(C497="",D497=""),"",IFERROR(INDEX('Qida bazası'!$E$2:$E$103,MATCH(C497,'Qida bazası'!$A$2:$A$103,0))*D497/100,"?"))</f>
        <v/>
      </c>
      <c r="G497" s="19">
        <f>IF(OR(C497="",D497=""),"",IFERROR(INDEX('Qida bazası'!$F$2:$F$103,MATCH(C497,'Qida bazası'!$A$2:$A$103,0))*D497/100,"?"))</f>
        <v/>
      </c>
      <c r="H497" s="19">
        <f>IF(OR(C497="",D497=""),"",IFERROR(INDEX('Qida bazası'!$G$2:$G$103,MATCH(C497,'Qida bazası'!$A$2:$A$103,0))*D497/100,"?"))</f>
        <v/>
      </c>
    </row>
    <row r="498">
      <c r="A498" s="21" t="n"/>
      <c r="E498" s="18">
        <f>IF(OR(C498="",D498=""),"",IFERROR(INDEX('Qida bazası'!$D$2:$D$103,MATCH(C498,'Qida bazası'!$A$2:$A$103,0))*D498/100,"?"))</f>
        <v/>
      </c>
      <c r="F498" s="19">
        <f>IF(OR(C498="",D498=""),"",IFERROR(INDEX('Qida bazası'!$E$2:$E$103,MATCH(C498,'Qida bazası'!$A$2:$A$103,0))*D498/100,"?"))</f>
        <v/>
      </c>
      <c r="G498" s="19">
        <f>IF(OR(C498="",D498=""),"",IFERROR(INDEX('Qida bazası'!$F$2:$F$103,MATCH(C498,'Qida bazası'!$A$2:$A$103,0))*D498/100,"?"))</f>
        <v/>
      </c>
      <c r="H498" s="19">
        <f>IF(OR(C498="",D498=""),"",IFERROR(INDEX('Qida bazası'!$G$2:$G$103,MATCH(C498,'Qida bazası'!$A$2:$A$103,0))*D498/100,"?"))</f>
        <v/>
      </c>
    </row>
    <row r="499">
      <c r="A499" s="21" t="n"/>
      <c r="E499" s="18">
        <f>IF(OR(C499="",D499=""),"",IFERROR(INDEX('Qida bazası'!$D$2:$D$103,MATCH(C499,'Qida bazası'!$A$2:$A$103,0))*D499/100,"?"))</f>
        <v/>
      </c>
      <c r="F499" s="19">
        <f>IF(OR(C499="",D499=""),"",IFERROR(INDEX('Qida bazası'!$E$2:$E$103,MATCH(C499,'Qida bazası'!$A$2:$A$103,0))*D499/100,"?"))</f>
        <v/>
      </c>
      <c r="G499" s="19">
        <f>IF(OR(C499="",D499=""),"",IFERROR(INDEX('Qida bazası'!$F$2:$F$103,MATCH(C499,'Qida bazası'!$A$2:$A$103,0))*D499/100,"?"))</f>
        <v/>
      </c>
      <c r="H499" s="19">
        <f>IF(OR(C499="",D499=""),"",IFERROR(INDEX('Qida bazası'!$G$2:$G$103,MATCH(C499,'Qida bazası'!$A$2:$A$103,0))*D499/100,"?"))</f>
        <v/>
      </c>
    </row>
    <row r="500">
      <c r="A500" s="21" t="n"/>
      <c r="E500" s="18">
        <f>IF(OR(C500="",D500=""),"",IFERROR(INDEX('Qida bazası'!$D$2:$D$103,MATCH(C500,'Qida bazası'!$A$2:$A$103,0))*D500/100,"?"))</f>
        <v/>
      </c>
      <c r="F500" s="19">
        <f>IF(OR(C500="",D500=""),"",IFERROR(INDEX('Qida bazası'!$E$2:$E$103,MATCH(C500,'Qida bazası'!$A$2:$A$103,0))*D500/100,"?"))</f>
        <v/>
      </c>
      <c r="G500" s="19">
        <f>IF(OR(C500="",D500=""),"",IFERROR(INDEX('Qida bazası'!$F$2:$F$103,MATCH(C500,'Qida bazası'!$A$2:$A$103,0))*D500/100,"?"))</f>
        <v/>
      </c>
      <c r="H500" s="19">
        <f>IF(OR(C500="",D500=""),"",IFERROR(INDEX('Qida bazası'!$G$2:$G$103,MATCH(C500,'Qida bazası'!$A$2:$A$103,0))*D500/100,"?"))</f>
        <v/>
      </c>
    </row>
    <row r="501">
      <c r="A501" s="21" t="n"/>
      <c r="E501" s="18">
        <f>IF(OR(C501="",D501=""),"",IFERROR(INDEX('Qida bazası'!$D$2:$D$103,MATCH(C501,'Qida bazası'!$A$2:$A$103,0))*D501/100,"?"))</f>
        <v/>
      </c>
      <c r="F501" s="19">
        <f>IF(OR(C501="",D501=""),"",IFERROR(INDEX('Qida bazası'!$E$2:$E$103,MATCH(C501,'Qida bazası'!$A$2:$A$103,0))*D501/100,"?"))</f>
        <v/>
      </c>
      <c r="G501" s="19">
        <f>IF(OR(C501="",D501=""),"",IFERROR(INDEX('Qida bazası'!$F$2:$F$103,MATCH(C501,'Qida bazası'!$A$2:$A$103,0))*D501/100,"?"))</f>
        <v/>
      </c>
      <c r="H501" s="19">
        <f>IF(OR(C501="",D501=""),"",IFERROR(INDEX('Qida bazası'!$G$2:$G$103,MATCH(C501,'Qida bazası'!$A$2:$A$103,0))*D501/100,"?"))</f>
        <v/>
      </c>
    </row>
    <row r="502">
      <c r="A502" s="21" t="n"/>
      <c r="E502" s="18">
        <f>IF(OR(C502="",D502=""),"",IFERROR(INDEX('Qida bazası'!$D$2:$D$103,MATCH(C502,'Qida bazası'!$A$2:$A$103,0))*D502/100,"?"))</f>
        <v/>
      </c>
      <c r="F502" s="19">
        <f>IF(OR(C502="",D502=""),"",IFERROR(INDEX('Qida bazası'!$E$2:$E$103,MATCH(C502,'Qida bazası'!$A$2:$A$103,0))*D502/100,"?"))</f>
        <v/>
      </c>
      <c r="G502" s="19">
        <f>IF(OR(C502="",D502=""),"",IFERROR(INDEX('Qida bazası'!$F$2:$F$103,MATCH(C502,'Qida bazası'!$A$2:$A$103,0))*D502/100,"?"))</f>
        <v/>
      </c>
      <c r="H502" s="19">
        <f>IF(OR(C502="",D502=""),"",IFERROR(INDEX('Qida bazası'!$G$2:$G$103,MATCH(C502,'Qida bazası'!$A$2:$A$103,0))*D502/100,"?"))</f>
        <v/>
      </c>
    </row>
    <row r="503">
      <c r="A503" s="21" t="n"/>
      <c r="E503" s="18">
        <f>IF(OR(C503="",D503=""),"",IFERROR(INDEX('Qida bazası'!$D$2:$D$103,MATCH(C503,'Qida bazası'!$A$2:$A$103,0))*D503/100,"?"))</f>
        <v/>
      </c>
      <c r="F503" s="19">
        <f>IF(OR(C503="",D503=""),"",IFERROR(INDEX('Qida bazası'!$E$2:$E$103,MATCH(C503,'Qida bazası'!$A$2:$A$103,0))*D503/100,"?"))</f>
        <v/>
      </c>
      <c r="G503" s="19">
        <f>IF(OR(C503="",D503=""),"",IFERROR(INDEX('Qida bazası'!$F$2:$F$103,MATCH(C503,'Qida bazası'!$A$2:$A$103,0))*D503/100,"?"))</f>
        <v/>
      </c>
      <c r="H503" s="19">
        <f>IF(OR(C503="",D503=""),"",IFERROR(INDEX('Qida bazası'!$G$2:$G$103,MATCH(C503,'Qida bazası'!$A$2:$A$103,0))*D503/100,"?"))</f>
        <v/>
      </c>
    </row>
    <row r="504">
      <c r="A504" s="21" t="n"/>
      <c r="E504" s="18">
        <f>IF(OR(C504="",D504=""),"",IFERROR(INDEX('Qida bazası'!$D$2:$D$103,MATCH(C504,'Qida bazası'!$A$2:$A$103,0))*D504/100,"?"))</f>
        <v/>
      </c>
      <c r="F504" s="19">
        <f>IF(OR(C504="",D504=""),"",IFERROR(INDEX('Qida bazası'!$E$2:$E$103,MATCH(C504,'Qida bazası'!$A$2:$A$103,0))*D504/100,"?"))</f>
        <v/>
      </c>
      <c r="G504" s="19">
        <f>IF(OR(C504="",D504=""),"",IFERROR(INDEX('Qida bazası'!$F$2:$F$103,MATCH(C504,'Qida bazası'!$A$2:$A$103,0))*D504/100,"?"))</f>
        <v/>
      </c>
      <c r="H504" s="19">
        <f>IF(OR(C504="",D504=""),"",IFERROR(INDEX('Qida bazası'!$G$2:$G$103,MATCH(C504,'Qida bazası'!$A$2:$A$103,0))*D504/100,"?"))</f>
        <v/>
      </c>
    </row>
    <row r="505">
      <c r="A505" s="21" t="n"/>
      <c r="E505" s="18">
        <f>IF(OR(C505="",D505=""),"",IFERROR(INDEX('Qida bazası'!$D$2:$D$103,MATCH(C505,'Qida bazası'!$A$2:$A$103,0))*D505/100,"?"))</f>
        <v/>
      </c>
      <c r="F505" s="19">
        <f>IF(OR(C505="",D505=""),"",IFERROR(INDEX('Qida bazası'!$E$2:$E$103,MATCH(C505,'Qida bazası'!$A$2:$A$103,0))*D505/100,"?"))</f>
        <v/>
      </c>
      <c r="G505" s="19">
        <f>IF(OR(C505="",D505=""),"",IFERROR(INDEX('Qida bazası'!$F$2:$F$103,MATCH(C505,'Qida bazası'!$A$2:$A$103,0))*D505/100,"?"))</f>
        <v/>
      </c>
      <c r="H505" s="19">
        <f>IF(OR(C505="",D505=""),"",IFERROR(INDEX('Qida bazası'!$G$2:$G$103,MATCH(C505,'Qida bazası'!$A$2:$A$103,0))*D505/100,"?"))</f>
        <v/>
      </c>
    </row>
    <row r="506">
      <c r="A506" s="21" t="n"/>
      <c r="E506" s="18">
        <f>IF(OR(C506="",D506=""),"",IFERROR(INDEX('Qida bazası'!$D$2:$D$103,MATCH(C506,'Qida bazası'!$A$2:$A$103,0))*D506/100,"?"))</f>
        <v/>
      </c>
      <c r="F506" s="19">
        <f>IF(OR(C506="",D506=""),"",IFERROR(INDEX('Qida bazası'!$E$2:$E$103,MATCH(C506,'Qida bazası'!$A$2:$A$103,0))*D506/100,"?"))</f>
        <v/>
      </c>
      <c r="G506" s="19">
        <f>IF(OR(C506="",D506=""),"",IFERROR(INDEX('Qida bazası'!$F$2:$F$103,MATCH(C506,'Qida bazası'!$A$2:$A$103,0))*D506/100,"?"))</f>
        <v/>
      </c>
      <c r="H506" s="19">
        <f>IF(OR(C506="",D506=""),"",IFERROR(INDEX('Qida bazası'!$G$2:$G$103,MATCH(C506,'Qida bazası'!$A$2:$A$103,0))*D506/100,"?"))</f>
        <v/>
      </c>
    </row>
    <row r="507">
      <c r="A507" s="21" t="n"/>
      <c r="E507" s="18">
        <f>IF(OR(C507="",D507=""),"",IFERROR(INDEX('Qida bazası'!$D$2:$D$103,MATCH(C507,'Qida bazası'!$A$2:$A$103,0))*D507/100,"?"))</f>
        <v/>
      </c>
      <c r="F507" s="19">
        <f>IF(OR(C507="",D507=""),"",IFERROR(INDEX('Qida bazası'!$E$2:$E$103,MATCH(C507,'Qida bazası'!$A$2:$A$103,0))*D507/100,"?"))</f>
        <v/>
      </c>
      <c r="G507" s="19">
        <f>IF(OR(C507="",D507=""),"",IFERROR(INDEX('Qida bazası'!$F$2:$F$103,MATCH(C507,'Qida bazası'!$A$2:$A$103,0))*D507/100,"?"))</f>
        <v/>
      </c>
      <c r="H507" s="19">
        <f>IF(OR(C507="",D507=""),"",IFERROR(INDEX('Qida bazası'!$G$2:$G$103,MATCH(C507,'Qida bazası'!$A$2:$A$103,0))*D507/100,"?"))</f>
        <v/>
      </c>
    </row>
    <row r="508">
      <c r="A508" s="21" t="n"/>
      <c r="E508" s="18">
        <f>IF(OR(C508="",D508=""),"",IFERROR(INDEX('Qida bazası'!$D$2:$D$103,MATCH(C508,'Qida bazası'!$A$2:$A$103,0))*D508/100,"?"))</f>
        <v/>
      </c>
      <c r="F508" s="19">
        <f>IF(OR(C508="",D508=""),"",IFERROR(INDEX('Qida bazası'!$E$2:$E$103,MATCH(C508,'Qida bazası'!$A$2:$A$103,0))*D508/100,"?"))</f>
        <v/>
      </c>
      <c r="G508" s="19">
        <f>IF(OR(C508="",D508=""),"",IFERROR(INDEX('Qida bazası'!$F$2:$F$103,MATCH(C508,'Qida bazası'!$A$2:$A$103,0))*D508/100,"?"))</f>
        <v/>
      </c>
      <c r="H508" s="19">
        <f>IF(OR(C508="",D508=""),"",IFERROR(INDEX('Qida bazası'!$G$2:$G$103,MATCH(C508,'Qida bazası'!$A$2:$A$103,0))*D508/100,"?"))</f>
        <v/>
      </c>
    </row>
    <row r="509">
      <c r="A509" s="21" t="n"/>
      <c r="E509" s="18">
        <f>IF(OR(C509="",D509=""),"",IFERROR(INDEX('Qida bazası'!$D$2:$D$103,MATCH(C509,'Qida bazası'!$A$2:$A$103,0))*D509/100,"?"))</f>
        <v/>
      </c>
      <c r="F509" s="19">
        <f>IF(OR(C509="",D509=""),"",IFERROR(INDEX('Qida bazası'!$E$2:$E$103,MATCH(C509,'Qida bazası'!$A$2:$A$103,0))*D509/100,"?"))</f>
        <v/>
      </c>
      <c r="G509" s="19">
        <f>IF(OR(C509="",D509=""),"",IFERROR(INDEX('Qida bazası'!$F$2:$F$103,MATCH(C509,'Qida bazası'!$A$2:$A$103,0))*D509/100,"?"))</f>
        <v/>
      </c>
      <c r="H509" s="19">
        <f>IF(OR(C509="",D509=""),"",IFERROR(INDEX('Qida bazası'!$G$2:$G$103,MATCH(C509,'Qida bazası'!$A$2:$A$103,0))*D509/100,"?"))</f>
        <v/>
      </c>
    </row>
    <row r="510">
      <c r="A510" s="21" t="n"/>
      <c r="E510" s="18">
        <f>IF(OR(C510="",D510=""),"",IFERROR(INDEX('Qida bazası'!$D$2:$D$103,MATCH(C510,'Qida bazası'!$A$2:$A$103,0))*D510/100,"?"))</f>
        <v/>
      </c>
      <c r="F510" s="19">
        <f>IF(OR(C510="",D510=""),"",IFERROR(INDEX('Qida bazası'!$E$2:$E$103,MATCH(C510,'Qida bazası'!$A$2:$A$103,0))*D510/100,"?"))</f>
        <v/>
      </c>
      <c r="G510" s="19">
        <f>IF(OR(C510="",D510=""),"",IFERROR(INDEX('Qida bazası'!$F$2:$F$103,MATCH(C510,'Qida bazası'!$A$2:$A$103,0))*D510/100,"?"))</f>
        <v/>
      </c>
      <c r="H510" s="19">
        <f>IF(OR(C510="",D510=""),"",IFERROR(INDEX('Qida bazası'!$G$2:$G$103,MATCH(C510,'Qida bazası'!$A$2:$A$103,0))*D510/100,"?"))</f>
        <v/>
      </c>
    </row>
    <row r="511">
      <c r="A511" s="21" t="n"/>
      <c r="E511" s="18">
        <f>IF(OR(C511="",D511=""),"",IFERROR(INDEX('Qida bazası'!$D$2:$D$103,MATCH(C511,'Qida bazası'!$A$2:$A$103,0))*D511/100,"?"))</f>
        <v/>
      </c>
      <c r="F511" s="19">
        <f>IF(OR(C511="",D511=""),"",IFERROR(INDEX('Qida bazası'!$E$2:$E$103,MATCH(C511,'Qida bazası'!$A$2:$A$103,0))*D511/100,"?"))</f>
        <v/>
      </c>
      <c r="G511" s="19">
        <f>IF(OR(C511="",D511=""),"",IFERROR(INDEX('Qida bazası'!$F$2:$F$103,MATCH(C511,'Qida bazası'!$A$2:$A$103,0))*D511/100,"?"))</f>
        <v/>
      </c>
      <c r="H511" s="19">
        <f>IF(OR(C511="",D511=""),"",IFERROR(INDEX('Qida bazası'!$G$2:$G$103,MATCH(C511,'Qida bazası'!$A$2:$A$103,0))*D511/100,"?"))</f>
        <v/>
      </c>
    </row>
    <row r="512">
      <c r="A512" s="21" t="n"/>
      <c r="E512" s="18">
        <f>IF(OR(C512="",D512=""),"",IFERROR(INDEX('Qida bazası'!$D$2:$D$103,MATCH(C512,'Qida bazası'!$A$2:$A$103,0))*D512/100,"?"))</f>
        <v/>
      </c>
      <c r="F512" s="19">
        <f>IF(OR(C512="",D512=""),"",IFERROR(INDEX('Qida bazası'!$E$2:$E$103,MATCH(C512,'Qida bazası'!$A$2:$A$103,0))*D512/100,"?"))</f>
        <v/>
      </c>
      <c r="G512" s="19">
        <f>IF(OR(C512="",D512=""),"",IFERROR(INDEX('Qida bazası'!$F$2:$F$103,MATCH(C512,'Qida bazası'!$A$2:$A$103,0))*D512/100,"?"))</f>
        <v/>
      </c>
      <c r="H512" s="19">
        <f>IF(OR(C512="",D512=""),"",IFERROR(INDEX('Qida bazası'!$G$2:$G$103,MATCH(C512,'Qida bazası'!$A$2:$A$103,0))*D512/100,"?"))</f>
        <v/>
      </c>
    </row>
    <row r="513">
      <c r="A513" s="21" t="n"/>
      <c r="E513" s="18">
        <f>IF(OR(C513="",D513=""),"",IFERROR(INDEX('Qida bazası'!$D$2:$D$103,MATCH(C513,'Qida bazası'!$A$2:$A$103,0))*D513/100,"?"))</f>
        <v/>
      </c>
      <c r="F513" s="19">
        <f>IF(OR(C513="",D513=""),"",IFERROR(INDEX('Qida bazası'!$E$2:$E$103,MATCH(C513,'Qida bazası'!$A$2:$A$103,0))*D513/100,"?"))</f>
        <v/>
      </c>
      <c r="G513" s="19">
        <f>IF(OR(C513="",D513=""),"",IFERROR(INDEX('Qida bazası'!$F$2:$F$103,MATCH(C513,'Qida bazası'!$A$2:$A$103,0))*D513/100,"?"))</f>
        <v/>
      </c>
      <c r="H513" s="19">
        <f>IF(OR(C513="",D513=""),"",IFERROR(INDEX('Qida bazası'!$G$2:$G$103,MATCH(C513,'Qida bazası'!$A$2:$A$103,0))*D513/100,"?"))</f>
        <v/>
      </c>
    </row>
    <row r="514">
      <c r="A514" s="21" t="n"/>
      <c r="E514" s="18">
        <f>IF(OR(C514="",D514=""),"",IFERROR(INDEX('Qida bazası'!$D$2:$D$103,MATCH(C514,'Qida bazası'!$A$2:$A$103,0))*D514/100,"?"))</f>
        <v/>
      </c>
      <c r="F514" s="19">
        <f>IF(OR(C514="",D514=""),"",IFERROR(INDEX('Qida bazası'!$E$2:$E$103,MATCH(C514,'Qida bazası'!$A$2:$A$103,0))*D514/100,"?"))</f>
        <v/>
      </c>
      <c r="G514" s="19">
        <f>IF(OR(C514="",D514=""),"",IFERROR(INDEX('Qida bazası'!$F$2:$F$103,MATCH(C514,'Qida bazası'!$A$2:$A$103,0))*D514/100,"?"))</f>
        <v/>
      </c>
      <c r="H514" s="19">
        <f>IF(OR(C514="",D514=""),"",IFERROR(INDEX('Qida bazası'!$G$2:$G$103,MATCH(C514,'Qida bazası'!$A$2:$A$103,0))*D514/100,"?"))</f>
        <v/>
      </c>
    </row>
    <row r="515">
      <c r="A515" s="21" t="n"/>
      <c r="E515" s="18">
        <f>IF(OR(C515="",D515=""),"",IFERROR(INDEX('Qida bazası'!$D$2:$D$103,MATCH(C515,'Qida bazası'!$A$2:$A$103,0))*D515/100,"?"))</f>
        <v/>
      </c>
      <c r="F515" s="19">
        <f>IF(OR(C515="",D515=""),"",IFERROR(INDEX('Qida bazası'!$E$2:$E$103,MATCH(C515,'Qida bazası'!$A$2:$A$103,0))*D515/100,"?"))</f>
        <v/>
      </c>
      <c r="G515" s="19">
        <f>IF(OR(C515="",D515=""),"",IFERROR(INDEX('Qida bazası'!$F$2:$F$103,MATCH(C515,'Qida bazası'!$A$2:$A$103,0))*D515/100,"?"))</f>
        <v/>
      </c>
      <c r="H515" s="19">
        <f>IF(OR(C515="",D515=""),"",IFERROR(INDEX('Qida bazası'!$G$2:$G$103,MATCH(C515,'Qida bazası'!$A$2:$A$103,0))*D515/100,"?"))</f>
        <v/>
      </c>
    </row>
    <row r="516">
      <c r="A516" s="21" t="n"/>
      <c r="E516" s="18">
        <f>IF(OR(C516="",D516=""),"",IFERROR(INDEX('Qida bazası'!$D$2:$D$103,MATCH(C516,'Qida bazası'!$A$2:$A$103,0))*D516/100,"?"))</f>
        <v/>
      </c>
      <c r="F516" s="19">
        <f>IF(OR(C516="",D516=""),"",IFERROR(INDEX('Qida bazası'!$E$2:$E$103,MATCH(C516,'Qida bazası'!$A$2:$A$103,0))*D516/100,"?"))</f>
        <v/>
      </c>
      <c r="G516" s="19">
        <f>IF(OR(C516="",D516=""),"",IFERROR(INDEX('Qida bazası'!$F$2:$F$103,MATCH(C516,'Qida bazası'!$A$2:$A$103,0))*D516/100,"?"))</f>
        <v/>
      </c>
      <c r="H516" s="19">
        <f>IF(OR(C516="",D516=""),"",IFERROR(INDEX('Qida bazası'!$G$2:$G$103,MATCH(C516,'Qida bazası'!$A$2:$A$103,0))*D516/100,"?"))</f>
        <v/>
      </c>
    </row>
    <row r="517">
      <c r="A517" s="21" t="n"/>
      <c r="E517" s="18">
        <f>IF(OR(C517="",D517=""),"",IFERROR(INDEX('Qida bazası'!$D$2:$D$103,MATCH(C517,'Qida bazası'!$A$2:$A$103,0))*D517/100,"?"))</f>
        <v/>
      </c>
      <c r="F517" s="19">
        <f>IF(OR(C517="",D517=""),"",IFERROR(INDEX('Qida bazası'!$E$2:$E$103,MATCH(C517,'Qida bazası'!$A$2:$A$103,0))*D517/100,"?"))</f>
        <v/>
      </c>
      <c r="G517" s="19">
        <f>IF(OR(C517="",D517=""),"",IFERROR(INDEX('Qida bazası'!$F$2:$F$103,MATCH(C517,'Qida bazası'!$A$2:$A$103,0))*D517/100,"?"))</f>
        <v/>
      </c>
      <c r="H517" s="19">
        <f>IF(OR(C517="",D517=""),"",IFERROR(INDEX('Qida bazası'!$G$2:$G$103,MATCH(C517,'Qida bazası'!$A$2:$A$103,0))*D517/100,"?"))</f>
        <v/>
      </c>
    </row>
    <row r="518">
      <c r="A518" s="21" t="n"/>
      <c r="E518" s="18">
        <f>IF(OR(C518="",D518=""),"",IFERROR(INDEX('Qida bazası'!$D$2:$D$103,MATCH(C518,'Qida bazası'!$A$2:$A$103,0))*D518/100,"?"))</f>
        <v/>
      </c>
      <c r="F518" s="19">
        <f>IF(OR(C518="",D518=""),"",IFERROR(INDEX('Qida bazası'!$E$2:$E$103,MATCH(C518,'Qida bazası'!$A$2:$A$103,0))*D518/100,"?"))</f>
        <v/>
      </c>
      <c r="G518" s="19">
        <f>IF(OR(C518="",D518=""),"",IFERROR(INDEX('Qida bazası'!$F$2:$F$103,MATCH(C518,'Qida bazası'!$A$2:$A$103,0))*D518/100,"?"))</f>
        <v/>
      </c>
      <c r="H518" s="19">
        <f>IF(OR(C518="",D518=""),"",IFERROR(INDEX('Qida bazası'!$G$2:$G$103,MATCH(C518,'Qida bazası'!$A$2:$A$103,0))*D518/100,"?"))</f>
        <v/>
      </c>
    </row>
    <row r="519">
      <c r="A519" s="21" t="n"/>
      <c r="E519" s="18">
        <f>IF(OR(C519="",D519=""),"",IFERROR(INDEX('Qida bazası'!$D$2:$D$103,MATCH(C519,'Qida bazası'!$A$2:$A$103,0))*D519/100,"?"))</f>
        <v/>
      </c>
      <c r="F519" s="19">
        <f>IF(OR(C519="",D519=""),"",IFERROR(INDEX('Qida bazası'!$E$2:$E$103,MATCH(C519,'Qida bazası'!$A$2:$A$103,0))*D519/100,"?"))</f>
        <v/>
      </c>
      <c r="G519" s="19">
        <f>IF(OR(C519="",D519=""),"",IFERROR(INDEX('Qida bazası'!$F$2:$F$103,MATCH(C519,'Qida bazası'!$A$2:$A$103,0))*D519/100,"?"))</f>
        <v/>
      </c>
      <c r="H519" s="19">
        <f>IF(OR(C519="",D519=""),"",IFERROR(INDEX('Qida bazası'!$G$2:$G$103,MATCH(C519,'Qida bazası'!$A$2:$A$103,0))*D519/100,"?"))</f>
        <v/>
      </c>
    </row>
    <row r="520">
      <c r="A520" s="21" t="n"/>
      <c r="E520" s="18">
        <f>IF(OR(C520="",D520=""),"",IFERROR(INDEX('Qida bazası'!$D$2:$D$103,MATCH(C520,'Qida bazası'!$A$2:$A$103,0))*D520/100,"?"))</f>
        <v/>
      </c>
      <c r="F520" s="19">
        <f>IF(OR(C520="",D520=""),"",IFERROR(INDEX('Qida bazası'!$E$2:$E$103,MATCH(C520,'Qida bazası'!$A$2:$A$103,0))*D520/100,"?"))</f>
        <v/>
      </c>
      <c r="G520" s="19">
        <f>IF(OR(C520="",D520=""),"",IFERROR(INDEX('Qida bazası'!$F$2:$F$103,MATCH(C520,'Qida bazası'!$A$2:$A$103,0))*D520/100,"?"))</f>
        <v/>
      </c>
      <c r="H520" s="19">
        <f>IF(OR(C520="",D520=""),"",IFERROR(INDEX('Qida bazası'!$G$2:$G$103,MATCH(C520,'Qida bazası'!$A$2:$A$103,0))*D520/100,"?"))</f>
        <v/>
      </c>
    </row>
    <row r="521">
      <c r="A521" s="21" t="n"/>
      <c r="E521" s="18">
        <f>IF(OR(C521="",D521=""),"",IFERROR(INDEX('Qida bazası'!$D$2:$D$103,MATCH(C521,'Qida bazası'!$A$2:$A$103,0))*D521/100,"?"))</f>
        <v/>
      </c>
      <c r="F521" s="19">
        <f>IF(OR(C521="",D521=""),"",IFERROR(INDEX('Qida bazası'!$E$2:$E$103,MATCH(C521,'Qida bazası'!$A$2:$A$103,0))*D521/100,"?"))</f>
        <v/>
      </c>
      <c r="G521" s="19">
        <f>IF(OR(C521="",D521=""),"",IFERROR(INDEX('Qida bazası'!$F$2:$F$103,MATCH(C521,'Qida bazası'!$A$2:$A$103,0))*D521/100,"?"))</f>
        <v/>
      </c>
      <c r="H521" s="19">
        <f>IF(OR(C521="",D521=""),"",IFERROR(INDEX('Qida bazası'!$G$2:$G$103,MATCH(C521,'Qida bazası'!$A$2:$A$103,0))*D521/100,"?"))</f>
        <v/>
      </c>
    </row>
    <row r="522">
      <c r="A522" s="21" t="n"/>
      <c r="E522" s="18">
        <f>IF(OR(C522="",D522=""),"",IFERROR(INDEX('Qida bazası'!$D$2:$D$103,MATCH(C522,'Qida bazası'!$A$2:$A$103,0))*D522/100,"?"))</f>
        <v/>
      </c>
      <c r="F522" s="19">
        <f>IF(OR(C522="",D522=""),"",IFERROR(INDEX('Qida bazası'!$E$2:$E$103,MATCH(C522,'Qida bazası'!$A$2:$A$103,0))*D522/100,"?"))</f>
        <v/>
      </c>
      <c r="G522" s="19">
        <f>IF(OR(C522="",D522=""),"",IFERROR(INDEX('Qida bazası'!$F$2:$F$103,MATCH(C522,'Qida bazası'!$A$2:$A$103,0))*D522/100,"?"))</f>
        <v/>
      </c>
      <c r="H522" s="19">
        <f>IF(OR(C522="",D522=""),"",IFERROR(INDEX('Qida bazası'!$G$2:$G$103,MATCH(C522,'Qida bazası'!$A$2:$A$103,0))*D522/100,"?"))</f>
        <v/>
      </c>
    </row>
    <row r="523">
      <c r="A523" s="21" t="n"/>
      <c r="E523" s="18">
        <f>IF(OR(C523="",D523=""),"",IFERROR(INDEX('Qida bazası'!$D$2:$D$103,MATCH(C523,'Qida bazası'!$A$2:$A$103,0))*D523/100,"?"))</f>
        <v/>
      </c>
      <c r="F523" s="19">
        <f>IF(OR(C523="",D523=""),"",IFERROR(INDEX('Qida bazası'!$E$2:$E$103,MATCH(C523,'Qida bazası'!$A$2:$A$103,0))*D523/100,"?"))</f>
        <v/>
      </c>
      <c r="G523" s="19">
        <f>IF(OR(C523="",D523=""),"",IFERROR(INDEX('Qida bazası'!$F$2:$F$103,MATCH(C523,'Qida bazası'!$A$2:$A$103,0))*D523/100,"?"))</f>
        <v/>
      </c>
      <c r="H523" s="19">
        <f>IF(OR(C523="",D523=""),"",IFERROR(INDEX('Qida bazası'!$G$2:$G$103,MATCH(C523,'Qida bazası'!$A$2:$A$103,0))*D523/100,"?"))</f>
        <v/>
      </c>
    </row>
    <row r="524">
      <c r="A524" s="21" t="n"/>
      <c r="E524" s="18">
        <f>IF(OR(C524="",D524=""),"",IFERROR(INDEX('Qida bazası'!$D$2:$D$103,MATCH(C524,'Qida bazası'!$A$2:$A$103,0))*D524/100,"?"))</f>
        <v/>
      </c>
      <c r="F524" s="19">
        <f>IF(OR(C524="",D524=""),"",IFERROR(INDEX('Qida bazası'!$E$2:$E$103,MATCH(C524,'Qida bazası'!$A$2:$A$103,0))*D524/100,"?"))</f>
        <v/>
      </c>
      <c r="G524" s="19">
        <f>IF(OR(C524="",D524=""),"",IFERROR(INDEX('Qida bazası'!$F$2:$F$103,MATCH(C524,'Qida bazası'!$A$2:$A$103,0))*D524/100,"?"))</f>
        <v/>
      </c>
      <c r="H524" s="19">
        <f>IF(OR(C524="",D524=""),"",IFERROR(INDEX('Qida bazası'!$G$2:$G$103,MATCH(C524,'Qida bazası'!$A$2:$A$103,0))*D524/100,"?"))</f>
        <v/>
      </c>
    </row>
    <row r="525">
      <c r="A525" s="21" t="n"/>
      <c r="E525" s="18">
        <f>IF(OR(C525="",D525=""),"",IFERROR(INDEX('Qida bazası'!$D$2:$D$103,MATCH(C525,'Qida bazası'!$A$2:$A$103,0))*D525/100,"?"))</f>
        <v/>
      </c>
      <c r="F525" s="19">
        <f>IF(OR(C525="",D525=""),"",IFERROR(INDEX('Qida bazası'!$E$2:$E$103,MATCH(C525,'Qida bazası'!$A$2:$A$103,0))*D525/100,"?"))</f>
        <v/>
      </c>
      <c r="G525" s="19">
        <f>IF(OR(C525="",D525=""),"",IFERROR(INDEX('Qida bazası'!$F$2:$F$103,MATCH(C525,'Qida bazası'!$A$2:$A$103,0))*D525/100,"?"))</f>
        <v/>
      </c>
      <c r="H525" s="19">
        <f>IF(OR(C525="",D525=""),"",IFERROR(INDEX('Qida bazası'!$G$2:$G$103,MATCH(C525,'Qida bazası'!$A$2:$A$103,0))*D525/100,"?"))</f>
        <v/>
      </c>
    </row>
    <row r="526">
      <c r="A526" s="21" t="n"/>
      <c r="E526" s="18">
        <f>IF(OR(C526="",D526=""),"",IFERROR(INDEX('Qida bazası'!$D$2:$D$103,MATCH(C526,'Qida bazası'!$A$2:$A$103,0))*D526/100,"?"))</f>
        <v/>
      </c>
      <c r="F526" s="19">
        <f>IF(OR(C526="",D526=""),"",IFERROR(INDEX('Qida bazası'!$E$2:$E$103,MATCH(C526,'Qida bazası'!$A$2:$A$103,0))*D526/100,"?"))</f>
        <v/>
      </c>
      <c r="G526" s="19">
        <f>IF(OR(C526="",D526=""),"",IFERROR(INDEX('Qida bazası'!$F$2:$F$103,MATCH(C526,'Qida bazası'!$A$2:$A$103,0))*D526/100,"?"))</f>
        <v/>
      </c>
      <c r="H526" s="19">
        <f>IF(OR(C526="",D526=""),"",IFERROR(INDEX('Qida bazası'!$G$2:$G$103,MATCH(C526,'Qida bazası'!$A$2:$A$103,0))*D526/100,"?"))</f>
        <v/>
      </c>
    </row>
    <row r="527">
      <c r="A527" s="21" t="n"/>
      <c r="E527" s="18">
        <f>IF(OR(C527="",D527=""),"",IFERROR(INDEX('Qida bazası'!$D$2:$D$103,MATCH(C527,'Qida bazası'!$A$2:$A$103,0))*D527/100,"?"))</f>
        <v/>
      </c>
      <c r="F527" s="19">
        <f>IF(OR(C527="",D527=""),"",IFERROR(INDEX('Qida bazası'!$E$2:$E$103,MATCH(C527,'Qida bazası'!$A$2:$A$103,0))*D527/100,"?"))</f>
        <v/>
      </c>
      <c r="G527" s="19">
        <f>IF(OR(C527="",D527=""),"",IFERROR(INDEX('Qida bazası'!$F$2:$F$103,MATCH(C527,'Qida bazası'!$A$2:$A$103,0))*D527/100,"?"))</f>
        <v/>
      </c>
      <c r="H527" s="19">
        <f>IF(OR(C527="",D527=""),"",IFERROR(INDEX('Qida bazası'!$G$2:$G$103,MATCH(C527,'Qida bazası'!$A$2:$A$103,0))*D527/100,"?"))</f>
        <v/>
      </c>
    </row>
    <row r="528">
      <c r="A528" s="21" t="n"/>
      <c r="E528" s="18">
        <f>IF(OR(C528="",D528=""),"",IFERROR(INDEX('Qida bazası'!$D$2:$D$103,MATCH(C528,'Qida bazası'!$A$2:$A$103,0))*D528/100,"?"))</f>
        <v/>
      </c>
      <c r="F528" s="19">
        <f>IF(OR(C528="",D528=""),"",IFERROR(INDEX('Qida bazası'!$E$2:$E$103,MATCH(C528,'Qida bazası'!$A$2:$A$103,0))*D528/100,"?"))</f>
        <v/>
      </c>
      <c r="G528" s="19">
        <f>IF(OR(C528="",D528=""),"",IFERROR(INDEX('Qida bazası'!$F$2:$F$103,MATCH(C528,'Qida bazası'!$A$2:$A$103,0))*D528/100,"?"))</f>
        <v/>
      </c>
      <c r="H528" s="19">
        <f>IF(OR(C528="",D528=""),"",IFERROR(INDEX('Qida bazası'!$G$2:$G$103,MATCH(C528,'Qida bazası'!$A$2:$A$103,0))*D528/100,"?"))</f>
        <v/>
      </c>
    </row>
    <row r="529">
      <c r="A529" s="21" t="n"/>
      <c r="E529" s="18">
        <f>IF(OR(C529="",D529=""),"",IFERROR(INDEX('Qida bazası'!$D$2:$D$103,MATCH(C529,'Qida bazası'!$A$2:$A$103,0))*D529/100,"?"))</f>
        <v/>
      </c>
      <c r="F529" s="19">
        <f>IF(OR(C529="",D529=""),"",IFERROR(INDEX('Qida bazası'!$E$2:$E$103,MATCH(C529,'Qida bazası'!$A$2:$A$103,0))*D529/100,"?"))</f>
        <v/>
      </c>
      <c r="G529" s="19">
        <f>IF(OR(C529="",D529=""),"",IFERROR(INDEX('Qida bazası'!$F$2:$F$103,MATCH(C529,'Qida bazası'!$A$2:$A$103,0))*D529/100,"?"))</f>
        <v/>
      </c>
      <c r="H529" s="19">
        <f>IF(OR(C529="",D529=""),"",IFERROR(INDEX('Qida bazası'!$G$2:$G$103,MATCH(C529,'Qida bazası'!$A$2:$A$103,0))*D529/100,"?"))</f>
        <v/>
      </c>
    </row>
    <row r="530">
      <c r="A530" s="21" t="n"/>
      <c r="E530" s="18">
        <f>IF(OR(C530="",D530=""),"",IFERROR(INDEX('Qida bazası'!$D$2:$D$103,MATCH(C530,'Qida bazası'!$A$2:$A$103,0))*D530/100,"?"))</f>
        <v/>
      </c>
      <c r="F530" s="19">
        <f>IF(OR(C530="",D530=""),"",IFERROR(INDEX('Qida bazası'!$E$2:$E$103,MATCH(C530,'Qida bazası'!$A$2:$A$103,0))*D530/100,"?"))</f>
        <v/>
      </c>
      <c r="G530" s="19">
        <f>IF(OR(C530="",D530=""),"",IFERROR(INDEX('Qida bazası'!$F$2:$F$103,MATCH(C530,'Qida bazası'!$A$2:$A$103,0))*D530/100,"?"))</f>
        <v/>
      </c>
      <c r="H530" s="19">
        <f>IF(OR(C530="",D530=""),"",IFERROR(INDEX('Qida bazası'!$G$2:$G$103,MATCH(C530,'Qida bazası'!$A$2:$A$103,0))*D530/100,"?"))</f>
        <v/>
      </c>
    </row>
    <row r="531">
      <c r="A531" s="21" t="n"/>
      <c r="E531" s="18">
        <f>IF(OR(C531="",D531=""),"",IFERROR(INDEX('Qida bazası'!$D$2:$D$103,MATCH(C531,'Qida bazası'!$A$2:$A$103,0))*D531/100,"?"))</f>
        <v/>
      </c>
      <c r="F531" s="19">
        <f>IF(OR(C531="",D531=""),"",IFERROR(INDEX('Qida bazası'!$E$2:$E$103,MATCH(C531,'Qida bazası'!$A$2:$A$103,0))*D531/100,"?"))</f>
        <v/>
      </c>
      <c r="G531" s="19">
        <f>IF(OR(C531="",D531=""),"",IFERROR(INDEX('Qida bazası'!$F$2:$F$103,MATCH(C531,'Qida bazası'!$A$2:$A$103,0))*D531/100,"?"))</f>
        <v/>
      </c>
      <c r="H531" s="19">
        <f>IF(OR(C531="",D531=""),"",IFERROR(INDEX('Qida bazası'!$G$2:$G$103,MATCH(C531,'Qida bazası'!$A$2:$A$103,0))*D531/100,"?"))</f>
        <v/>
      </c>
    </row>
    <row r="532">
      <c r="A532" s="21" t="n"/>
      <c r="E532" s="18">
        <f>IF(OR(C532="",D532=""),"",IFERROR(INDEX('Qida bazası'!$D$2:$D$103,MATCH(C532,'Qida bazası'!$A$2:$A$103,0))*D532/100,"?"))</f>
        <v/>
      </c>
      <c r="F532" s="19">
        <f>IF(OR(C532="",D532=""),"",IFERROR(INDEX('Qida bazası'!$E$2:$E$103,MATCH(C532,'Qida bazası'!$A$2:$A$103,0))*D532/100,"?"))</f>
        <v/>
      </c>
      <c r="G532" s="19">
        <f>IF(OR(C532="",D532=""),"",IFERROR(INDEX('Qida bazası'!$F$2:$F$103,MATCH(C532,'Qida bazası'!$A$2:$A$103,0))*D532/100,"?"))</f>
        <v/>
      </c>
      <c r="H532" s="19">
        <f>IF(OR(C532="",D532=""),"",IFERROR(INDEX('Qida bazası'!$G$2:$G$103,MATCH(C532,'Qida bazası'!$A$2:$A$103,0))*D532/100,"?"))</f>
        <v/>
      </c>
    </row>
    <row r="533">
      <c r="A533" s="21" t="n"/>
      <c r="E533" s="18">
        <f>IF(OR(C533="",D533=""),"",IFERROR(INDEX('Qida bazası'!$D$2:$D$103,MATCH(C533,'Qida bazası'!$A$2:$A$103,0))*D533/100,"?"))</f>
        <v/>
      </c>
      <c r="F533" s="19">
        <f>IF(OR(C533="",D533=""),"",IFERROR(INDEX('Qida bazası'!$E$2:$E$103,MATCH(C533,'Qida bazası'!$A$2:$A$103,0))*D533/100,"?"))</f>
        <v/>
      </c>
      <c r="G533" s="19">
        <f>IF(OR(C533="",D533=""),"",IFERROR(INDEX('Qida bazası'!$F$2:$F$103,MATCH(C533,'Qida bazası'!$A$2:$A$103,0))*D533/100,"?"))</f>
        <v/>
      </c>
      <c r="H533" s="19">
        <f>IF(OR(C533="",D533=""),"",IFERROR(INDEX('Qida bazası'!$G$2:$G$103,MATCH(C533,'Qida bazası'!$A$2:$A$103,0))*D533/100,"?"))</f>
        <v/>
      </c>
    </row>
    <row r="534">
      <c r="A534" s="21" t="n"/>
      <c r="E534" s="18">
        <f>IF(OR(C534="",D534=""),"",IFERROR(INDEX('Qida bazası'!$D$2:$D$103,MATCH(C534,'Qida bazası'!$A$2:$A$103,0))*D534/100,"?"))</f>
        <v/>
      </c>
      <c r="F534" s="19">
        <f>IF(OR(C534="",D534=""),"",IFERROR(INDEX('Qida bazası'!$E$2:$E$103,MATCH(C534,'Qida bazası'!$A$2:$A$103,0))*D534/100,"?"))</f>
        <v/>
      </c>
      <c r="G534" s="19">
        <f>IF(OR(C534="",D534=""),"",IFERROR(INDEX('Qida bazası'!$F$2:$F$103,MATCH(C534,'Qida bazası'!$A$2:$A$103,0))*D534/100,"?"))</f>
        <v/>
      </c>
      <c r="H534" s="19">
        <f>IF(OR(C534="",D534=""),"",IFERROR(INDEX('Qida bazası'!$G$2:$G$103,MATCH(C534,'Qida bazası'!$A$2:$A$103,0))*D534/100,"?"))</f>
        <v/>
      </c>
    </row>
    <row r="535">
      <c r="A535" s="21" t="n"/>
      <c r="E535" s="18">
        <f>IF(OR(C535="",D535=""),"",IFERROR(INDEX('Qida bazası'!$D$2:$D$103,MATCH(C535,'Qida bazası'!$A$2:$A$103,0))*D535/100,"?"))</f>
        <v/>
      </c>
      <c r="F535" s="19">
        <f>IF(OR(C535="",D535=""),"",IFERROR(INDEX('Qida bazası'!$E$2:$E$103,MATCH(C535,'Qida bazası'!$A$2:$A$103,0))*D535/100,"?"))</f>
        <v/>
      </c>
      <c r="G535" s="19">
        <f>IF(OR(C535="",D535=""),"",IFERROR(INDEX('Qida bazası'!$F$2:$F$103,MATCH(C535,'Qida bazası'!$A$2:$A$103,0))*D535/100,"?"))</f>
        <v/>
      </c>
      <c r="H535" s="19">
        <f>IF(OR(C535="",D535=""),"",IFERROR(INDEX('Qida bazası'!$G$2:$G$103,MATCH(C535,'Qida bazası'!$A$2:$A$103,0))*D535/100,"?"))</f>
        <v/>
      </c>
    </row>
    <row r="536">
      <c r="A536" s="21" t="n"/>
      <c r="E536" s="18">
        <f>IF(OR(C536="",D536=""),"",IFERROR(INDEX('Qida bazası'!$D$2:$D$103,MATCH(C536,'Qida bazası'!$A$2:$A$103,0))*D536/100,"?"))</f>
        <v/>
      </c>
      <c r="F536" s="19">
        <f>IF(OR(C536="",D536=""),"",IFERROR(INDEX('Qida bazası'!$E$2:$E$103,MATCH(C536,'Qida bazası'!$A$2:$A$103,0))*D536/100,"?"))</f>
        <v/>
      </c>
      <c r="G536" s="19">
        <f>IF(OR(C536="",D536=""),"",IFERROR(INDEX('Qida bazası'!$F$2:$F$103,MATCH(C536,'Qida bazası'!$A$2:$A$103,0))*D536/100,"?"))</f>
        <v/>
      </c>
      <c r="H536" s="19">
        <f>IF(OR(C536="",D536=""),"",IFERROR(INDEX('Qida bazası'!$G$2:$G$103,MATCH(C536,'Qida bazası'!$A$2:$A$103,0))*D536/100,"?"))</f>
        <v/>
      </c>
    </row>
    <row r="537">
      <c r="A537" s="21" t="n"/>
      <c r="E537" s="18">
        <f>IF(OR(C537="",D537=""),"",IFERROR(INDEX('Qida bazası'!$D$2:$D$103,MATCH(C537,'Qida bazası'!$A$2:$A$103,0))*D537/100,"?"))</f>
        <v/>
      </c>
      <c r="F537" s="19">
        <f>IF(OR(C537="",D537=""),"",IFERROR(INDEX('Qida bazası'!$E$2:$E$103,MATCH(C537,'Qida bazası'!$A$2:$A$103,0))*D537/100,"?"))</f>
        <v/>
      </c>
      <c r="G537" s="19">
        <f>IF(OR(C537="",D537=""),"",IFERROR(INDEX('Qida bazası'!$F$2:$F$103,MATCH(C537,'Qida bazası'!$A$2:$A$103,0))*D537/100,"?"))</f>
        <v/>
      </c>
      <c r="H537" s="19">
        <f>IF(OR(C537="",D537=""),"",IFERROR(INDEX('Qida bazası'!$G$2:$G$103,MATCH(C537,'Qida bazası'!$A$2:$A$103,0))*D537/100,"?"))</f>
        <v/>
      </c>
    </row>
    <row r="538">
      <c r="A538" s="21" t="n"/>
      <c r="E538" s="18">
        <f>IF(OR(C538="",D538=""),"",IFERROR(INDEX('Qida bazası'!$D$2:$D$103,MATCH(C538,'Qida bazası'!$A$2:$A$103,0))*D538/100,"?"))</f>
        <v/>
      </c>
      <c r="F538" s="19">
        <f>IF(OR(C538="",D538=""),"",IFERROR(INDEX('Qida bazası'!$E$2:$E$103,MATCH(C538,'Qida bazası'!$A$2:$A$103,0))*D538/100,"?"))</f>
        <v/>
      </c>
      <c r="G538" s="19">
        <f>IF(OR(C538="",D538=""),"",IFERROR(INDEX('Qida bazası'!$F$2:$F$103,MATCH(C538,'Qida bazası'!$A$2:$A$103,0))*D538/100,"?"))</f>
        <v/>
      </c>
      <c r="H538" s="19">
        <f>IF(OR(C538="",D538=""),"",IFERROR(INDEX('Qida bazası'!$G$2:$G$103,MATCH(C538,'Qida bazası'!$A$2:$A$103,0))*D538/100,"?"))</f>
        <v/>
      </c>
    </row>
    <row r="539">
      <c r="A539" s="21" t="n"/>
      <c r="E539" s="18">
        <f>IF(OR(C539="",D539=""),"",IFERROR(INDEX('Qida bazası'!$D$2:$D$103,MATCH(C539,'Qida bazası'!$A$2:$A$103,0))*D539/100,"?"))</f>
        <v/>
      </c>
      <c r="F539" s="19">
        <f>IF(OR(C539="",D539=""),"",IFERROR(INDEX('Qida bazası'!$E$2:$E$103,MATCH(C539,'Qida bazası'!$A$2:$A$103,0))*D539/100,"?"))</f>
        <v/>
      </c>
      <c r="G539" s="19">
        <f>IF(OR(C539="",D539=""),"",IFERROR(INDEX('Qida bazası'!$F$2:$F$103,MATCH(C539,'Qida bazası'!$A$2:$A$103,0))*D539/100,"?"))</f>
        <v/>
      </c>
      <c r="H539" s="19">
        <f>IF(OR(C539="",D539=""),"",IFERROR(INDEX('Qida bazası'!$G$2:$G$103,MATCH(C539,'Qida bazası'!$A$2:$A$103,0))*D539/100,"?"))</f>
        <v/>
      </c>
    </row>
    <row r="540">
      <c r="A540" s="21" t="n"/>
      <c r="E540" s="18">
        <f>IF(OR(C540="",D540=""),"",IFERROR(INDEX('Qida bazası'!$D$2:$D$103,MATCH(C540,'Qida bazası'!$A$2:$A$103,0))*D540/100,"?"))</f>
        <v/>
      </c>
      <c r="F540" s="19">
        <f>IF(OR(C540="",D540=""),"",IFERROR(INDEX('Qida bazası'!$E$2:$E$103,MATCH(C540,'Qida bazası'!$A$2:$A$103,0))*D540/100,"?"))</f>
        <v/>
      </c>
      <c r="G540" s="19">
        <f>IF(OR(C540="",D540=""),"",IFERROR(INDEX('Qida bazası'!$F$2:$F$103,MATCH(C540,'Qida bazası'!$A$2:$A$103,0))*D540/100,"?"))</f>
        <v/>
      </c>
      <c r="H540" s="19">
        <f>IF(OR(C540="",D540=""),"",IFERROR(INDEX('Qida bazası'!$G$2:$G$103,MATCH(C540,'Qida bazası'!$A$2:$A$103,0))*D540/100,"?"))</f>
        <v/>
      </c>
    </row>
    <row r="541">
      <c r="A541" s="21" t="n"/>
      <c r="E541" s="18">
        <f>IF(OR(C541="",D541=""),"",IFERROR(INDEX('Qida bazası'!$D$2:$D$103,MATCH(C541,'Qida bazası'!$A$2:$A$103,0))*D541/100,"?"))</f>
        <v/>
      </c>
      <c r="F541" s="19">
        <f>IF(OR(C541="",D541=""),"",IFERROR(INDEX('Qida bazası'!$E$2:$E$103,MATCH(C541,'Qida bazası'!$A$2:$A$103,0))*D541/100,"?"))</f>
        <v/>
      </c>
      <c r="G541" s="19">
        <f>IF(OR(C541="",D541=""),"",IFERROR(INDEX('Qida bazası'!$F$2:$F$103,MATCH(C541,'Qida bazası'!$A$2:$A$103,0))*D541/100,"?"))</f>
        <v/>
      </c>
      <c r="H541" s="19">
        <f>IF(OR(C541="",D541=""),"",IFERROR(INDEX('Qida bazası'!$G$2:$G$103,MATCH(C541,'Qida bazası'!$A$2:$A$103,0))*D541/100,"?"))</f>
        <v/>
      </c>
    </row>
    <row r="542">
      <c r="A542" s="21" t="n"/>
      <c r="E542" s="18">
        <f>IF(OR(C542="",D542=""),"",IFERROR(INDEX('Qida bazası'!$D$2:$D$103,MATCH(C542,'Qida bazası'!$A$2:$A$103,0))*D542/100,"?"))</f>
        <v/>
      </c>
      <c r="F542" s="19">
        <f>IF(OR(C542="",D542=""),"",IFERROR(INDEX('Qida bazası'!$E$2:$E$103,MATCH(C542,'Qida bazası'!$A$2:$A$103,0))*D542/100,"?"))</f>
        <v/>
      </c>
      <c r="G542" s="19">
        <f>IF(OR(C542="",D542=""),"",IFERROR(INDEX('Qida bazası'!$F$2:$F$103,MATCH(C542,'Qida bazası'!$A$2:$A$103,0))*D542/100,"?"))</f>
        <v/>
      </c>
      <c r="H542" s="19">
        <f>IF(OR(C542="",D542=""),"",IFERROR(INDEX('Qida bazası'!$G$2:$G$103,MATCH(C542,'Qida bazası'!$A$2:$A$103,0))*D542/100,"?"))</f>
        <v/>
      </c>
    </row>
    <row r="543">
      <c r="A543" s="21" t="n"/>
      <c r="E543" s="18">
        <f>IF(OR(C543="",D543=""),"",IFERROR(INDEX('Qida bazası'!$D$2:$D$103,MATCH(C543,'Qida bazası'!$A$2:$A$103,0))*D543/100,"?"))</f>
        <v/>
      </c>
      <c r="F543" s="19">
        <f>IF(OR(C543="",D543=""),"",IFERROR(INDEX('Qida bazası'!$E$2:$E$103,MATCH(C543,'Qida bazası'!$A$2:$A$103,0))*D543/100,"?"))</f>
        <v/>
      </c>
      <c r="G543" s="19">
        <f>IF(OR(C543="",D543=""),"",IFERROR(INDEX('Qida bazası'!$F$2:$F$103,MATCH(C543,'Qida bazası'!$A$2:$A$103,0))*D543/100,"?"))</f>
        <v/>
      </c>
      <c r="H543" s="19">
        <f>IF(OR(C543="",D543=""),"",IFERROR(INDEX('Qida bazası'!$G$2:$G$103,MATCH(C543,'Qida bazası'!$A$2:$A$103,0))*D543/100,"?"))</f>
        <v/>
      </c>
    </row>
    <row r="544">
      <c r="A544" s="21" t="n"/>
      <c r="E544" s="18">
        <f>IF(OR(C544="",D544=""),"",IFERROR(INDEX('Qida bazası'!$D$2:$D$103,MATCH(C544,'Qida bazası'!$A$2:$A$103,0))*D544/100,"?"))</f>
        <v/>
      </c>
      <c r="F544" s="19">
        <f>IF(OR(C544="",D544=""),"",IFERROR(INDEX('Qida bazası'!$E$2:$E$103,MATCH(C544,'Qida bazası'!$A$2:$A$103,0))*D544/100,"?"))</f>
        <v/>
      </c>
      <c r="G544" s="19">
        <f>IF(OR(C544="",D544=""),"",IFERROR(INDEX('Qida bazası'!$F$2:$F$103,MATCH(C544,'Qida bazası'!$A$2:$A$103,0))*D544/100,"?"))</f>
        <v/>
      </c>
      <c r="H544" s="19">
        <f>IF(OR(C544="",D544=""),"",IFERROR(INDEX('Qida bazası'!$G$2:$G$103,MATCH(C544,'Qida bazası'!$A$2:$A$103,0))*D544/100,"?"))</f>
        <v/>
      </c>
    </row>
    <row r="545">
      <c r="A545" s="21" t="n"/>
      <c r="E545" s="18">
        <f>IF(OR(C545="",D545=""),"",IFERROR(INDEX('Qida bazası'!$D$2:$D$103,MATCH(C545,'Qida bazası'!$A$2:$A$103,0))*D545/100,"?"))</f>
        <v/>
      </c>
      <c r="F545" s="19">
        <f>IF(OR(C545="",D545=""),"",IFERROR(INDEX('Qida bazası'!$E$2:$E$103,MATCH(C545,'Qida bazası'!$A$2:$A$103,0))*D545/100,"?"))</f>
        <v/>
      </c>
      <c r="G545" s="19">
        <f>IF(OR(C545="",D545=""),"",IFERROR(INDEX('Qida bazası'!$F$2:$F$103,MATCH(C545,'Qida bazası'!$A$2:$A$103,0))*D545/100,"?"))</f>
        <v/>
      </c>
      <c r="H545" s="19">
        <f>IF(OR(C545="",D545=""),"",IFERROR(INDEX('Qida bazası'!$G$2:$G$103,MATCH(C545,'Qida bazası'!$A$2:$A$103,0))*D545/100,"?"))</f>
        <v/>
      </c>
    </row>
    <row r="546">
      <c r="A546" s="21" t="n"/>
      <c r="E546" s="18">
        <f>IF(OR(C546="",D546=""),"",IFERROR(INDEX('Qida bazası'!$D$2:$D$103,MATCH(C546,'Qida bazası'!$A$2:$A$103,0))*D546/100,"?"))</f>
        <v/>
      </c>
      <c r="F546" s="19">
        <f>IF(OR(C546="",D546=""),"",IFERROR(INDEX('Qida bazası'!$E$2:$E$103,MATCH(C546,'Qida bazası'!$A$2:$A$103,0))*D546/100,"?"))</f>
        <v/>
      </c>
      <c r="G546" s="19">
        <f>IF(OR(C546="",D546=""),"",IFERROR(INDEX('Qida bazası'!$F$2:$F$103,MATCH(C546,'Qida bazası'!$A$2:$A$103,0))*D546/100,"?"))</f>
        <v/>
      </c>
      <c r="H546" s="19">
        <f>IF(OR(C546="",D546=""),"",IFERROR(INDEX('Qida bazası'!$G$2:$G$103,MATCH(C546,'Qida bazası'!$A$2:$A$103,0))*D546/100,"?"))</f>
        <v/>
      </c>
    </row>
    <row r="547">
      <c r="A547" s="21" t="n"/>
      <c r="E547" s="18">
        <f>IF(OR(C547="",D547=""),"",IFERROR(INDEX('Qida bazası'!$D$2:$D$103,MATCH(C547,'Qida bazası'!$A$2:$A$103,0))*D547/100,"?"))</f>
        <v/>
      </c>
      <c r="F547" s="19">
        <f>IF(OR(C547="",D547=""),"",IFERROR(INDEX('Qida bazası'!$E$2:$E$103,MATCH(C547,'Qida bazası'!$A$2:$A$103,0))*D547/100,"?"))</f>
        <v/>
      </c>
      <c r="G547" s="19">
        <f>IF(OR(C547="",D547=""),"",IFERROR(INDEX('Qida bazası'!$F$2:$F$103,MATCH(C547,'Qida bazası'!$A$2:$A$103,0))*D547/100,"?"))</f>
        <v/>
      </c>
      <c r="H547" s="19">
        <f>IF(OR(C547="",D547=""),"",IFERROR(INDEX('Qida bazası'!$G$2:$G$103,MATCH(C547,'Qida bazası'!$A$2:$A$103,0))*D547/100,"?"))</f>
        <v/>
      </c>
    </row>
    <row r="548">
      <c r="A548" s="21" t="n"/>
      <c r="E548" s="18">
        <f>IF(OR(C548="",D548=""),"",IFERROR(INDEX('Qida bazası'!$D$2:$D$103,MATCH(C548,'Qida bazası'!$A$2:$A$103,0))*D548/100,"?"))</f>
        <v/>
      </c>
      <c r="F548" s="19">
        <f>IF(OR(C548="",D548=""),"",IFERROR(INDEX('Qida bazası'!$E$2:$E$103,MATCH(C548,'Qida bazası'!$A$2:$A$103,0))*D548/100,"?"))</f>
        <v/>
      </c>
      <c r="G548" s="19">
        <f>IF(OR(C548="",D548=""),"",IFERROR(INDEX('Qida bazası'!$F$2:$F$103,MATCH(C548,'Qida bazası'!$A$2:$A$103,0))*D548/100,"?"))</f>
        <v/>
      </c>
      <c r="H548" s="19">
        <f>IF(OR(C548="",D548=""),"",IFERROR(INDEX('Qida bazası'!$G$2:$G$103,MATCH(C548,'Qida bazası'!$A$2:$A$103,0))*D548/100,"?"))</f>
        <v/>
      </c>
    </row>
    <row r="549">
      <c r="A549" s="21" t="n"/>
      <c r="E549" s="18">
        <f>IF(OR(C549="",D549=""),"",IFERROR(INDEX('Qida bazası'!$D$2:$D$103,MATCH(C549,'Qida bazası'!$A$2:$A$103,0))*D549/100,"?"))</f>
        <v/>
      </c>
      <c r="F549" s="19">
        <f>IF(OR(C549="",D549=""),"",IFERROR(INDEX('Qida bazası'!$E$2:$E$103,MATCH(C549,'Qida bazası'!$A$2:$A$103,0))*D549/100,"?"))</f>
        <v/>
      </c>
      <c r="G549" s="19">
        <f>IF(OR(C549="",D549=""),"",IFERROR(INDEX('Qida bazası'!$F$2:$F$103,MATCH(C549,'Qida bazası'!$A$2:$A$103,0))*D549/100,"?"))</f>
        <v/>
      </c>
      <c r="H549" s="19">
        <f>IF(OR(C549="",D549=""),"",IFERROR(INDEX('Qida bazası'!$G$2:$G$103,MATCH(C549,'Qida bazası'!$A$2:$A$103,0))*D549/100,"?"))</f>
        <v/>
      </c>
    </row>
    <row r="550">
      <c r="A550" s="21" t="n"/>
      <c r="E550" s="18">
        <f>IF(OR(C550="",D550=""),"",IFERROR(INDEX('Qida bazası'!$D$2:$D$103,MATCH(C550,'Qida bazası'!$A$2:$A$103,0))*D550/100,"?"))</f>
        <v/>
      </c>
      <c r="F550" s="19">
        <f>IF(OR(C550="",D550=""),"",IFERROR(INDEX('Qida bazası'!$E$2:$E$103,MATCH(C550,'Qida bazası'!$A$2:$A$103,0))*D550/100,"?"))</f>
        <v/>
      </c>
      <c r="G550" s="19">
        <f>IF(OR(C550="",D550=""),"",IFERROR(INDEX('Qida bazası'!$F$2:$F$103,MATCH(C550,'Qida bazası'!$A$2:$A$103,0))*D550/100,"?"))</f>
        <v/>
      </c>
      <c r="H550" s="19">
        <f>IF(OR(C550="",D550=""),"",IFERROR(INDEX('Qida bazası'!$G$2:$G$103,MATCH(C550,'Qida bazası'!$A$2:$A$103,0))*D550/100,"?"))</f>
        <v/>
      </c>
    </row>
    <row r="551">
      <c r="A551" s="21" t="n"/>
      <c r="E551" s="18">
        <f>IF(OR(C551="",D551=""),"",IFERROR(INDEX('Qida bazası'!$D$2:$D$103,MATCH(C551,'Qida bazası'!$A$2:$A$103,0))*D551/100,"?"))</f>
        <v/>
      </c>
      <c r="F551" s="19">
        <f>IF(OR(C551="",D551=""),"",IFERROR(INDEX('Qida bazası'!$E$2:$E$103,MATCH(C551,'Qida bazası'!$A$2:$A$103,0))*D551/100,"?"))</f>
        <v/>
      </c>
      <c r="G551" s="19">
        <f>IF(OR(C551="",D551=""),"",IFERROR(INDEX('Qida bazası'!$F$2:$F$103,MATCH(C551,'Qida bazası'!$A$2:$A$103,0))*D551/100,"?"))</f>
        <v/>
      </c>
      <c r="H551" s="19">
        <f>IF(OR(C551="",D551=""),"",IFERROR(INDEX('Qida bazası'!$G$2:$G$103,MATCH(C551,'Qida bazası'!$A$2:$A$103,0))*D551/100,"?"))</f>
        <v/>
      </c>
    </row>
    <row r="552">
      <c r="A552" s="21" t="n"/>
      <c r="E552" s="18">
        <f>IF(OR(C552="",D552=""),"",IFERROR(INDEX('Qida bazası'!$D$2:$D$103,MATCH(C552,'Qida bazası'!$A$2:$A$103,0))*D552/100,"?"))</f>
        <v/>
      </c>
      <c r="F552" s="19">
        <f>IF(OR(C552="",D552=""),"",IFERROR(INDEX('Qida bazası'!$E$2:$E$103,MATCH(C552,'Qida bazası'!$A$2:$A$103,0))*D552/100,"?"))</f>
        <v/>
      </c>
      <c r="G552" s="19">
        <f>IF(OR(C552="",D552=""),"",IFERROR(INDEX('Qida bazası'!$F$2:$F$103,MATCH(C552,'Qida bazası'!$A$2:$A$103,0))*D552/100,"?"))</f>
        <v/>
      </c>
      <c r="H552" s="19">
        <f>IF(OR(C552="",D552=""),"",IFERROR(INDEX('Qida bazası'!$G$2:$G$103,MATCH(C552,'Qida bazası'!$A$2:$A$103,0))*D552/100,"?"))</f>
        <v/>
      </c>
    </row>
    <row r="553">
      <c r="A553" s="21" t="n"/>
      <c r="E553" s="18">
        <f>IF(OR(C553="",D553=""),"",IFERROR(INDEX('Qida bazası'!$D$2:$D$103,MATCH(C553,'Qida bazası'!$A$2:$A$103,0))*D553/100,"?"))</f>
        <v/>
      </c>
      <c r="F553" s="19">
        <f>IF(OR(C553="",D553=""),"",IFERROR(INDEX('Qida bazası'!$E$2:$E$103,MATCH(C553,'Qida bazası'!$A$2:$A$103,0))*D553/100,"?"))</f>
        <v/>
      </c>
      <c r="G553" s="19">
        <f>IF(OR(C553="",D553=""),"",IFERROR(INDEX('Qida bazası'!$F$2:$F$103,MATCH(C553,'Qida bazası'!$A$2:$A$103,0))*D553/100,"?"))</f>
        <v/>
      </c>
      <c r="H553" s="19">
        <f>IF(OR(C553="",D553=""),"",IFERROR(INDEX('Qida bazası'!$G$2:$G$103,MATCH(C553,'Qida bazası'!$A$2:$A$103,0))*D553/100,"?"))</f>
        <v/>
      </c>
    </row>
    <row r="554">
      <c r="A554" s="21" t="n"/>
      <c r="E554" s="18">
        <f>IF(OR(C554="",D554=""),"",IFERROR(INDEX('Qida bazası'!$D$2:$D$103,MATCH(C554,'Qida bazası'!$A$2:$A$103,0))*D554/100,"?"))</f>
        <v/>
      </c>
      <c r="F554" s="19">
        <f>IF(OR(C554="",D554=""),"",IFERROR(INDEX('Qida bazası'!$E$2:$E$103,MATCH(C554,'Qida bazası'!$A$2:$A$103,0))*D554/100,"?"))</f>
        <v/>
      </c>
      <c r="G554" s="19">
        <f>IF(OR(C554="",D554=""),"",IFERROR(INDEX('Qida bazası'!$F$2:$F$103,MATCH(C554,'Qida bazası'!$A$2:$A$103,0))*D554/100,"?"))</f>
        <v/>
      </c>
      <c r="H554" s="19">
        <f>IF(OR(C554="",D554=""),"",IFERROR(INDEX('Qida bazası'!$G$2:$G$103,MATCH(C554,'Qida bazası'!$A$2:$A$103,0))*D554/100,"?"))</f>
        <v/>
      </c>
    </row>
    <row r="555">
      <c r="A555" s="21" t="n"/>
      <c r="E555" s="18">
        <f>IF(OR(C555="",D555=""),"",IFERROR(INDEX('Qida bazası'!$D$2:$D$103,MATCH(C555,'Qida bazası'!$A$2:$A$103,0))*D555/100,"?"))</f>
        <v/>
      </c>
      <c r="F555" s="19">
        <f>IF(OR(C555="",D555=""),"",IFERROR(INDEX('Qida bazası'!$E$2:$E$103,MATCH(C555,'Qida bazası'!$A$2:$A$103,0))*D555/100,"?"))</f>
        <v/>
      </c>
      <c r="G555" s="19">
        <f>IF(OR(C555="",D555=""),"",IFERROR(INDEX('Qida bazası'!$F$2:$F$103,MATCH(C555,'Qida bazası'!$A$2:$A$103,0))*D555/100,"?"))</f>
        <v/>
      </c>
      <c r="H555" s="19">
        <f>IF(OR(C555="",D555=""),"",IFERROR(INDEX('Qida bazası'!$G$2:$G$103,MATCH(C555,'Qida bazası'!$A$2:$A$103,0))*D555/100,"?"))</f>
        <v/>
      </c>
    </row>
    <row r="556">
      <c r="A556" s="21" t="n"/>
      <c r="E556" s="18">
        <f>IF(OR(C556="",D556=""),"",IFERROR(INDEX('Qida bazası'!$D$2:$D$103,MATCH(C556,'Qida bazası'!$A$2:$A$103,0))*D556/100,"?"))</f>
        <v/>
      </c>
      <c r="F556" s="19">
        <f>IF(OR(C556="",D556=""),"",IFERROR(INDEX('Qida bazası'!$E$2:$E$103,MATCH(C556,'Qida bazası'!$A$2:$A$103,0))*D556/100,"?"))</f>
        <v/>
      </c>
      <c r="G556" s="19">
        <f>IF(OR(C556="",D556=""),"",IFERROR(INDEX('Qida bazası'!$F$2:$F$103,MATCH(C556,'Qida bazası'!$A$2:$A$103,0))*D556/100,"?"))</f>
        <v/>
      </c>
      <c r="H556" s="19">
        <f>IF(OR(C556="",D556=""),"",IFERROR(INDEX('Qida bazası'!$G$2:$G$103,MATCH(C556,'Qida bazası'!$A$2:$A$103,0))*D556/100,"?"))</f>
        <v/>
      </c>
    </row>
    <row r="557">
      <c r="A557" s="21" t="n"/>
      <c r="E557" s="18">
        <f>IF(OR(C557="",D557=""),"",IFERROR(INDEX('Qida bazası'!$D$2:$D$103,MATCH(C557,'Qida bazası'!$A$2:$A$103,0))*D557/100,"?"))</f>
        <v/>
      </c>
      <c r="F557" s="19">
        <f>IF(OR(C557="",D557=""),"",IFERROR(INDEX('Qida bazası'!$E$2:$E$103,MATCH(C557,'Qida bazası'!$A$2:$A$103,0))*D557/100,"?"))</f>
        <v/>
      </c>
      <c r="G557" s="19">
        <f>IF(OR(C557="",D557=""),"",IFERROR(INDEX('Qida bazası'!$F$2:$F$103,MATCH(C557,'Qida bazası'!$A$2:$A$103,0))*D557/100,"?"))</f>
        <v/>
      </c>
      <c r="H557" s="19">
        <f>IF(OR(C557="",D557=""),"",IFERROR(INDEX('Qida bazası'!$G$2:$G$103,MATCH(C557,'Qida bazası'!$A$2:$A$103,0))*D557/100,"?"))</f>
        <v/>
      </c>
    </row>
    <row r="558">
      <c r="A558" s="21" t="n"/>
      <c r="E558" s="18">
        <f>IF(OR(C558="",D558=""),"",IFERROR(INDEX('Qida bazası'!$D$2:$D$103,MATCH(C558,'Qida bazası'!$A$2:$A$103,0))*D558/100,"?"))</f>
        <v/>
      </c>
      <c r="F558" s="19">
        <f>IF(OR(C558="",D558=""),"",IFERROR(INDEX('Qida bazası'!$E$2:$E$103,MATCH(C558,'Qida bazası'!$A$2:$A$103,0))*D558/100,"?"))</f>
        <v/>
      </c>
      <c r="G558" s="19">
        <f>IF(OR(C558="",D558=""),"",IFERROR(INDEX('Qida bazası'!$F$2:$F$103,MATCH(C558,'Qida bazası'!$A$2:$A$103,0))*D558/100,"?"))</f>
        <v/>
      </c>
      <c r="H558" s="19">
        <f>IF(OR(C558="",D558=""),"",IFERROR(INDEX('Qida bazası'!$G$2:$G$103,MATCH(C558,'Qida bazası'!$A$2:$A$103,0))*D558/100,"?"))</f>
        <v/>
      </c>
    </row>
    <row r="559">
      <c r="A559" s="21" t="n"/>
      <c r="E559" s="18">
        <f>IF(OR(C559="",D559=""),"",IFERROR(INDEX('Qida bazası'!$D$2:$D$103,MATCH(C559,'Qida bazası'!$A$2:$A$103,0))*D559/100,"?"))</f>
        <v/>
      </c>
      <c r="F559" s="19">
        <f>IF(OR(C559="",D559=""),"",IFERROR(INDEX('Qida bazası'!$E$2:$E$103,MATCH(C559,'Qida bazası'!$A$2:$A$103,0))*D559/100,"?"))</f>
        <v/>
      </c>
      <c r="G559" s="19">
        <f>IF(OR(C559="",D559=""),"",IFERROR(INDEX('Qida bazası'!$F$2:$F$103,MATCH(C559,'Qida bazası'!$A$2:$A$103,0))*D559/100,"?"))</f>
        <v/>
      </c>
      <c r="H559" s="19">
        <f>IF(OR(C559="",D559=""),"",IFERROR(INDEX('Qida bazası'!$G$2:$G$103,MATCH(C559,'Qida bazası'!$A$2:$A$103,0))*D559/100,"?"))</f>
        <v/>
      </c>
    </row>
    <row r="560">
      <c r="A560" s="21" t="n"/>
      <c r="E560" s="18">
        <f>IF(OR(C560="",D560=""),"",IFERROR(INDEX('Qida bazası'!$D$2:$D$103,MATCH(C560,'Qida bazası'!$A$2:$A$103,0))*D560/100,"?"))</f>
        <v/>
      </c>
      <c r="F560" s="19">
        <f>IF(OR(C560="",D560=""),"",IFERROR(INDEX('Qida bazası'!$E$2:$E$103,MATCH(C560,'Qida bazası'!$A$2:$A$103,0))*D560/100,"?"))</f>
        <v/>
      </c>
      <c r="G560" s="19">
        <f>IF(OR(C560="",D560=""),"",IFERROR(INDEX('Qida bazası'!$F$2:$F$103,MATCH(C560,'Qida bazası'!$A$2:$A$103,0))*D560/100,"?"))</f>
        <v/>
      </c>
      <c r="H560" s="19">
        <f>IF(OR(C560="",D560=""),"",IFERROR(INDEX('Qida bazası'!$G$2:$G$103,MATCH(C560,'Qida bazası'!$A$2:$A$103,0))*D560/100,"?"))</f>
        <v/>
      </c>
    </row>
    <row r="561">
      <c r="A561" s="21" t="n"/>
      <c r="E561" s="18">
        <f>IF(OR(C561="",D561=""),"",IFERROR(INDEX('Qida bazası'!$D$2:$D$103,MATCH(C561,'Qida bazası'!$A$2:$A$103,0))*D561/100,"?"))</f>
        <v/>
      </c>
      <c r="F561" s="19">
        <f>IF(OR(C561="",D561=""),"",IFERROR(INDEX('Qida bazası'!$E$2:$E$103,MATCH(C561,'Qida bazası'!$A$2:$A$103,0))*D561/100,"?"))</f>
        <v/>
      </c>
      <c r="G561" s="19">
        <f>IF(OR(C561="",D561=""),"",IFERROR(INDEX('Qida bazası'!$F$2:$F$103,MATCH(C561,'Qida bazası'!$A$2:$A$103,0))*D561/100,"?"))</f>
        <v/>
      </c>
      <c r="H561" s="19">
        <f>IF(OR(C561="",D561=""),"",IFERROR(INDEX('Qida bazası'!$G$2:$G$103,MATCH(C561,'Qida bazası'!$A$2:$A$103,0))*D561/100,"?"))</f>
        <v/>
      </c>
    </row>
    <row r="562">
      <c r="A562" s="21" t="n"/>
      <c r="E562" s="18">
        <f>IF(OR(C562="",D562=""),"",IFERROR(INDEX('Qida bazası'!$D$2:$D$103,MATCH(C562,'Qida bazası'!$A$2:$A$103,0))*D562/100,"?"))</f>
        <v/>
      </c>
      <c r="F562" s="19">
        <f>IF(OR(C562="",D562=""),"",IFERROR(INDEX('Qida bazası'!$E$2:$E$103,MATCH(C562,'Qida bazası'!$A$2:$A$103,0))*D562/100,"?"))</f>
        <v/>
      </c>
      <c r="G562" s="19">
        <f>IF(OR(C562="",D562=""),"",IFERROR(INDEX('Qida bazası'!$F$2:$F$103,MATCH(C562,'Qida bazası'!$A$2:$A$103,0))*D562/100,"?"))</f>
        <v/>
      </c>
      <c r="H562" s="19">
        <f>IF(OR(C562="",D562=""),"",IFERROR(INDEX('Qida bazası'!$G$2:$G$103,MATCH(C562,'Qida bazası'!$A$2:$A$103,0))*D562/100,"?"))</f>
        <v/>
      </c>
    </row>
    <row r="563">
      <c r="A563" s="21" t="n"/>
      <c r="E563" s="18">
        <f>IF(OR(C563="",D563=""),"",IFERROR(INDEX('Qida bazası'!$D$2:$D$103,MATCH(C563,'Qida bazası'!$A$2:$A$103,0))*D563/100,"?"))</f>
        <v/>
      </c>
      <c r="F563" s="19">
        <f>IF(OR(C563="",D563=""),"",IFERROR(INDEX('Qida bazası'!$E$2:$E$103,MATCH(C563,'Qida bazası'!$A$2:$A$103,0))*D563/100,"?"))</f>
        <v/>
      </c>
      <c r="G563" s="19">
        <f>IF(OR(C563="",D563=""),"",IFERROR(INDEX('Qida bazası'!$F$2:$F$103,MATCH(C563,'Qida bazası'!$A$2:$A$103,0))*D563/100,"?"))</f>
        <v/>
      </c>
      <c r="H563" s="19">
        <f>IF(OR(C563="",D563=""),"",IFERROR(INDEX('Qida bazası'!$G$2:$G$103,MATCH(C563,'Qida bazası'!$A$2:$A$103,0))*D563/100,"?"))</f>
        <v/>
      </c>
    </row>
    <row r="564">
      <c r="A564" s="21" t="n"/>
      <c r="E564" s="18">
        <f>IF(OR(C564="",D564=""),"",IFERROR(INDEX('Qida bazası'!$D$2:$D$103,MATCH(C564,'Qida bazası'!$A$2:$A$103,0))*D564/100,"?"))</f>
        <v/>
      </c>
      <c r="F564" s="19">
        <f>IF(OR(C564="",D564=""),"",IFERROR(INDEX('Qida bazası'!$E$2:$E$103,MATCH(C564,'Qida bazası'!$A$2:$A$103,0))*D564/100,"?"))</f>
        <v/>
      </c>
      <c r="G564" s="19">
        <f>IF(OR(C564="",D564=""),"",IFERROR(INDEX('Qida bazası'!$F$2:$F$103,MATCH(C564,'Qida bazası'!$A$2:$A$103,0))*D564/100,"?"))</f>
        <v/>
      </c>
      <c r="H564" s="19">
        <f>IF(OR(C564="",D564=""),"",IFERROR(INDEX('Qida bazası'!$G$2:$G$103,MATCH(C564,'Qida bazası'!$A$2:$A$103,0))*D564/100,"?"))</f>
        <v/>
      </c>
    </row>
    <row r="565">
      <c r="A565" s="21" t="n"/>
      <c r="E565" s="18">
        <f>IF(OR(C565="",D565=""),"",IFERROR(INDEX('Qida bazası'!$D$2:$D$103,MATCH(C565,'Qida bazası'!$A$2:$A$103,0))*D565/100,"?"))</f>
        <v/>
      </c>
      <c r="F565" s="19">
        <f>IF(OR(C565="",D565=""),"",IFERROR(INDEX('Qida bazası'!$E$2:$E$103,MATCH(C565,'Qida bazası'!$A$2:$A$103,0))*D565/100,"?"))</f>
        <v/>
      </c>
      <c r="G565" s="19">
        <f>IF(OR(C565="",D565=""),"",IFERROR(INDEX('Qida bazası'!$F$2:$F$103,MATCH(C565,'Qida bazası'!$A$2:$A$103,0))*D565/100,"?"))</f>
        <v/>
      </c>
      <c r="H565" s="19">
        <f>IF(OR(C565="",D565=""),"",IFERROR(INDEX('Qida bazası'!$G$2:$G$103,MATCH(C565,'Qida bazası'!$A$2:$A$103,0))*D565/100,"?"))</f>
        <v/>
      </c>
    </row>
    <row r="566">
      <c r="A566" s="21" t="n"/>
      <c r="E566" s="18">
        <f>IF(OR(C566="",D566=""),"",IFERROR(INDEX('Qida bazası'!$D$2:$D$103,MATCH(C566,'Qida bazası'!$A$2:$A$103,0))*D566/100,"?"))</f>
        <v/>
      </c>
      <c r="F566" s="19">
        <f>IF(OR(C566="",D566=""),"",IFERROR(INDEX('Qida bazası'!$E$2:$E$103,MATCH(C566,'Qida bazası'!$A$2:$A$103,0))*D566/100,"?"))</f>
        <v/>
      </c>
      <c r="G566" s="19">
        <f>IF(OR(C566="",D566=""),"",IFERROR(INDEX('Qida bazası'!$F$2:$F$103,MATCH(C566,'Qida bazası'!$A$2:$A$103,0))*D566/100,"?"))</f>
        <v/>
      </c>
      <c r="H566" s="19">
        <f>IF(OR(C566="",D566=""),"",IFERROR(INDEX('Qida bazası'!$G$2:$G$103,MATCH(C566,'Qida bazası'!$A$2:$A$103,0))*D566/100,"?"))</f>
        <v/>
      </c>
    </row>
    <row r="567">
      <c r="A567" s="21" t="n"/>
      <c r="E567" s="18">
        <f>IF(OR(C567="",D567=""),"",IFERROR(INDEX('Qida bazası'!$D$2:$D$103,MATCH(C567,'Qida bazası'!$A$2:$A$103,0))*D567/100,"?"))</f>
        <v/>
      </c>
      <c r="F567" s="19">
        <f>IF(OR(C567="",D567=""),"",IFERROR(INDEX('Qida bazası'!$E$2:$E$103,MATCH(C567,'Qida bazası'!$A$2:$A$103,0))*D567/100,"?"))</f>
        <v/>
      </c>
      <c r="G567" s="19">
        <f>IF(OR(C567="",D567=""),"",IFERROR(INDEX('Qida bazası'!$F$2:$F$103,MATCH(C567,'Qida bazası'!$A$2:$A$103,0))*D567/100,"?"))</f>
        <v/>
      </c>
      <c r="H567" s="19">
        <f>IF(OR(C567="",D567=""),"",IFERROR(INDEX('Qida bazası'!$G$2:$G$103,MATCH(C567,'Qida bazası'!$A$2:$A$103,0))*D567/100,"?"))</f>
        <v/>
      </c>
    </row>
    <row r="568">
      <c r="A568" s="21" t="n"/>
      <c r="E568" s="18">
        <f>IF(OR(C568="",D568=""),"",IFERROR(INDEX('Qida bazası'!$D$2:$D$103,MATCH(C568,'Qida bazası'!$A$2:$A$103,0))*D568/100,"?"))</f>
        <v/>
      </c>
      <c r="F568" s="19">
        <f>IF(OR(C568="",D568=""),"",IFERROR(INDEX('Qida bazası'!$E$2:$E$103,MATCH(C568,'Qida bazası'!$A$2:$A$103,0))*D568/100,"?"))</f>
        <v/>
      </c>
      <c r="G568" s="19">
        <f>IF(OR(C568="",D568=""),"",IFERROR(INDEX('Qida bazası'!$F$2:$F$103,MATCH(C568,'Qida bazası'!$A$2:$A$103,0))*D568/100,"?"))</f>
        <v/>
      </c>
      <c r="H568" s="19">
        <f>IF(OR(C568="",D568=""),"",IFERROR(INDEX('Qida bazası'!$G$2:$G$103,MATCH(C568,'Qida bazası'!$A$2:$A$103,0))*D568/100,"?"))</f>
        <v/>
      </c>
    </row>
    <row r="569">
      <c r="A569" s="21" t="n"/>
      <c r="E569" s="18">
        <f>IF(OR(C569="",D569=""),"",IFERROR(INDEX('Qida bazası'!$D$2:$D$103,MATCH(C569,'Qida bazası'!$A$2:$A$103,0))*D569/100,"?"))</f>
        <v/>
      </c>
      <c r="F569" s="19">
        <f>IF(OR(C569="",D569=""),"",IFERROR(INDEX('Qida bazası'!$E$2:$E$103,MATCH(C569,'Qida bazası'!$A$2:$A$103,0))*D569/100,"?"))</f>
        <v/>
      </c>
      <c r="G569" s="19">
        <f>IF(OR(C569="",D569=""),"",IFERROR(INDEX('Qida bazası'!$F$2:$F$103,MATCH(C569,'Qida bazası'!$A$2:$A$103,0))*D569/100,"?"))</f>
        <v/>
      </c>
      <c r="H569" s="19">
        <f>IF(OR(C569="",D569=""),"",IFERROR(INDEX('Qida bazası'!$G$2:$G$103,MATCH(C569,'Qida bazası'!$A$2:$A$103,0))*D569/100,"?"))</f>
        <v/>
      </c>
    </row>
    <row r="570">
      <c r="A570" s="21" t="n"/>
      <c r="E570" s="18">
        <f>IF(OR(C570="",D570=""),"",IFERROR(INDEX('Qida bazası'!$D$2:$D$103,MATCH(C570,'Qida bazası'!$A$2:$A$103,0))*D570/100,"?"))</f>
        <v/>
      </c>
      <c r="F570" s="19">
        <f>IF(OR(C570="",D570=""),"",IFERROR(INDEX('Qida bazası'!$E$2:$E$103,MATCH(C570,'Qida bazası'!$A$2:$A$103,0))*D570/100,"?"))</f>
        <v/>
      </c>
      <c r="G570" s="19">
        <f>IF(OR(C570="",D570=""),"",IFERROR(INDEX('Qida bazası'!$F$2:$F$103,MATCH(C570,'Qida bazası'!$A$2:$A$103,0))*D570/100,"?"))</f>
        <v/>
      </c>
      <c r="H570" s="19">
        <f>IF(OR(C570="",D570=""),"",IFERROR(INDEX('Qida bazası'!$G$2:$G$103,MATCH(C570,'Qida bazası'!$A$2:$A$103,0))*D570/100,"?"))</f>
        <v/>
      </c>
    </row>
    <row r="571">
      <c r="A571" s="21" t="n"/>
      <c r="E571" s="18">
        <f>IF(OR(C571="",D571=""),"",IFERROR(INDEX('Qida bazası'!$D$2:$D$103,MATCH(C571,'Qida bazası'!$A$2:$A$103,0))*D571/100,"?"))</f>
        <v/>
      </c>
      <c r="F571" s="19">
        <f>IF(OR(C571="",D571=""),"",IFERROR(INDEX('Qida bazası'!$E$2:$E$103,MATCH(C571,'Qida bazası'!$A$2:$A$103,0))*D571/100,"?"))</f>
        <v/>
      </c>
      <c r="G571" s="19">
        <f>IF(OR(C571="",D571=""),"",IFERROR(INDEX('Qida bazası'!$F$2:$F$103,MATCH(C571,'Qida bazası'!$A$2:$A$103,0))*D571/100,"?"))</f>
        <v/>
      </c>
      <c r="H571" s="19">
        <f>IF(OR(C571="",D571=""),"",IFERROR(INDEX('Qida bazası'!$G$2:$G$103,MATCH(C571,'Qida bazası'!$A$2:$A$103,0))*D571/100,"?"))</f>
        <v/>
      </c>
    </row>
    <row r="572">
      <c r="A572" s="21" t="n"/>
      <c r="E572" s="18">
        <f>IF(OR(C572="",D572=""),"",IFERROR(INDEX('Qida bazası'!$D$2:$D$103,MATCH(C572,'Qida bazası'!$A$2:$A$103,0))*D572/100,"?"))</f>
        <v/>
      </c>
      <c r="F572" s="19">
        <f>IF(OR(C572="",D572=""),"",IFERROR(INDEX('Qida bazası'!$E$2:$E$103,MATCH(C572,'Qida bazası'!$A$2:$A$103,0))*D572/100,"?"))</f>
        <v/>
      </c>
      <c r="G572" s="19">
        <f>IF(OR(C572="",D572=""),"",IFERROR(INDEX('Qida bazası'!$F$2:$F$103,MATCH(C572,'Qida bazası'!$A$2:$A$103,0))*D572/100,"?"))</f>
        <v/>
      </c>
      <c r="H572" s="19">
        <f>IF(OR(C572="",D572=""),"",IFERROR(INDEX('Qida bazası'!$G$2:$G$103,MATCH(C572,'Qida bazası'!$A$2:$A$103,0))*D572/100,"?"))</f>
        <v/>
      </c>
    </row>
    <row r="573">
      <c r="A573" s="21" t="n"/>
      <c r="E573" s="18">
        <f>IF(OR(C573="",D573=""),"",IFERROR(INDEX('Qida bazası'!$D$2:$D$103,MATCH(C573,'Qida bazası'!$A$2:$A$103,0))*D573/100,"?"))</f>
        <v/>
      </c>
      <c r="F573" s="19">
        <f>IF(OR(C573="",D573=""),"",IFERROR(INDEX('Qida bazası'!$E$2:$E$103,MATCH(C573,'Qida bazası'!$A$2:$A$103,0))*D573/100,"?"))</f>
        <v/>
      </c>
      <c r="G573" s="19">
        <f>IF(OR(C573="",D573=""),"",IFERROR(INDEX('Qida bazası'!$F$2:$F$103,MATCH(C573,'Qida bazası'!$A$2:$A$103,0))*D573/100,"?"))</f>
        <v/>
      </c>
      <c r="H573" s="19">
        <f>IF(OR(C573="",D573=""),"",IFERROR(INDEX('Qida bazası'!$G$2:$G$103,MATCH(C573,'Qida bazası'!$A$2:$A$103,0))*D573/100,"?"))</f>
        <v/>
      </c>
    </row>
    <row r="574">
      <c r="A574" s="21" t="n"/>
      <c r="E574" s="18">
        <f>IF(OR(C574="",D574=""),"",IFERROR(INDEX('Qida bazası'!$D$2:$D$103,MATCH(C574,'Qida bazası'!$A$2:$A$103,0))*D574/100,"?"))</f>
        <v/>
      </c>
      <c r="F574" s="19">
        <f>IF(OR(C574="",D574=""),"",IFERROR(INDEX('Qida bazası'!$E$2:$E$103,MATCH(C574,'Qida bazası'!$A$2:$A$103,0))*D574/100,"?"))</f>
        <v/>
      </c>
      <c r="G574" s="19">
        <f>IF(OR(C574="",D574=""),"",IFERROR(INDEX('Qida bazası'!$F$2:$F$103,MATCH(C574,'Qida bazası'!$A$2:$A$103,0))*D574/100,"?"))</f>
        <v/>
      </c>
      <c r="H574" s="19">
        <f>IF(OR(C574="",D574=""),"",IFERROR(INDEX('Qida bazası'!$G$2:$G$103,MATCH(C574,'Qida bazası'!$A$2:$A$103,0))*D574/100,"?"))</f>
        <v/>
      </c>
    </row>
    <row r="575">
      <c r="A575" s="21" t="n"/>
      <c r="E575" s="18">
        <f>IF(OR(C575="",D575=""),"",IFERROR(INDEX('Qida bazası'!$D$2:$D$103,MATCH(C575,'Qida bazası'!$A$2:$A$103,0))*D575/100,"?"))</f>
        <v/>
      </c>
      <c r="F575" s="19">
        <f>IF(OR(C575="",D575=""),"",IFERROR(INDEX('Qida bazası'!$E$2:$E$103,MATCH(C575,'Qida bazası'!$A$2:$A$103,0))*D575/100,"?"))</f>
        <v/>
      </c>
      <c r="G575" s="19">
        <f>IF(OR(C575="",D575=""),"",IFERROR(INDEX('Qida bazası'!$F$2:$F$103,MATCH(C575,'Qida bazası'!$A$2:$A$103,0))*D575/100,"?"))</f>
        <v/>
      </c>
      <c r="H575" s="19">
        <f>IF(OR(C575="",D575=""),"",IFERROR(INDEX('Qida bazası'!$G$2:$G$103,MATCH(C575,'Qida bazası'!$A$2:$A$103,0))*D575/100,"?"))</f>
        <v/>
      </c>
    </row>
    <row r="576">
      <c r="A576" s="21" t="n"/>
      <c r="E576" s="18">
        <f>IF(OR(C576="",D576=""),"",IFERROR(INDEX('Qida bazası'!$D$2:$D$103,MATCH(C576,'Qida bazası'!$A$2:$A$103,0))*D576/100,"?"))</f>
        <v/>
      </c>
      <c r="F576" s="19">
        <f>IF(OR(C576="",D576=""),"",IFERROR(INDEX('Qida bazası'!$E$2:$E$103,MATCH(C576,'Qida bazası'!$A$2:$A$103,0))*D576/100,"?"))</f>
        <v/>
      </c>
      <c r="G576" s="19">
        <f>IF(OR(C576="",D576=""),"",IFERROR(INDEX('Qida bazası'!$F$2:$F$103,MATCH(C576,'Qida bazası'!$A$2:$A$103,0))*D576/100,"?"))</f>
        <v/>
      </c>
      <c r="H576" s="19">
        <f>IF(OR(C576="",D576=""),"",IFERROR(INDEX('Qida bazası'!$G$2:$G$103,MATCH(C576,'Qida bazası'!$A$2:$A$103,0))*D576/100,"?"))</f>
        <v/>
      </c>
    </row>
    <row r="577">
      <c r="A577" s="21" t="n"/>
      <c r="E577" s="18">
        <f>IF(OR(C577="",D577=""),"",IFERROR(INDEX('Qida bazası'!$D$2:$D$103,MATCH(C577,'Qida bazası'!$A$2:$A$103,0))*D577/100,"?"))</f>
        <v/>
      </c>
      <c r="F577" s="19">
        <f>IF(OR(C577="",D577=""),"",IFERROR(INDEX('Qida bazası'!$E$2:$E$103,MATCH(C577,'Qida bazası'!$A$2:$A$103,0))*D577/100,"?"))</f>
        <v/>
      </c>
      <c r="G577" s="19">
        <f>IF(OR(C577="",D577=""),"",IFERROR(INDEX('Qida bazası'!$F$2:$F$103,MATCH(C577,'Qida bazası'!$A$2:$A$103,0))*D577/100,"?"))</f>
        <v/>
      </c>
      <c r="H577" s="19">
        <f>IF(OR(C577="",D577=""),"",IFERROR(INDEX('Qida bazası'!$G$2:$G$103,MATCH(C577,'Qida bazası'!$A$2:$A$103,0))*D577/100,"?"))</f>
        <v/>
      </c>
    </row>
    <row r="578">
      <c r="A578" s="21" t="n"/>
      <c r="E578" s="18">
        <f>IF(OR(C578="",D578=""),"",IFERROR(INDEX('Qida bazası'!$D$2:$D$103,MATCH(C578,'Qida bazası'!$A$2:$A$103,0))*D578/100,"?"))</f>
        <v/>
      </c>
      <c r="F578" s="19">
        <f>IF(OR(C578="",D578=""),"",IFERROR(INDEX('Qida bazası'!$E$2:$E$103,MATCH(C578,'Qida bazası'!$A$2:$A$103,0))*D578/100,"?"))</f>
        <v/>
      </c>
      <c r="G578" s="19">
        <f>IF(OR(C578="",D578=""),"",IFERROR(INDEX('Qida bazası'!$F$2:$F$103,MATCH(C578,'Qida bazası'!$A$2:$A$103,0))*D578/100,"?"))</f>
        <v/>
      </c>
      <c r="H578" s="19">
        <f>IF(OR(C578="",D578=""),"",IFERROR(INDEX('Qida bazası'!$G$2:$G$103,MATCH(C578,'Qida bazası'!$A$2:$A$103,0))*D578/100,"?"))</f>
        <v/>
      </c>
    </row>
    <row r="579">
      <c r="A579" s="21" t="n"/>
      <c r="E579" s="18">
        <f>IF(OR(C579="",D579=""),"",IFERROR(INDEX('Qida bazası'!$D$2:$D$103,MATCH(C579,'Qida bazası'!$A$2:$A$103,0))*D579/100,"?"))</f>
        <v/>
      </c>
      <c r="F579" s="19">
        <f>IF(OR(C579="",D579=""),"",IFERROR(INDEX('Qida bazası'!$E$2:$E$103,MATCH(C579,'Qida bazası'!$A$2:$A$103,0))*D579/100,"?"))</f>
        <v/>
      </c>
      <c r="G579" s="19">
        <f>IF(OR(C579="",D579=""),"",IFERROR(INDEX('Qida bazası'!$F$2:$F$103,MATCH(C579,'Qida bazası'!$A$2:$A$103,0))*D579/100,"?"))</f>
        <v/>
      </c>
      <c r="H579" s="19">
        <f>IF(OR(C579="",D579=""),"",IFERROR(INDEX('Qida bazası'!$G$2:$G$103,MATCH(C579,'Qida bazası'!$A$2:$A$103,0))*D579/100,"?"))</f>
        <v/>
      </c>
    </row>
    <row r="580">
      <c r="A580" s="21" t="n"/>
      <c r="E580" s="18">
        <f>IF(OR(C580="",D580=""),"",IFERROR(INDEX('Qida bazası'!$D$2:$D$103,MATCH(C580,'Qida bazası'!$A$2:$A$103,0))*D580/100,"?"))</f>
        <v/>
      </c>
      <c r="F580" s="19">
        <f>IF(OR(C580="",D580=""),"",IFERROR(INDEX('Qida bazası'!$E$2:$E$103,MATCH(C580,'Qida bazası'!$A$2:$A$103,0))*D580/100,"?"))</f>
        <v/>
      </c>
      <c r="G580" s="19">
        <f>IF(OR(C580="",D580=""),"",IFERROR(INDEX('Qida bazası'!$F$2:$F$103,MATCH(C580,'Qida bazası'!$A$2:$A$103,0))*D580/100,"?"))</f>
        <v/>
      </c>
      <c r="H580" s="19">
        <f>IF(OR(C580="",D580=""),"",IFERROR(INDEX('Qida bazası'!$G$2:$G$103,MATCH(C580,'Qida bazası'!$A$2:$A$103,0))*D580/100,"?"))</f>
        <v/>
      </c>
    </row>
    <row r="581">
      <c r="A581" s="21" t="n"/>
      <c r="E581" s="18">
        <f>IF(OR(C581="",D581=""),"",IFERROR(INDEX('Qida bazası'!$D$2:$D$103,MATCH(C581,'Qida bazası'!$A$2:$A$103,0))*D581/100,"?"))</f>
        <v/>
      </c>
      <c r="F581" s="19">
        <f>IF(OR(C581="",D581=""),"",IFERROR(INDEX('Qida bazası'!$E$2:$E$103,MATCH(C581,'Qida bazası'!$A$2:$A$103,0))*D581/100,"?"))</f>
        <v/>
      </c>
      <c r="G581" s="19">
        <f>IF(OR(C581="",D581=""),"",IFERROR(INDEX('Qida bazası'!$F$2:$F$103,MATCH(C581,'Qida bazası'!$A$2:$A$103,0))*D581/100,"?"))</f>
        <v/>
      </c>
      <c r="H581" s="19">
        <f>IF(OR(C581="",D581=""),"",IFERROR(INDEX('Qida bazası'!$G$2:$G$103,MATCH(C581,'Qida bazası'!$A$2:$A$103,0))*D581/100,"?"))</f>
        <v/>
      </c>
    </row>
    <row r="582">
      <c r="A582" s="21" t="n"/>
      <c r="E582" s="18">
        <f>IF(OR(C582="",D582=""),"",IFERROR(INDEX('Qida bazası'!$D$2:$D$103,MATCH(C582,'Qida bazası'!$A$2:$A$103,0))*D582/100,"?"))</f>
        <v/>
      </c>
      <c r="F582" s="19">
        <f>IF(OR(C582="",D582=""),"",IFERROR(INDEX('Qida bazası'!$E$2:$E$103,MATCH(C582,'Qida bazası'!$A$2:$A$103,0))*D582/100,"?"))</f>
        <v/>
      </c>
      <c r="G582" s="19">
        <f>IF(OR(C582="",D582=""),"",IFERROR(INDEX('Qida bazası'!$F$2:$F$103,MATCH(C582,'Qida bazası'!$A$2:$A$103,0))*D582/100,"?"))</f>
        <v/>
      </c>
      <c r="H582" s="19">
        <f>IF(OR(C582="",D582=""),"",IFERROR(INDEX('Qida bazası'!$G$2:$G$103,MATCH(C582,'Qida bazası'!$A$2:$A$103,0))*D582/100,"?"))</f>
        <v/>
      </c>
    </row>
    <row r="583">
      <c r="A583" s="21" t="n"/>
      <c r="E583" s="18">
        <f>IF(OR(C583="",D583=""),"",IFERROR(INDEX('Qida bazası'!$D$2:$D$103,MATCH(C583,'Qida bazası'!$A$2:$A$103,0))*D583/100,"?"))</f>
        <v/>
      </c>
      <c r="F583" s="19">
        <f>IF(OR(C583="",D583=""),"",IFERROR(INDEX('Qida bazası'!$E$2:$E$103,MATCH(C583,'Qida bazası'!$A$2:$A$103,0))*D583/100,"?"))</f>
        <v/>
      </c>
      <c r="G583" s="19">
        <f>IF(OR(C583="",D583=""),"",IFERROR(INDEX('Qida bazası'!$F$2:$F$103,MATCH(C583,'Qida bazası'!$A$2:$A$103,0))*D583/100,"?"))</f>
        <v/>
      </c>
      <c r="H583" s="19">
        <f>IF(OR(C583="",D583=""),"",IFERROR(INDEX('Qida bazası'!$G$2:$G$103,MATCH(C583,'Qida bazası'!$A$2:$A$103,0))*D583/100,"?"))</f>
        <v/>
      </c>
    </row>
    <row r="584">
      <c r="A584" s="21" t="n"/>
      <c r="E584" s="18">
        <f>IF(OR(C584="",D584=""),"",IFERROR(INDEX('Qida bazası'!$D$2:$D$103,MATCH(C584,'Qida bazası'!$A$2:$A$103,0))*D584/100,"?"))</f>
        <v/>
      </c>
      <c r="F584" s="19">
        <f>IF(OR(C584="",D584=""),"",IFERROR(INDEX('Qida bazası'!$E$2:$E$103,MATCH(C584,'Qida bazası'!$A$2:$A$103,0))*D584/100,"?"))</f>
        <v/>
      </c>
      <c r="G584" s="19">
        <f>IF(OR(C584="",D584=""),"",IFERROR(INDEX('Qida bazası'!$F$2:$F$103,MATCH(C584,'Qida bazası'!$A$2:$A$103,0))*D584/100,"?"))</f>
        <v/>
      </c>
      <c r="H584" s="19">
        <f>IF(OR(C584="",D584=""),"",IFERROR(INDEX('Qida bazası'!$G$2:$G$103,MATCH(C584,'Qida bazası'!$A$2:$A$103,0))*D584/100,"?"))</f>
        <v/>
      </c>
    </row>
    <row r="585">
      <c r="A585" s="21" t="n"/>
      <c r="E585" s="18">
        <f>IF(OR(C585="",D585=""),"",IFERROR(INDEX('Qida bazası'!$D$2:$D$103,MATCH(C585,'Qida bazası'!$A$2:$A$103,0))*D585/100,"?"))</f>
        <v/>
      </c>
      <c r="F585" s="19">
        <f>IF(OR(C585="",D585=""),"",IFERROR(INDEX('Qida bazası'!$E$2:$E$103,MATCH(C585,'Qida bazası'!$A$2:$A$103,0))*D585/100,"?"))</f>
        <v/>
      </c>
      <c r="G585" s="19">
        <f>IF(OR(C585="",D585=""),"",IFERROR(INDEX('Qida bazası'!$F$2:$F$103,MATCH(C585,'Qida bazası'!$A$2:$A$103,0))*D585/100,"?"))</f>
        <v/>
      </c>
      <c r="H585" s="19">
        <f>IF(OR(C585="",D585=""),"",IFERROR(INDEX('Qida bazası'!$G$2:$G$103,MATCH(C585,'Qida bazası'!$A$2:$A$103,0))*D585/100,"?"))</f>
        <v/>
      </c>
    </row>
    <row r="586">
      <c r="A586" s="21" t="n"/>
      <c r="E586" s="18">
        <f>IF(OR(C586="",D586=""),"",IFERROR(INDEX('Qida bazası'!$D$2:$D$103,MATCH(C586,'Qida bazası'!$A$2:$A$103,0))*D586/100,"?"))</f>
        <v/>
      </c>
      <c r="F586" s="19">
        <f>IF(OR(C586="",D586=""),"",IFERROR(INDEX('Qida bazası'!$E$2:$E$103,MATCH(C586,'Qida bazası'!$A$2:$A$103,0))*D586/100,"?"))</f>
        <v/>
      </c>
      <c r="G586" s="19">
        <f>IF(OR(C586="",D586=""),"",IFERROR(INDEX('Qida bazası'!$F$2:$F$103,MATCH(C586,'Qida bazası'!$A$2:$A$103,0))*D586/100,"?"))</f>
        <v/>
      </c>
      <c r="H586" s="19">
        <f>IF(OR(C586="",D586=""),"",IFERROR(INDEX('Qida bazası'!$G$2:$G$103,MATCH(C586,'Qida bazası'!$A$2:$A$103,0))*D586/100,"?"))</f>
        <v/>
      </c>
    </row>
    <row r="587">
      <c r="A587" s="21" t="n"/>
      <c r="E587" s="18">
        <f>IF(OR(C587="",D587=""),"",IFERROR(INDEX('Qida bazası'!$D$2:$D$103,MATCH(C587,'Qida bazası'!$A$2:$A$103,0))*D587/100,"?"))</f>
        <v/>
      </c>
      <c r="F587" s="19">
        <f>IF(OR(C587="",D587=""),"",IFERROR(INDEX('Qida bazası'!$E$2:$E$103,MATCH(C587,'Qida bazası'!$A$2:$A$103,0))*D587/100,"?"))</f>
        <v/>
      </c>
      <c r="G587" s="19">
        <f>IF(OR(C587="",D587=""),"",IFERROR(INDEX('Qida bazası'!$F$2:$F$103,MATCH(C587,'Qida bazası'!$A$2:$A$103,0))*D587/100,"?"))</f>
        <v/>
      </c>
      <c r="H587" s="19">
        <f>IF(OR(C587="",D587=""),"",IFERROR(INDEX('Qida bazası'!$G$2:$G$103,MATCH(C587,'Qida bazası'!$A$2:$A$103,0))*D587/100,"?"))</f>
        <v/>
      </c>
    </row>
    <row r="588">
      <c r="A588" s="21" t="n"/>
      <c r="E588" s="18">
        <f>IF(OR(C588="",D588=""),"",IFERROR(INDEX('Qida bazası'!$D$2:$D$103,MATCH(C588,'Qida bazası'!$A$2:$A$103,0))*D588/100,"?"))</f>
        <v/>
      </c>
      <c r="F588" s="19">
        <f>IF(OR(C588="",D588=""),"",IFERROR(INDEX('Qida bazası'!$E$2:$E$103,MATCH(C588,'Qida bazası'!$A$2:$A$103,0))*D588/100,"?"))</f>
        <v/>
      </c>
      <c r="G588" s="19">
        <f>IF(OR(C588="",D588=""),"",IFERROR(INDEX('Qida bazası'!$F$2:$F$103,MATCH(C588,'Qida bazası'!$A$2:$A$103,0))*D588/100,"?"))</f>
        <v/>
      </c>
      <c r="H588" s="19">
        <f>IF(OR(C588="",D588=""),"",IFERROR(INDEX('Qida bazası'!$G$2:$G$103,MATCH(C588,'Qida bazası'!$A$2:$A$103,0))*D588/100,"?"))</f>
        <v/>
      </c>
    </row>
    <row r="589">
      <c r="A589" s="21" t="n"/>
      <c r="E589" s="18">
        <f>IF(OR(C589="",D589=""),"",IFERROR(INDEX('Qida bazası'!$D$2:$D$103,MATCH(C589,'Qida bazası'!$A$2:$A$103,0))*D589/100,"?"))</f>
        <v/>
      </c>
      <c r="F589" s="19">
        <f>IF(OR(C589="",D589=""),"",IFERROR(INDEX('Qida bazası'!$E$2:$E$103,MATCH(C589,'Qida bazası'!$A$2:$A$103,0))*D589/100,"?"))</f>
        <v/>
      </c>
      <c r="G589" s="19">
        <f>IF(OR(C589="",D589=""),"",IFERROR(INDEX('Qida bazası'!$F$2:$F$103,MATCH(C589,'Qida bazası'!$A$2:$A$103,0))*D589/100,"?"))</f>
        <v/>
      </c>
      <c r="H589" s="19">
        <f>IF(OR(C589="",D589=""),"",IFERROR(INDEX('Qida bazası'!$G$2:$G$103,MATCH(C589,'Qida bazası'!$A$2:$A$103,0))*D589/100,"?"))</f>
        <v/>
      </c>
    </row>
    <row r="590">
      <c r="A590" s="21" t="n"/>
      <c r="E590" s="18">
        <f>IF(OR(C590="",D590=""),"",IFERROR(INDEX('Qida bazası'!$D$2:$D$103,MATCH(C590,'Qida bazası'!$A$2:$A$103,0))*D590/100,"?"))</f>
        <v/>
      </c>
      <c r="F590" s="19">
        <f>IF(OR(C590="",D590=""),"",IFERROR(INDEX('Qida bazası'!$E$2:$E$103,MATCH(C590,'Qida bazası'!$A$2:$A$103,0))*D590/100,"?"))</f>
        <v/>
      </c>
      <c r="G590" s="19">
        <f>IF(OR(C590="",D590=""),"",IFERROR(INDEX('Qida bazası'!$F$2:$F$103,MATCH(C590,'Qida bazası'!$A$2:$A$103,0))*D590/100,"?"))</f>
        <v/>
      </c>
      <c r="H590" s="19">
        <f>IF(OR(C590="",D590=""),"",IFERROR(INDEX('Qida bazası'!$G$2:$G$103,MATCH(C590,'Qida bazası'!$A$2:$A$103,0))*D590/100,"?"))</f>
        <v/>
      </c>
    </row>
    <row r="591">
      <c r="A591" s="21" t="n"/>
      <c r="E591" s="18">
        <f>IF(OR(C591="",D591=""),"",IFERROR(INDEX('Qida bazası'!$D$2:$D$103,MATCH(C591,'Qida bazası'!$A$2:$A$103,0))*D591/100,"?"))</f>
        <v/>
      </c>
      <c r="F591" s="19">
        <f>IF(OR(C591="",D591=""),"",IFERROR(INDEX('Qida bazası'!$E$2:$E$103,MATCH(C591,'Qida bazası'!$A$2:$A$103,0))*D591/100,"?"))</f>
        <v/>
      </c>
      <c r="G591" s="19">
        <f>IF(OR(C591="",D591=""),"",IFERROR(INDEX('Qida bazası'!$F$2:$F$103,MATCH(C591,'Qida bazası'!$A$2:$A$103,0))*D591/100,"?"))</f>
        <v/>
      </c>
      <c r="H591" s="19">
        <f>IF(OR(C591="",D591=""),"",IFERROR(INDEX('Qida bazası'!$G$2:$G$103,MATCH(C591,'Qida bazası'!$A$2:$A$103,0))*D591/100,"?"))</f>
        <v/>
      </c>
    </row>
    <row r="592">
      <c r="A592" s="21" t="n"/>
      <c r="E592" s="18">
        <f>IF(OR(C592="",D592=""),"",IFERROR(INDEX('Qida bazası'!$D$2:$D$103,MATCH(C592,'Qida bazası'!$A$2:$A$103,0))*D592/100,"?"))</f>
        <v/>
      </c>
      <c r="F592" s="19">
        <f>IF(OR(C592="",D592=""),"",IFERROR(INDEX('Qida bazası'!$E$2:$E$103,MATCH(C592,'Qida bazası'!$A$2:$A$103,0))*D592/100,"?"))</f>
        <v/>
      </c>
      <c r="G592" s="19">
        <f>IF(OR(C592="",D592=""),"",IFERROR(INDEX('Qida bazası'!$F$2:$F$103,MATCH(C592,'Qida bazası'!$A$2:$A$103,0))*D592/100,"?"))</f>
        <v/>
      </c>
      <c r="H592" s="19">
        <f>IF(OR(C592="",D592=""),"",IFERROR(INDEX('Qida bazası'!$G$2:$G$103,MATCH(C592,'Qida bazası'!$A$2:$A$103,0))*D592/100,"?"))</f>
        <v/>
      </c>
    </row>
    <row r="593">
      <c r="A593" s="21" t="n"/>
      <c r="E593" s="18">
        <f>IF(OR(C593="",D593=""),"",IFERROR(INDEX('Qida bazası'!$D$2:$D$103,MATCH(C593,'Qida bazası'!$A$2:$A$103,0))*D593/100,"?"))</f>
        <v/>
      </c>
      <c r="F593" s="19">
        <f>IF(OR(C593="",D593=""),"",IFERROR(INDEX('Qida bazası'!$E$2:$E$103,MATCH(C593,'Qida bazası'!$A$2:$A$103,0))*D593/100,"?"))</f>
        <v/>
      </c>
      <c r="G593" s="19">
        <f>IF(OR(C593="",D593=""),"",IFERROR(INDEX('Qida bazası'!$F$2:$F$103,MATCH(C593,'Qida bazası'!$A$2:$A$103,0))*D593/100,"?"))</f>
        <v/>
      </c>
      <c r="H593" s="19">
        <f>IF(OR(C593="",D593=""),"",IFERROR(INDEX('Qida bazası'!$G$2:$G$103,MATCH(C593,'Qida bazası'!$A$2:$A$103,0))*D593/100,"?"))</f>
        <v/>
      </c>
    </row>
    <row r="594">
      <c r="A594" s="21" t="n"/>
      <c r="E594" s="18">
        <f>IF(OR(C594="",D594=""),"",IFERROR(INDEX('Qida bazası'!$D$2:$D$103,MATCH(C594,'Qida bazası'!$A$2:$A$103,0))*D594/100,"?"))</f>
        <v/>
      </c>
      <c r="F594" s="19">
        <f>IF(OR(C594="",D594=""),"",IFERROR(INDEX('Qida bazası'!$E$2:$E$103,MATCH(C594,'Qida bazası'!$A$2:$A$103,0))*D594/100,"?"))</f>
        <v/>
      </c>
      <c r="G594" s="19">
        <f>IF(OR(C594="",D594=""),"",IFERROR(INDEX('Qida bazası'!$F$2:$F$103,MATCH(C594,'Qida bazası'!$A$2:$A$103,0))*D594/100,"?"))</f>
        <v/>
      </c>
      <c r="H594" s="19">
        <f>IF(OR(C594="",D594=""),"",IFERROR(INDEX('Qida bazası'!$G$2:$G$103,MATCH(C594,'Qida bazası'!$A$2:$A$103,0))*D594/100,"?"))</f>
        <v/>
      </c>
    </row>
    <row r="595">
      <c r="A595" s="21" t="n"/>
      <c r="E595" s="18">
        <f>IF(OR(C595="",D595=""),"",IFERROR(INDEX('Qida bazası'!$D$2:$D$103,MATCH(C595,'Qida bazası'!$A$2:$A$103,0))*D595/100,"?"))</f>
        <v/>
      </c>
      <c r="F595" s="19">
        <f>IF(OR(C595="",D595=""),"",IFERROR(INDEX('Qida bazası'!$E$2:$E$103,MATCH(C595,'Qida bazası'!$A$2:$A$103,0))*D595/100,"?"))</f>
        <v/>
      </c>
      <c r="G595" s="19">
        <f>IF(OR(C595="",D595=""),"",IFERROR(INDEX('Qida bazası'!$F$2:$F$103,MATCH(C595,'Qida bazası'!$A$2:$A$103,0))*D595/100,"?"))</f>
        <v/>
      </c>
      <c r="H595" s="19">
        <f>IF(OR(C595="",D595=""),"",IFERROR(INDEX('Qida bazası'!$G$2:$G$103,MATCH(C595,'Qida bazası'!$A$2:$A$103,0))*D595/100,"?"))</f>
        <v/>
      </c>
    </row>
    <row r="596">
      <c r="A596" s="21" t="n"/>
      <c r="E596" s="18">
        <f>IF(OR(C596="",D596=""),"",IFERROR(INDEX('Qida bazası'!$D$2:$D$103,MATCH(C596,'Qida bazası'!$A$2:$A$103,0))*D596/100,"?"))</f>
        <v/>
      </c>
      <c r="F596" s="19">
        <f>IF(OR(C596="",D596=""),"",IFERROR(INDEX('Qida bazası'!$E$2:$E$103,MATCH(C596,'Qida bazası'!$A$2:$A$103,0))*D596/100,"?"))</f>
        <v/>
      </c>
      <c r="G596" s="19">
        <f>IF(OR(C596="",D596=""),"",IFERROR(INDEX('Qida bazası'!$F$2:$F$103,MATCH(C596,'Qida bazası'!$A$2:$A$103,0))*D596/100,"?"))</f>
        <v/>
      </c>
      <c r="H596" s="19">
        <f>IF(OR(C596="",D596=""),"",IFERROR(INDEX('Qida bazası'!$G$2:$G$103,MATCH(C596,'Qida bazası'!$A$2:$A$103,0))*D596/100,"?"))</f>
        <v/>
      </c>
    </row>
    <row r="597">
      <c r="A597" s="21" t="n"/>
      <c r="E597" s="18">
        <f>IF(OR(C597="",D597=""),"",IFERROR(INDEX('Qida bazası'!$D$2:$D$103,MATCH(C597,'Qida bazası'!$A$2:$A$103,0))*D597/100,"?"))</f>
        <v/>
      </c>
      <c r="F597" s="19">
        <f>IF(OR(C597="",D597=""),"",IFERROR(INDEX('Qida bazası'!$E$2:$E$103,MATCH(C597,'Qida bazası'!$A$2:$A$103,0))*D597/100,"?"))</f>
        <v/>
      </c>
      <c r="G597" s="19">
        <f>IF(OR(C597="",D597=""),"",IFERROR(INDEX('Qida bazası'!$F$2:$F$103,MATCH(C597,'Qida bazası'!$A$2:$A$103,0))*D597/100,"?"))</f>
        <v/>
      </c>
      <c r="H597" s="19">
        <f>IF(OR(C597="",D597=""),"",IFERROR(INDEX('Qida bazası'!$G$2:$G$103,MATCH(C597,'Qida bazası'!$A$2:$A$103,0))*D597/100,"?"))</f>
        <v/>
      </c>
    </row>
    <row r="598">
      <c r="A598" s="21" t="n"/>
      <c r="E598" s="18">
        <f>IF(OR(C598="",D598=""),"",IFERROR(INDEX('Qida bazası'!$D$2:$D$103,MATCH(C598,'Qida bazası'!$A$2:$A$103,0))*D598/100,"?"))</f>
        <v/>
      </c>
      <c r="F598" s="19">
        <f>IF(OR(C598="",D598=""),"",IFERROR(INDEX('Qida bazası'!$E$2:$E$103,MATCH(C598,'Qida bazası'!$A$2:$A$103,0))*D598/100,"?"))</f>
        <v/>
      </c>
      <c r="G598" s="19">
        <f>IF(OR(C598="",D598=""),"",IFERROR(INDEX('Qida bazası'!$F$2:$F$103,MATCH(C598,'Qida bazası'!$A$2:$A$103,0))*D598/100,"?"))</f>
        <v/>
      </c>
      <c r="H598" s="19">
        <f>IF(OR(C598="",D598=""),"",IFERROR(INDEX('Qida bazası'!$G$2:$G$103,MATCH(C598,'Qida bazası'!$A$2:$A$103,0))*D598/100,"?"))</f>
        <v/>
      </c>
    </row>
    <row r="599">
      <c r="A599" s="21" t="n"/>
      <c r="E599" s="18">
        <f>IF(OR(C599="",D599=""),"",IFERROR(INDEX('Qida bazası'!$D$2:$D$103,MATCH(C599,'Qida bazası'!$A$2:$A$103,0))*D599/100,"?"))</f>
        <v/>
      </c>
      <c r="F599" s="19">
        <f>IF(OR(C599="",D599=""),"",IFERROR(INDEX('Qida bazası'!$E$2:$E$103,MATCH(C599,'Qida bazası'!$A$2:$A$103,0))*D599/100,"?"))</f>
        <v/>
      </c>
      <c r="G599" s="19">
        <f>IF(OR(C599="",D599=""),"",IFERROR(INDEX('Qida bazası'!$F$2:$F$103,MATCH(C599,'Qida bazası'!$A$2:$A$103,0))*D599/100,"?"))</f>
        <v/>
      </c>
      <c r="H599" s="19">
        <f>IF(OR(C599="",D599=""),"",IFERROR(INDEX('Qida bazası'!$G$2:$G$103,MATCH(C599,'Qida bazası'!$A$2:$A$103,0))*D599/100,"?"))</f>
        <v/>
      </c>
    </row>
    <row r="600">
      <c r="A600" s="21" t="n"/>
      <c r="E600" s="18">
        <f>IF(OR(C600="",D600=""),"",IFERROR(INDEX('Qida bazası'!$D$2:$D$103,MATCH(C600,'Qida bazası'!$A$2:$A$103,0))*D600/100,"?"))</f>
        <v/>
      </c>
      <c r="F600" s="19">
        <f>IF(OR(C600="",D600=""),"",IFERROR(INDEX('Qida bazası'!$E$2:$E$103,MATCH(C600,'Qida bazası'!$A$2:$A$103,0))*D600/100,"?"))</f>
        <v/>
      </c>
      <c r="G600" s="19">
        <f>IF(OR(C600="",D600=""),"",IFERROR(INDEX('Qida bazası'!$F$2:$F$103,MATCH(C600,'Qida bazası'!$A$2:$A$103,0))*D600/100,"?"))</f>
        <v/>
      </c>
      <c r="H600" s="19">
        <f>IF(OR(C600="",D600=""),"",IFERROR(INDEX('Qida bazası'!$G$2:$G$103,MATCH(C600,'Qida bazası'!$A$2:$A$103,0))*D600/100,"?"))</f>
        <v/>
      </c>
    </row>
    <row r="601">
      <c r="A601" s="21" t="n"/>
      <c r="E601" s="18">
        <f>IF(OR(C601="",D601=""),"",IFERROR(INDEX('Qida bazası'!$D$2:$D$103,MATCH(C601,'Qida bazası'!$A$2:$A$103,0))*D601/100,"?"))</f>
        <v/>
      </c>
      <c r="F601" s="19">
        <f>IF(OR(C601="",D601=""),"",IFERROR(INDEX('Qida bazası'!$E$2:$E$103,MATCH(C601,'Qida bazası'!$A$2:$A$103,0))*D601/100,"?"))</f>
        <v/>
      </c>
      <c r="G601" s="19">
        <f>IF(OR(C601="",D601=""),"",IFERROR(INDEX('Qida bazası'!$F$2:$F$103,MATCH(C601,'Qida bazası'!$A$2:$A$103,0))*D601/100,"?"))</f>
        <v/>
      </c>
      <c r="H601" s="19">
        <f>IF(OR(C601="",D601=""),"",IFERROR(INDEX('Qida bazası'!$G$2:$G$103,MATCH(C601,'Qida bazası'!$A$2:$A$103,0))*D601/100,"?"))</f>
        <v/>
      </c>
    </row>
    <row r="602">
      <c r="A602" s="21" t="n"/>
      <c r="E602" s="18">
        <f>IF(OR(C602="",D602=""),"",IFERROR(INDEX('Qida bazası'!$D$2:$D$103,MATCH(C602,'Qida bazası'!$A$2:$A$103,0))*D602/100,"?"))</f>
        <v/>
      </c>
      <c r="F602" s="19">
        <f>IF(OR(C602="",D602=""),"",IFERROR(INDEX('Qida bazası'!$E$2:$E$103,MATCH(C602,'Qida bazası'!$A$2:$A$103,0))*D602/100,"?"))</f>
        <v/>
      </c>
      <c r="G602" s="19">
        <f>IF(OR(C602="",D602=""),"",IFERROR(INDEX('Qida bazası'!$F$2:$F$103,MATCH(C602,'Qida bazası'!$A$2:$A$103,0))*D602/100,"?"))</f>
        <v/>
      </c>
      <c r="H602" s="19">
        <f>IF(OR(C602="",D602=""),"",IFERROR(INDEX('Qida bazası'!$G$2:$G$103,MATCH(C602,'Qida bazası'!$A$2:$A$103,0))*D602/100,"?"))</f>
        <v/>
      </c>
    </row>
    <row r="603">
      <c r="A603" s="21" t="n"/>
      <c r="E603" s="18">
        <f>IF(OR(C603="",D603=""),"",IFERROR(INDEX('Qida bazası'!$D$2:$D$103,MATCH(C603,'Qida bazası'!$A$2:$A$103,0))*D603/100,"?"))</f>
        <v/>
      </c>
      <c r="F603" s="19">
        <f>IF(OR(C603="",D603=""),"",IFERROR(INDEX('Qida bazası'!$E$2:$E$103,MATCH(C603,'Qida bazası'!$A$2:$A$103,0))*D603/100,"?"))</f>
        <v/>
      </c>
      <c r="G603" s="19">
        <f>IF(OR(C603="",D603=""),"",IFERROR(INDEX('Qida bazası'!$F$2:$F$103,MATCH(C603,'Qida bazası'!$A$2:$A$103,0))*D603/100,"?"))</f>
        <v/>
      </c>
      <c r="H603" s="19">
        <f>IF(OR(C603="",D603=""),"",IFERROR(INDEX('Qida bazası'!$G$2:$G$103,MATCH(C603,'Qida bazası'!$A$2:$A$103,0))*D603/100,"?"))</f>
        <v/>
      </c>
    </row>
    <row r="604">
      <c r="A604" s="21" t="n"/>
      <c r="E604" s="18">
        <f>IF(OR(C604="",D604=""),"",IFERROR(INDEX('Qida bazası'!$D$2:$D$103,MATCH(C604,'Qida bazası'!$A$2:$A$103,0))*D604/100,"?"))</f>
        <v/>
      </c>
      <c r="F604" s="19">
        <f>IF(OR(C604="",D604=""),"",IFERROR(INDEX('Qida bazası'!$E$2:$E$103,MATCH(C604,'Qida bazası'!$A$2:$A$103,0))*D604/100,"?"))</f>
        <v/>
      </c>
      <c r="G604" s="19">
        <f>IF(OR(C604="",D604=""),"",IFERROR(INDEX('Qida bazası'!$F$2:$F$103,MATCH(C604,'Qida bazası'!$A$2:$A$103,0))*D604/100,"?"))</f>
        <v/>
      </c>
      <c r="H604" s="19">
        <f>IF(OR(C604="",D604=""),"",IFERROR(INDEX('Qida bazası'!$G$2:$G$103,MATCH(C604,'Qida bazası'!$A$2:$A$103,0))*D604/100,"?"))</f>
        <v/>
      </c>
    </row>
    <row r="605">
      <c r="A605" s="21" t="n"/>
      <c r="E605" s="18">
        <f>IF(OR(C605="",D605=""),"",IFERROR(INDEX('Qida bazası'!$D$2:$D$103,MATCH(C605,'Qida bazası'!$A$2:$A$103,0))*D605/100,"?"))</f>
        <v/>
      </c>
      <c r="F605" s="19">
        <f>IF(OR(C605="",D605=""),"",IFERROR(INDEX('Qida bazası'!$E$2:$E$103,MATCH(C605,'Qida bazası'!$A$2:$A$103,0))*D605/100,"?"))</f>
        <v/>
      </c>
      <c r="G605" s="19">
        <f>IF(OR(C605="",D605=""),"",IFERROR(INDEX('Qida bazası'!$F$2:$F$103,MATCH(C605,'Qida bazası'!$A$2:$A$103,0))*D605/100,"?"))</f>
        <v/>
      </c>
      <c r="H605" s="19">
        <f>IF(OR(C605="",D605=""),"",IFERROR(INDEX('Qida bazası'!$G$2:$G$103,MATCH(C605,'Qida bazası'!$A$2:$A$103,0))*D605/100,"?"))</f>
        <v/>
      </c>
    </row>
    <row r="606">
      <c r="A606" s="21" t="n"/>
      <c r="E606" s="18">
        <f>IF(OR(C606="",D606=""),"",IFERROR(INDEX('Qida bazası'!$D$2:$D$103,MATCH(C606,'Qida bazası'!$A$2:$A$103,0))*D606/100,"?"))</f>
        <v/>
      </c>
      <c r="F606" s="19">
        <f>IF(OR(C606="",D606=""),"",IFERROR(INDEX('Qida bazası'!$E$2:$E$103,MATCH(C606,'Qida bazası'!$A$2:$A$103,0))*D606/100,"?"))</f>
        <v/>
      </c>
      <c r="G606" s="19">
        <f>IF(OR(C606="",D606=""),"",IFERROR(INDEX('Qida bazası'!$F$2:$F$103,MATCH(C606,'Qida bazası'!$A$2:$A$103,0))*D606/100,"?"))</f>
        <v/>
      </c>
      <c r="H606" s="19">
        <f>IF(OR(C606="",D606=""),"",IFERROR(INDEX('Qida bazası'!$G$2:$G$103,MATCH(C606,'Qida bazası'!$A$2:$A$103,0))*D606/100,"?"))</f>
        <v/>
      </c>
    </row>
    <row r="607">
      <c r="A607" s="21" t="n"/>
      <c r="E607" s="18">
        <f>IF(OR(C607="",D607=""),"",IFERROR(INDEX('Qida bazası'!$D$2:$D$103,MATCH(C607,'Qida bazası'!$A$2:$A$103,0))*D607/100,"?"))</f>
        <v/>
      </c>
      <c r="F607" s="19">
        <f>IF(OR(C607="",D607=""),"",IFERROR(INDEX('Qida bazası'!$E$2:$E$103,MATCH(C607,'Qida bazası'!$A$2:$A$103,0))*D607/100,"?"))</f>
        <v/>
      </c>
      <c r="G607" s="19">
        <f>IF(OR(C607="",D607=""),"",IFERROR(INDEX('Qida bazası'!$F$2:$F$103,MATCH(C607,'Qida bazası'!$A$2:$A$103,0))*D607/100,"?"))</f>
        <v/>
      </c>
      <c r="H607" s="19">
        <f>IF(OR(C607="",D607=""),"",IFERROR(INDEX('Qida bazası'!$G$2:$G$103,MATCH(C607,'Qida bazası'!$A$2:$A$103,0))*D607/100,"?"))</f>
        <v/>
      </c>
    </row>
    <row r="608">
      <c r="A608" s="21" t="n"/>
      <c r="E608" s="18">
        <f>IF(OR(C608="",D608=""),"",IFERROR(INDEX('Qida bazası'!$D$2:$D$103,MATCH(C608,'Qida bazası'!$A$2:$A$103,0))*D608/100,"?"))</f>
        <v/>
      </c>
      <c r="F608" s="19">
        <f>IF(OR(C608="",D608=""),"",IFERROR(INDEX('Qida bazası'!$E$2:$E$103,MATCH(C608,'Qida bazası'!$A$2:$A$103,0))*D608/100,"?"))</f>
        <v/>
      </c>
      <c r="G608" s="19">
        <f>IF(OR(C608="",D608=""),"",IFERROR(INDEX('Qida bazası'!$F$2:$F$103,MATCH(C608,'Qida bazası'!$A$2:$A$103,0))*D608/100,"?"))</f>
        <v/>
      </c>
      <c r="H608" s="19">
        <f>IF(OR(C608="",D608=""),"",IFERROR(INDEX('Qida bazası'!$G$2:$G$103,MATCH(C608,'Qida bazası'!$A$2:$A$103,0))*D608/100,"?"))</f>
        <v/>
      </c>
    </row>
    <row r="609">
      <c r="A609" s="21" t="n"/>
      <c r="E609" s="18">
        <f>IF(OR(C609="",D609=""),"",IFERROR(INDEX('Qida bazası'!$D$2:$D$103,MATCH(C609,'Qida bazası'!$A$2:$A$103,0))*D609/100,"?"))</f>
        <v/>
      </c>
      <c r="F609" s="19">
        <f>IF(OR(C609="",D609=""),"",IFERROR(INDEX('Qida bazası'!$E$2:$E$103,MATCH(C609,'Qida bazası'!$A$2:$A$103,0))*D609/100,"?"))</f>
        <v/>
      </c>
      <c r="G609" s="19">
        <f>IF(OR(C609="",D609=""),"",IFERROR(INDEX('Qida bazası'!$F$2:$F$103,MATCH(C609,'Qida bazası'!$A$2:$A$103,0))*D609/100,"?"))</f>
        <v/>
      </c>
      <c r="H609" s="19">
        <f>IF(OR(C609="",D609=""),"",IFERROR(INDEX('Qida bazası'!$G$2:$G$103,MATCH(C609,'Qida bazası'!$A$2:$A$103,0))*D609/100,"?"))</f>
        <v/>
      </c>
    </row>
    <row r="610">
      <c r="A610" s="21" t="n"/>
      <c r="E610" s="18">
        <f>IF(OR(C610="",D610=""),"",IFERROR(INDEX('Qida bazası'!$D$2:$D$103,MATCH(C610,'Qida bazası'!$A$2:$A$103,0))*D610/100,"?"))</f>
        <v/>
      </c>
      <c r="F610" s="19">
        <f>IF(OR(C610="",D610=""),"",IFERROR(INDEX('Qida bazası'!$E$2:$E$103,MATCH(C610,'Qida bazası'!$A$2:$A$103,0))*D610/100,"?"))</f>
        <v/>
      </c>
      <c r="G610" s="19">
        <f>IF(OR(C610="",D610=""),"",IFERROR(INDEX('Qida bazası'!$F$2:$F$103,MATCH(C610,'Qida bazası'!$A$2:$A$103,0))*D610/100,"?"))</f>
        <v/>
      </c>
      <c r="H610" s="19">
        <f>IF(OR(C610="",D610=""),"",IFERROR(INDEX('Qida bazası'!$G$2:$G$103,MATCH(C610,'Qida bazası'!$A$2:$A$103,0))*D610/100,"?"))</f>
        <v/>
      </c>
    </row>
    <row r="611">
      <c r="A611" s="21" t="n"/>
      <c r="E611" s="18">
        <f>IF(OR(C611="",D611=""),"",IFERROR(INDEX('Qida bazası'!$D$2:$D$103,MATCH(C611,'Qida bazası'!$A$2:$A$103,0))*D611/100,"?"))</f>
        <v/>
      </c>
      <c r="F611" s="19">
        <f>IF(OR(C611="",D611=""),"",IFERROR(INDEX('Qida bazası'!$E$2:$E$103,MATCH(C611,'Qida bazası'!$A$2:$A$103,0))*D611/100,"?"))</f>
        <v/>
      </c>
      <c r="G611" s="19">
        <f>IF(OR(C611="",D611=""),"",IFERROR(INDEX('Qida bazası'!$F$2:$F$103,MATCH(C611,'Qida bazası'!$A$2:$A$103,0))*D611/100,"?"))</f>
        <v/>
      </c>
      <c r="H611" s="19">
        <f>IF(OR(C611="",D611=""),"",IFERROR(INDEX('Qida bazası'!$G$2:$G$103,MATCH(C611,'Qida bazası'!$A$2:$A$103,0))*D611/100,"?"))</f>
        <v/>
      </c>
    </row>
    <row r="612">
      <c r="A612" s="21" t="n"/>
      <c r="E612" s="18">
        <f>IF(OR(C612="",D612=""),"",IFERROR(INDEX('Qida bazası'!$D$2:$D$103,MATCH(C612,'Qida bazası'!$A$2:$A$103,0))*D612/100,"?"))</f>
        <v/>
      </c>
      <c r="F612" s="19">
        <f>IF(OR(C612="",D612=""),"",IFERROR(INDEX('Qida bazası'!$E$2:$E$103,MATCH(C612,'Qida bazası'!$A$2:$A$103,0))*D612/100,"?"))</f>
        <v/>
      </c>
      <c r="G612" s="19">
        <f>IF(OR(C612="",D612=""),"",IFERROR(INDEX('Qida bazası'!$F$2:$F$103,MATCH(C612,'Qida bazası'!$A$2:$A$103,0))*D612/100,"?"))</f>
        <v/>
      </c>
      <c r="H612" s="19">
        <f>IF(OR(C612="",D612=""),"",IFERROR(INDEX('Qida bazası'!$G$2:$G$103,MATCH(C612,'Qida bazası'!$A$2:$A$103,0))*D612/100,"?"))</f>
        <v/>
      </c>
    </row>
    <row r="613">
      <c r="A613" s="21" t="n"/>
      <c r="E613" s="18">
        <f>IF(OR(C613="",D613=""),"",IFERROR(INDEX('Qida bazası'!$D$2:$D$103,MATCH(C613,'Qida bazası'!$A$2:$A$103,0))*D613/100,"?"))</f>
        <v/>
      </c>
      <c r="F613" s="19">
        <f>IF(OR(C613="",D613=""),"",IFERROR(INDEX('Qida bazası'!$E$2:$E$103,MATCH(C613,'Qida bazası'!$A$2:$A$103,0))*D613/100,"?"))</f>
        <v/>
      </c>
      <c r="G613" s="19">
        <f>IF(OR(C613="",D613=""),"",IFERROR(INDEX('Qida bazası'!$F$2:$F$103,MATCH(C613,'Qida bazası'!$A$2:$A$103,0))*D613/100,"?"))</f>
        <v/>
      </c>
      <c r="H613" s="19">
        <f>IF(OR(C613="",D613=""),"",IFERROR(INDEX('Qida bazası'!$G$2:$G$103,MATCH(C613,'Qida bazası'!$A$2:$A$103,0))*D613/100,"?"))</f>
        <v/>
      </c>
    </row>
    <row r="614">
      <c r="A614" s="21" t="n"/>
      <c r="E614" s="18">
        <f>IF(OR(C614="",D614=""),"",IFERROR(INDEX('Qida bazası'!$D$2:$D$103,MATCH(C614,'Qida bazası'!$A$2:$A$103,0))*D614/100,"?"))</f>
        <v/>
      </c>
      <c r="F614" s="19">
        <f>IF(OR(C614="",D614=""),"",IFERROR(INDEX('Qida bazası'!$E$2:$E$103,MATCH(C614,'Qida bazası'!$A$2:$A$103,0))*D614/100,"?"))</f>
        <v/>
      </c>
      <c r="G614" s="19">
        <f>IF(OR(C614="",D614=""),"",IFERROR(INDEX('Qida bazası'!$F$2:$F$103,MATCH(C614,'Qida bazası'!$A$2:$A$103,0))*D614/100,"?"))</f>
        <v/>
      </c>
      <c r="H614" s="19">
        <f>IF(OR(C614="",D614=""),"",IFERROR(INDEX('Qida bazası'!$G$2:$G$103,MATCH(C614,'Qida bazası'!$A$2:$A$103,0))*D614/100,"?"))</f>
        <v/>
      </c>
    </row>
    <row r="615">
      <c r="A615" s="21" t="n"/>
      <c r="E615" s="18">
        <f>IF(OR(C615="",D615=""),"",IFERROR(INDEX('Qida bazası'!$D$2:$D$103,MATCH(C615,'Qida bazası'!$A$2:$A$103,0))*D615/100,"?"))</f>
        <v/>
      </c>
      <c r="F615" s="19">
        <f>IF(OR(C615="",D615=""),"",IFERROR(INDEX('Qida bazası'!$E$2:$E$103,MATCH(C615,'Qida bazası'!$A$2:$A$103,0))*D615/100,"?"))</f>
        <v/>
      </c>
      <c r="G615" s="19">
        <f>IF(OR(C615="",D615=""),"",IFERROR(INDEX('Qida bazası'!$F$2:$F$103,MATCH(C615,'Qida bazası'!$A$2:$A$103,0))*D615/100,"?"))</f>
        <v/>
      </c>
      <c r="H615" s="19">
        <f>IF(OR(C615="",D615=""),"",IFERROR(INDEX('Qida bazası'!$G$2:$G$103,MATCH(C615,'Qida bazası'!$A$2:$A$103,0))*D615/100,"?"))</f>
        <v/>
      </c>
    </row>
    <row r="616">
      <c r="A616" s="21" t="n"/>
      <c r="E616" s="18">
        <f>IF(OR(C616="",D616=""),"",IFERROR(INDEX('Qida bazası'!$D$2:$D$103,MATCH(C616,'Qida bazası'!$A$2:$A$103,0))*D616/100,"?"))</f>
        <v/>
      </c>
      <c r="F616" s="19">
        <f>IF(OR(C616="",D616=""),"",IFERROR(INDEX('Qida bazası'!$E$2:$E$103,MATCH(C616,'Qida bazası'!$A$2:$A$103,0))*D616/100,"?"))</f>
        <v/>
      </c>
      <c r="G616" s="19">
        <f>IF(OR(C616="",D616=""),"",IFERROR(INDEX('Qida bazası'!$F$2:$F$103,MATCH(C616,'Qida bazası'!$A$2:$A$103,0))*D616/100,"?"))</f>
        <v/>
      </c>
      <c r="H616" s="19">
        <f>IF(OR(C616="",D616=""),"",IFERROR(INDEX('Qida bazası'!$G$2:$G$103,MATCH(C616,'Qida bazası'!$A$2:$A$103,0))*D616/100,"?"))</f>
        <v/>
      </c>
    </row>
    <row r="617">
      <c r="A617" s="21" t="n"/>
      <c r="E617" s="18">
        <f>IF(OR(C617="",D617=""),"",IFERROR(INDEX('Qida bazası'!$D$2:$D$103,MATCH(C617,'Qida bazası'!$A$2:$A$103,0))*D617/100,"?"))</f>
        <v/>
      </c>
      <c r="F617" s="19">
        <f>IF(OR(C617="",D617=""),"",IFERROR(INDEX('Qida bazası'!$E$2:$E$103,MATCH(C617,'Qida bazası'!$A$2:$A$103,0))*D617/100,"?"))</f>
        <v/>
      </c>
      <c r="G617" s="19">
        <f>IF(OR(C617="",D617=""),"",IFERROR(INDEX('Qida bazası'!$F$2:$F$103,MATCH(C617,'Qida bazası'!$A$2:$A$103,0))*D617/100,"?"))</f>
        <v/>
      </c>
      <c r="H617" s="19">
        <f>IF(OR(C617="",D617=""),"",IFERROR(INDEX('Qida bazası'!$G$2:$G$103,MATCH(C617,'Qida bazası'!$A$2:$A$103,0))*D617/100,"?"))</f>
        <v/>
      </c>
    </row>
    <row r="618">
      <c r="A618" s="21" t="n"/>
      <c r="E618" s="18">
        <f>IF(OR(C618="",D618=""),"",IFERROR(INDEX('Qida bazası'!$D$2:$D$103,MATCH(C618,'Qida bazası'!$A$2:$A$103,0))*D618/100,"?"))</f>
        <v/>
      </c>
      <c r="F618" s="19">
        <f>IF(OR(C618="",D618=""),"",IFERROR(INDEX('Qida bazası'!$E$2:$E$103,MATCH(C618,'Qida bazası'!$A$2:$A$103,0))*D618/100,"?"))</f>
        <v/>
      </c>
      <c r="G618" s="19">
        <f>IF(OR(C618="",D618=""),"",IFERROR(INDEX('Qida bazası'!$F$2:$F$103,MATCH(C618,'Qida bazası'!$A$2:$A$103,0))*D618/100,"?"))</f>
        <v/>
      </c>
      <c r="H618" s="19">
        <f>IF(OR(C618="",D618=""),"",IFERROR(INDEX('Qida bazası'!$G$2:$G$103,MATCH(C618,'Qida bazası'!$A$2:$A$103,0))*D618/100,"?"))</f>
        <v/>
      </c>
    </row>
    <row r="619">
      <c r="A619" s="21" t="n"/>
      <c r="E619" s="18">
        <f>IF(OR(C619="",D619=""),"",IFERROR(INDEX('Qida bazası'!$D$2:$D$103,MATCH(C619,'Qida bazası'!$A$2:$A$103,0))*D619/100,"?"))</f>
        <v/>
      </c>
      <c r="F619" s="19">
        <f>IF(OR(C619="",D619=""),"",IFERROR(INDEX('Qida bazası'!$E$2:$E$103,MATCH(C619,'Qida bazası'!$A$2:$A$103,0))*D619/100,"?"))</f>
        <v/>
      </c>
      <c r="G619" s="19">
        <f>IF(OR(C619="",D619=""),"",IFERROR(INDEX('Qida bazası'!$F$2:$F$103,MATCH(C619,'Qida bazası'!$A$2:$A$103,0))*D619/100,"?"))</f>
        <v/>
      </c>
      <c r="H619" s="19">
        <f>IF(OR(C619="",D619=""),"",IFERROR(INDEX('Qida bazası'!$G$2:$G$103,MATCH(C619,'Qida bazası'!$A$2:$A$103,0))*D619/100,"?"))</f>
        <v/>
      </c>
    </row>
    <row r="620">
      <c r="A620" s="21" t="n"/>
      <c r="E620" s="18">
        <f>IF(OR(C620="",D620=""),"",IFERROR(INDEX('Qida bazası'!$D$2:$D$103,MATCH(C620,'Qida bazası'!$A$2:$A$103,0))*D620/100,"?"))</f>
        <v/>
      </c>
      <c r="F620" s="19">
        <f>IF(OR(C620="",D620=""),"",IFERROR(INDEX('Qida bazası'!$E$2:$E$103,MATCH(C620,'Qida bazası'!$A$2:$A$103,0))*D620/100,"?"))</f>
        <v/>
      </c>
      <c r="G620" s="19">
        <f>IF(OR(C620="",D620=""),"",IFERROR(INDEX('Qida bazası'!$F$2:$F$103,MATCH(C620,'Qida bazası'!$A$2:$A$103,0))*D620/100,"?"))</f>
        <v/>
      </c>
      <c r="H620" s="19">
        <f>IF(OR(C620="",D620=""),"",IFERROR(INDEX('Qida bazası'!$G$2:$G$103,MATCH(C620,'Qida bazası'!$A$2:$A$103,0))*D620/100,"?"))</f>
        <v/>
      </c>
    </row>
    <row r="621">
      <c r="A621" s="21" t="n"/>
      <c r="E621" s="18">
        <f>IF(OR(C621="",D621=""),"",IFERROR(INDEX('Qida bazası'!$D$2:$D$103,MATCH(C621,'Qida bazası'!$A$2:$A$103,0))*D621/100,"?"))</f>
        <v/>
      </c>
      <c r="F621" s="19">
        <f>IF(OR(C621="",D621=""),"",IFERROR(INDEX('Qida bazası'!$E$2:$E$103,MATCH(C621,'Qida bazası'!$A$2:$A$103,0))*D621/100,"?"))</f>
        <v/>
      </c>
      <c r="G621" s="19">
        <f>IF(OR(C621="",D621=""),"",IFERROR(INDEX('Qida bazası'!$F$2:$F$103,MATCH(C621,'Qida bazası'!$A$2:$A$103,0))*D621/100,"?"))</f>
        <v/>
      </c>
      <c r="H621" s="19">
        <f>IF(OR(C621="",D621=""),"",IFERROR(INDEX('Qida bazası'!$G$2:$G$103,MATCH(C621,'Qida bazası'!$A$2:$A$103,0))*D621/100,"?"))</f>
        <v/>
      </c>
    </row>
    <row r="622">
      <c r="A622" s="21" t="n"/>
      <c r="E622" s="18">
        <f>IF(OR(C622="",D622=""),"",IFERROR(INDEX('Qida bazası'!$D$2:$D$103,MATCH(C622,'Qida bazası'!$A$2:$A$103,0))*D622/100,"?"))</f>
        <v/>
      </c>
      <c r="F622" s="19">
        <f>IF(OR(C622="",D622=""),"",IFERROR(INDEX('Qida bazası'!$E$2:$E$103,MATCH(C622,'Qida bazası'!$A$2:$A$103,0))*D622/100,"?"))</f>
        <v/>
      </c>
      <c r="G622" s="19">
        <f>IF(OR(C622="",D622=""),"",IFERROR(INDEX('Qida bazası'!$F$2:$F$103,MATCH(C622,'Qida bazası'!$A$2:$A$103,0))*D622/100,"?"))</f>
        <v/>
      </c>
      <c r="H622" s="19">
        <f>IF(OR(C622="",D622=""),"",IFERROR(INDEX('Qida bazası'!$G$2:$G$103,MATCH(C622,'Qida bazası'!$A$2:$A$103,0))*D622/100,"?"))</f>
        <v/>
      </c>
    </row>
    <row r="623">
      <c r="A623" s="21" t="n"/>
      <c r="E623" s="18">
        <f>IF(OR(C623="",D623=""),"",IFERROR(INDEX('Qida bazası'!$D$2:$D$103,MATCH(C623,'Qida bazası'!$A$2:$A$103,0))*D623/100,"?"))</f>
        <v/>
      </c>
      <c r="F623" s="19">
        <f>IF(OR(C623="",D623=""),"",IFERROR(INDEX('Qida bazası'!$E$2:$E$103,MATCH(C623,'Qida bazası'!$A$2:$A$103,0))*D623/100,"?"))</f>
        <v/>
      </c>
      <c r="G623" s="19">
        <f>IF(OR(C623="",D623=""),"",IFERROR(INDEX('Qida bazası'!$F$2:$F$103,MATCH(C623,'Qida bazası'!$A$2:$A$103,0))*D623/100,"?"))</f>
        <v/>
      </c>
      <c r="H623" s="19">
        <f>IF(OR(C623="",D623=""),"",IFERROR(INDEX('Qida bazası'!$G$2:$G$103,MATCH(C623,'Qida bazası'!$A$2:$A$103,0))*D623/100,"?"))</f>
        <v/>
      </c>
    </row>
    <row r="624">
      <c r="A624" s="21" t="n"/>
      <c r="E624" s="18">
        <f>IF(OR(C624="",D624=""),"",IFERROR(INDEX('Qida bazası'!$D$2:$D$103,MATCH(C624,'Qida bazası'!$A$2:$A$103,0))*D624/100,"?"))</f>
        <v/>
      </c>
      <c r="F624" s="19">
        <f>IF(OR(C624="",D624=""),"",IFERROR(INDEX('Qida bazası'!$E$2:$E$103,MATCH(C624,'Qida bazası'!$A$2:$A$103,0))*D624/100,"?"))</f>
        <v/>
      </c>
      <c r="G624" s="19">
        <f>IF(OR(C624="",D624=""),"",IFERROR(INDEX('Qida bazası'!$F$2:$F$103,MATCH(C624,'Qida bazası'!$A$2:$A$103,0))*D624/100,"?"))</f>
        <v/>
      </c>
      <c r="H624" s="19">
        <f>IF(OR(C624="",D624=""),"",IFERROR(INDEX('Qida bazası'!$G$2:$G$103,MATCH(C624,'Qida bazası'!$A$2:$A$103,0))*D624/100,"?"))</f>
        <v/>
      </c>
    </row>
    <row r="625">
      <c r="A625" s="21" t="n"/>
      <c r="E625" s="18">
        <f>IF(OR(C625="",D625=""),"",IFERROR(INDEX('Qida bazası'!$D$2:$D$103,MATCH(C625,'Qida bazası'!$A$2:$A$103,0))*D625/100,"?"))</f>
        <v/>
      </c>
      <c r="F625" s="19">
        <f>IF(OR(C625="",D625=""),"",IFERROR(INDEX('Qida bazası'!$E$2:$E$103,MATCH(C625,'Qida bazası'!$A$2:$A$103,0))*D625/100,"?"))</f>
        <v/>
      </c>
      <c r="G625" s="19">
        <f>IF(OR(C625="",D625=""),"",IFERROR(INDEX('Qida bazası'!$F$2:$F$103,MATCH(C625,'Qida bazası'!$A$2:$A$103,0))*D625/100,"?"))</f>
        <v/>
      </c>
      <c r="H625" s="19">
        <f>IF(OR(C625="",D625=""),"",IFERROR(INDEX('Qida bazası'!$G$2:$G$103,MATCH(C625,'Qida bazası'!$A$2:$A$103,0))*D625/100,"?"))</f>
        <v/>
      </c>
    </row>
    <row r="626">
      <c r="A626" s="21" t="n"/>
      <c r="E626" s="18">
        <f>IF(OR(C626="",D626=""),"",IFERROR(INDEX('Qida bazası'!$D$2:$D$103,MATCH(C626,'Qida bazası'!$A$2:$A$103,0))*D626/100,"?"))</f>
        <v/>
      </c>
      <c r="F626" s="19">
        <f>IF(OR(C626="",D626=""),"",IFERROR(INDEX('Qida bazası'!$E$2:$E$103,MATCH(C626,'Qida bazası'!$A$2:$A$103,0))*D626/100,"?"))</f>
        <v/>
      </c>
      <c r="G626" s="19">
        <f>IF(OR(C626="",D626=""),"",IFERROR(INDEX('Qida bazası'!$F$2:$F$103,MATCH(C626,'Qida bazası'!$A$2:$A$103,0))*D626/100,"?"))</f>
        <v/>
      </c>
      <c r="H626" s="19">
        <f>IF(OR(C626="",D626=""),"",IFERROR(INDEX('Qida bazası'!$G$2:$G$103,MATCH(C626,'Qida bazası'!$A$2:$A$103,0))*D626/100,"?"))</f>
        <v/>
      </c>
    </row>
    <row r="627">
      <c r="A627" s="21" t="n"/>
      <c r="E627" s="18">
        <f>IF(OR(C627="",D627=""),"",IFERROR(INDEX('Qida bazası'!$D$2:$D$103,MATCH(C627,'Qida bazası'!$A$2:$A$103,0))*D627/100,"?"))</f>
        <v/>
      </c>
      <c r="F627" s="19">
        <f>IF(OR(C627="",D627=""),"",IFERROR(INDEX('Qida bazası'!$E$2:$E$103,MATCH(C627,'Qida bazası'!$A$2:$A$103,0))*D627/100,"?"))</f>
        <v/>
      </c>
      <c r="G627" s="19">
        <f>IF(OR(C627="",D627=""),"",IFERROR(INDEX('Qida bazası'!$F$2:$F$103,MATCH(C627,'Qida bazası'!$A$2:$A$103,0))*D627/100,"?"))</f>
        <v/>
      </c>
      <c r="H627" s="19">
        <f>IF(OR(C627="",D627=""),"",IFERROR(INDEX('Qida bazası'!$G$2:$G$103,MATCH(C627,'Qida bazası'!$A$2:$A$103,0))*D627/100,"?"))</f>
        <v/>
      </c>
    </row>
    <row r="628">
      <c r="A628" s="21" t="n"/>
      <c r="E628" s="18">
        <f>IF(OR(C628="",D628=""),"",IFERROR(INDEX('Qida bazası'!$D$2:$D$103,MATCH(C628,'Qida bazası'!$A$2:$A$103,0))*D628/100,"?"))</f>
        <v/>
      </c>
      <c r="F628" s="19">
        <f>IF(OR(C628="",D628=""),"",IFERROR(INDEX('Qida bazası'!$E$2:$E$103,MATCH(C628,'Qida bazası'!$A$2:$A$103,0))*D628/100,"?"))</f>
        <v/>
      </c>
      <c r="G628" s="19">
        <f>IF(OR(C628="",D628=""),"",IFERROR(INDEX('Qida bazası'!$F$2:$F$103,MATCH(C628,'Qida bazası'!$A$2:$A$103,0))*D628/100,"?"))</f>
        <v/>
      </c>
      <c r="H628" s="19">
        <f>IF(OR(C628="",D628=""),"",IFERROR(INDEX('Qida bazası'!$G$2:$G$103,MATCH(C628,'Qida bazası'!$A$2:$A$103,0))*D628/100,"?"))</f>
        <v/>
      </c>
    </row>
    <row r="629">
      <c r="A629" s="21" t="n"/>
      <c r="E629" s="18">
        <f>IF(OR(C629="",D629=""),"",IFERROR(INDEX('Qida bazası'!$D$2:$D$103,MATCH(C629,'Qida bazası'!$A$2:$A$103,0))*D629/100,"?"))</f>
        <v/>
      </c>
      <c r="F629" s="19">
        <f>IF(OR(C629="",D629=""),"",IFERROR(INDEX('Qida bazası'!$E$2:$E$103,MATCH(C629,'Qida bazası'!$A$2:$A$103,0))*D629/100,"?"))</f>
        <v/>
      </c>
      <c r="G629" s="19">
        <f>IF(OR(C629="",D629=""),"",IFERROR(INDEX('Qida bazası'!$F$2:$F$103,MATCH(C629,'Qida bazası'!$A$2:$A$103,0))*D629/100,"?"))</f>
        <v/>
      </c>
      <c r="H629" s="19">
        <f>IF(OR(C629="",D629=""),"",IFERROR(INDEX('Qida bazası'!$G$2:$G$103,MATCH(C629,'Qida bazası'!$A$2:$A$103,0))*D629/100,"?"))</f>
        <v/>
      </c>
    </row>
    <row r="630">
      <c r="A630" s="21" t="n"/>
      <c r="E630" s="18">
        <f>IF(OR(C630="",D630=""),"",IFERROR(INDEX('Qida bazası'!$D$2:$D$103,MATCH(C630,'Qida bazası'!$A$2:$A$103,0))*D630/100,"?"))</f>
        <v/>
      </c>
      <c r="F630" s="19">
        <f>IF(OR(C630="",D630=""),"",IFERROR(INDEX('Qida bazası'!$E$2:$E$103,MATCH(C630,'Qida bazası'!$A$2:$A$103,0))*D630/100,"?"))</f>
        <v/>
      </c>
      <c r="G630" s="19">
        <f>IF(OR(C630="",D630=""),"",IFERROR(INDEX('Qida bazası'!$F$2:$F$103,MATCH(C630,'Qida bazası'!$A$2:$A$103,0))*D630/100,"?"))</f>
        <v/>
      </c>
      <c r="H630" s="19">
        <f>IF(OR(C630="",D630=""),"",IFERROR(INDEX('Qida bazası'!$G$2:$G$103,MATCH(C630,'Qida bazası'!$A$2:$A$103,0))*D630/100,"?"))</f>
        <v/>
      </c>
    </row>
    <row r="631">
      <c r="A631" s="21" t="n"/>
      <c r="E631" s="18">
        <f>IF(OR(C631="",D631=""),"",IFERROR(INDEX('Qida bazası'!$D$2:$D$103,MATCH(C631,'Qida bazası'!$A$2:$A$103,0))*D631/100,"?"))</f>
        <v/>
      </c>
      <c r="F631" s="19">
        <f>IF(OR(C631="",D631=""),"",IFERROR(INDEX('Qida bazası'!$E$2:$E$103,MATCH(C631,'Qida bazası'!$A$2:$A$103,0))*D631/100,"?"))</f>
        <v/>
      </c>
      <c r="G631" s="19">
        <f>IF(OR(C631="",D631=""),"",IFERROR(INDEX('Qida bazası'!$F$2:$F$103,MATCH(C631,'Qida bazası'!$A$2:$A$103,0))*D631/100,"?"))</f>
        <v/>
      </c>
      <c r="H631" s="19">
        <f>IF(OR(C631="",D631=""),"",IFERROR(INDEX('Qida bazası'!$G$2:$G$103,MATCH(C631,'Qida bazası'!$A$2:$A$103,0))*D631/100,"?"))</f>
        <v/>
      </c>
    </row>
    <row r="632">
      <c r="A632" s="21" t="n"/>
      <c r="E632" s="18">
        <f>IF(OR(C632="",D632=""),"",IFERROR(INDEX('Qida bazası'!$D$2:$D$103,MATCH(C632,'Qida bazası'!$A$2:$A$103,0))*D632/100,"?"))</f>
        <v/>
      </c>
      <c r="F632" s="19">
        <f>IF(OR(C632="",D632=""),"",IFERROR(INDEX('Qida bazası'!$E$2:$E$103,MATCH(C632,'Qida bazası'!$A$2:$A$103,0))*D632/100,"?"))</f>
        <v/>
      </c>
      <c r="G632" s="19">
        <f>IF(OR(C632="",D632=""),"",IFERROR(INDEX('Qida bazası'!$F$2:$F$103,MATCH(C632,'Qida bazası'!$A$2:$A$103,0))*D632/100,"?"))</f>
        <v/>
      </c>
      <c r="H632" s="19">
        <f>IF(OR(C632="",D632=""),"",IFERROR(INDEX('Qida bazası'!$G$2:$G$103,MATCH(C632,'Qida bazası'!$A$2:$A$103,0))*D632/100,"?"))</f>
        <v/>
      </c>
    </row>
    <row r="633">
      <c r="A633" s="21" t="n"/>
      <c r="E633" s="18">
        <f>IF(OR(C633="",D633=""),"",IFERROR(INDEX('Qida bazası'!$D$2:$D$103,MATCH(C633,'Qida bazası'!$A$2:$A$103,0))*D633/100,"?"))</f>
        <v/>
      </c>
      <c r="F633" s="19">
        <f>IF(OR(C633="",D633=""),"",IFERROR(INDEX('Qida bazası'!$E$2:$E$103,MATCH(C633,'Qida bazası'!$A$2:$A$103,0))*D633/100,"?"))</f>
        <v/>
      </c>
      <c r="G633" s="19">
        <f>IF(OR(C633="",D633=""),"",IFERROR(INDEX('Qida bazası'!$F$2:$F$103,MATCH(C633,'Qida bazası'!$A$2:$A$103,0))*D633/100,"?"))</f>
        <v/>
      </c>
      <c r="H633" s="19">
        <f>IF(OR(C633="",D633=""),"",IFERROR(INDEX('Qida bazası'!$G$2:$G$103,MATCH(C633,'Qida bazası'!$A$2:$A$103,0))*D633/100,"?"))</f>
        <v/>
      </c>
    </row>
    <row r="634">
      <c r="A634" s="21" t="n"/>
      <c r="E634" s="18">
        <f>IF(OR(C634="",D634=""),"",IFERROR(INDEX('Qida bazası'!$D$2:$D$103,MATCH(C634,'Qida bazası'!$A$2:$A$103,0))*D634/100,"?"))</f>
        <v/>
      </c>
      <c r="F634" s="19">
        <f>IF(OR(C634="",D634=""),"",IFERROR(INDEX('Qida bazası'!$E$2:$E$103,MATCH(C634,'Qida bazası'!$A$2:$A$103,0))*D634/100,"?"))</f>
        <v/>
      </c>
      <c r="G634" s="19">
        <f>IF(OR(C634="",D634=""),"",IFERROR(INDEX('Qida bazası'!$F$2:$F$103,MATCH(C634,'Qida bazası'!$A$2:$A$103,0))*D634/100,"?"))</f>
        <v/>
      </c>
      <c r="H634" s="19">
        <f>IF(OR(C634="",D634=""),"",IFERROR(INDEX('Qida bazası'!$G$2:$G$103,MATCH(C634,'Qida bazası'!$A$2:$A$103,0))*D634/100,"?"))</f>
        <v/>
      </c>
    </row>
    <row r="635">
      <c r="A635" s="21" t="n"/>
      <c r="E635" s="18">
        <f>IF(OR(C635="",D635=""),"",IFERROR(INDEX('Qida bazası'!$D$2:$D$103,MATCH(C635,'Qida bazası'!$A$2:$A$103,0))*D635/100,"?"))</f>
        <v/>
      </c>
      <c r="F635" s="19">
        <f>IF(OR(C635="",D635=""),"",IFERROR(INDEX('Qida bazası'!$E$2:$E$103,MATCH(C635,'Qida bazası'!$A$2:$A$103,0))*D635/100,"?"))</f>
        <v/>
      </c>
      <c r="G635" s="19">
        <f>IF(OR(C635="",D635=""),"",IFERROR(INDEX('Qida bazası'!$F$2:$F$103,MATCH(C635,'Qida bazası'!$A$2:$A$103,0))*D635/100,"?"))</f>
        <v/>
      </c>
      <c r="H635" s="19">
        <f>IF(OR(C635="",D635=""),"",IFERROR(INDEX('Qida bazası'!$G$2:$G$103,MATCH(C635,'Qida bazası'!$A$2:$A$103,0))*D635/100,"?"))</f>
        <v/>
      </c>
    </row>
    <row r="636">
      <c r="A636" s="21" t="n"/>
      <c r="E636" s="18">
        <f>IF(OR(C636="",D636=""),"",IFERROR(INDEX('Qida bazası'!$D$2:$D$103,MATCH(C636,'Qida bazası'!$A$2:$A$103,0))*D636/100,"?"))</f>
        <v/>
      </c>
      <c r="F636" s="19">
        <f>IF(OR(C636="",D636=""),"",IFERROR(INDEX('Qida bazası'!$E$2:$E$103,MATCH(C636,'Qida bazası'!$A$2:$A$103,0))*D636/100,"?"))</f>
        <v/>
      </c>
      <c r="G636" s="19">
        <f>IF(OR(C636="",D636=""),"",IFERROR(INDEX('Qida bazası'!$F$2:$F$103,MATCH(C636,'Qida bazası'!$A$2:$A$103,0))*D636/100,"?"))</f>
        <v/>
      </c>
      <c r="H636" s="19">
        <f>IF(OR(C636="",D636=""),"",IFERROR(INDEX('Qida bazası'!$G$2:$G$103,MATCH(C636,'Qida bazası'!$A$2:$A$103,0))*D636/100,"?"))</f>
        <v/>
      </c>
    </row>
    <row r="637">
      <c r="A637" s="21" t="n"/>
      <c r="E637" s="18">
        <f>IF(OR(C637="",D637=""),"",IFERROR(INDEX('Qida bazası'!$D$2:$D$103,MATCH(C637,'Qida bazası'!$A$2:$A$103,0))*D637/100,"?"))</f>
        <v/>
      </c>
      <c r="F637" s="19">
        <f>IF(OR(C637="",D637=""),"",IFERROR(INDEX('Qida bazası'!$E$2:$E$103,MATCH(C637,'Qida bazası'!$A$2:$A$103,0))*D637/100,"?"))</f>
        <v/>
      </c>
      <c r="G637" s="19">
        <f>IF(OR(C637="",D637=""),"",IFERROR(INDEX('Qida bazası'!$F$2:$F$103,MATCH(C637,'Qida bazası'!$A$2:$A$103,0))*D637/100,"?"))</f>
        <v/>
      </c>
      <c r="H637" s="19">
        <f>IF(OR(C637="",D637=""),"",IFERROR(INDEX('Qida bazası'!$G$2:$G$103,MATCH(C637,'Qida bazası'!$A$2:$A$103,0))*D637/100,"?"))</f>
        <v/>
      </c>
    </row>
    <row r="638">
      <c r="A638" s="21" t="n"/>
      <c r="E638" s="18">
        <f>IF(OR(C638="",D638=""),"",IFERROR(INDEX('Qida bazası'!$D$2:$D$103,MATCH(C638,'Qida bazası'!$A$2:$A$103,0))*D638/100,"?"))</f>
        <v/>
      </c>
      <c r="F638" s="19">
        <f>IF(OR(C638="",D638=""),"",IFERROR(INDEX('Qida bazası'!$E$2:$E$103,MATCH(C638,'Qida bazası'!$A$2:$A$103,0))*D638/100,"?"))</f>
        <v/>
      </c>
      <c r="G638" s="19">
        <f>IF(OR(C638="",D638=""),"",IFERROR(INDEX('Qida bazası'!$F$2:$F$103,MATCH(C638,'Qida bazası'!$A$2:$A$103,0))*D638/100,"?"))</f>
        <v/>
      </c>
      <c r="H638" s="19">
        <f>IF(OR(C638="",D638=""),"",IFERROR(INDEX('Qida bazası'!$G$2:$G$103,MATCH(C638,'Qida bazası'!$A$2:$A$103,0))*D638/100,"?"))</f>
        <v/>
      </c>
    </row>
    <row r="639">
      <c r="A639" s="21" t="n"/>
      <c r="E639" s="18">
        <f>IF(OR(C639="",D639=""),"",IFERROR(INDEX('Qida bazası'!$D$2:$D$103,MATCH(C639,'Qida bazası'!$A$2:$A$103,0))*D639/100,"?"))</f>
        <v/>
      </c>
      <c r="F639" s="19">
        <f>IF(OR(C639="",D639=""),"",IFERROR(INDEX('Qida bazası'!$E$2:$E$103,MATCH(C639,'Qida bazası'!$A$2:$A$103,0))*D639/100,"?"))</f>
        <v/>
      </c>
      <c r="G639" s="19">
        <f>IF(OR(C639="",D639=""),"",IFERROR(INDEX('Qida bazası'!$F$2:$F$103,MATCH(C639,'Qida bazası'!$A$2:$A$103,0))*D639/100,"?"))</f>
        <v/>
      </c>
      <c r="H639" s="19">
        <f>IF(OR(C639="",D639=""),"",IFERROR(INDEX('Qida bazası'!$G$2:$G$103,MATCH(C639,'Qida bazası'!$A$2:$A$103,0))*D639/100,"?"))</f>
        <v/>
      </c>
    </row>
    <row r="640">
      <c r="A640" s="21" t="n"/>
      <c r="E640" s="18">
        <f>IF(OR(C640="",D640=""),"",IFERROR(INDEX('Qida bazası'!$D$2:$D$103,MATCH(C640,'Qida bazası'!$A$2:$A$103,0))*D640/100,"?"))</f>
        <v/>
      </c>
      <c r="F640" s="19">
        <f>IF(OR(C640="",D640=""),"",IFERROR(INDEX('Qida bazası'!$E$2:$E$103,MATCH(C640,'Qida bazası'!$A$2:$A$103,0))*D640/100,"?"))</f>
        <v/>
      </c>
      <c r="G640" s="19">
        <f>IF(OR(C640="",D640=""),"",IFERROR(INDEX('Qida bazası'!$F$2:$F$103,MATCH(C640,'Qida bazası'!$A$2:$A$103,0))*D640/100,"?"))</f>
        <v/>
      </c>
      <c r="H640" s="19">
        <f>IF(OR(C640="",D640=""),"",IFERROR(INDEX('Qida bazası'!$G$2:$G$103,MATCH(C640,'Qida bazası'!$A$2:$A$103,0))*D640/100,"?"))</f>
        <v/>
      </c>
    </row>
    <row r="641">
      <c r="A641" s="21" t="n"/>
      <c r="E641" s="18">
        <f>IF(OR(C641="",D641=""),"",IFERROR(INDEX('Qida bazası'!$D$2:$D$103,MATCH(C641,'Qida bazası'!$A$2:$A$103,0))*D641/100,"?"))</f>
        <v/>
      </c>
      <c r="F641" s="19">
        <f>IF(OR(C641="",D641=""),"",IFERROR(INDEX('Qida bazası'!$E$2:$E$103,MATCH(C641,'Qida bazası'!$A$2:$A$103,0))*D641/100,"?"))</f>
        <v/>
      </c>
      <c r="G641" s="19">
        <f>IF(OR(C641="",D641=""),"",IFERROR(INDEX('Qida bazası'!$F$2:$F$103,MATCH(C641,'Qida bazası'!$A$2:$A$103,0))*D641/100,"?"))</f>
        <v/>
      </c>
      <c r="H641" s="19">
        <f>IF(OR(C641="",D641=""),"",IFERROR(INDEX('Qida bazası'!$G$2:$G$103,MATCH(C641,'Qida bazası'!$A$2:$A$103,0))*D641/100,"?"))</f>
        <v/>
      </c>
    </row>
    <row r="642">
      <c r="A642" s="21" t="n"/>
      <c r="E642" s="18">
        <f>IF(OR(C642="",D642=""),"",IFERROR(INDEX('Qida bazası'!$D$2:$D$103,MATCH(C642,'Qida bazası'!$A$2:$A$103,0))*D642/100,"?"))</f>
        <v/>
      </c>
      <c r="F642" s="19">
        <f>IF(OR(C642="",D642=""),"",IFERROR(INDEX('Qida bazası'!$E$2:$E$103,MATCH(C642,'Qida bazası'!$A$2:$A$103,0))*D642/100,"?"))</f>
        <v/>
      </c>
      <c r="G642" s="19">
        <f>IF(OR(C642="",D642=""),"",IFERROR(INDEX('Qida bazası'!$F$2:$F$103,MATCH(C642,'Qida bazası'!$A$2:$A$103,0))*D642/100,"?"))</f>
        <v/>
      </c>
      <c r="H642" s="19">
        <f>IF(OR(C642="",D642=""),"",IFERROR(INDEX('Qida bazası'!$G$2:$G$103,MATCH(C642,'Qida bazası'!$A$2:$A$103,0))*D642/100,"?"))</f>
        <v/>
      </c>
    </row>
    <row r="643">
      <c r="A643" s="21" t="n"/>
      <c r="E643" s="18">
        <f>IF(OR(C643="",D643=""),"",IFERROR(INDEX('Qida bazası'!$D$2:$D$103,MATCH(C643,'Qida bazası'!$A$2:$A$103,0))*D643/100,"?"))</f>
        <v/>
      </c>
      <c r="F643" s="19">
        <f>IF(OR(C643="",D643=""),"",IFERROR(INDEX('Qida bazası'!$E$2:$E$103,MATCH(C643,'Qida bazası'!$A$2:$A$103,0))*D643/100,"?"))</f>
        <v/>
      </c>
      <c r="G643" s="19">
        <f>IF(OR(C643="",D643=""),"",IFERROR(INDEX('Qida bazası'!$F$2:$F$103,MATCH(C643,'Qida bazası'!$A$2:$A$103,0))*D643/100,"?"))</f>
        <v/>
      </c>
      <c r="H643" s="19">
        <f>IF(OR(C643="",D643=""),"",IFERROR(INDEX('Qida bazası'!$G$2:$G$103,MATCH(C643,'Qida bazası'!$A$2:$A$103,0))*D643/100,"?"))</f>
        <v/>
      </c>
    </row>
    <row r="644">
      <c r="A644" s="21" t="n"/>
      <c r="E644" s="18">
        <f>IF(OR(C644="",D644=""),"",IFERROR(INDEX('Qida bazası'!$D$2:$D$103,MATCH(C644,'Qida bazası'!$A$2:$A$103,0))*D644/100,"?"))</f>
        <v/>
      </c>
      <c r="F644" s="19">
        <f>IF(OR(C644="",D644=""),"",IFERROR(INDEX('Qida bazası'!$E$2:$E$103,MATCH(C644,'Qida bazası'!$A$2:$A$103,0))*D644/100,"?"))</f>
        <v/>
      </c>
      <c r="G644" s="19">
        <f>IF(OR(C644="",D644=""),"",IFERROR(INDEX('Qida bazası'!$F$2:$F$103,MATCH(C644,'Qida bazası'!$A$2:$A$103,0))*D644/100,"?"))</f>
        <v/>
      </c>
      <c r="H644" s="19">
        <f>IF(OR(C644="",D644=""),"",IFERROR(INDEX('Qida bazası'!$G$2:$G$103,MATCH(C644,'Qida bazası'!$A$2:$A$103,0))*D644/100,"?"))</f>
        <v/>
      </c>
    </row>
    <row r="645">
      <c r="A645" s="21" t="n"/>
      <c r="E645" s="18">
        <f>IF(OR(C645="",D645=""),"",IFERROR(INDEX('Qida bazası'!$D$2:$D$103,MATCH(C645,'Qida bazası'!$A$2:$A$103,0))*D645/100,"?"))</f>
        <v/>
      </c>
      <c r="F645" s="19">
        <f>IF(OR(C645="",D645=""),"",IFERROR(INDEX('Qida bazası'!$E$2:$E$103,MATCH(C645,'Qida bazası'!$A$2:$A$103,0))*D645/100,"?"))</f>
        <v/>
      </c>
      <c r="G645" s="19">
        <f>IF(OR(C645="",D645=""),"",IFERROR(INDEX('Qida bazası'!$F$2:$F$103,MATCH(C645,'Qida bazası'!$A$2:$A$103,0))*D645/100,"?"))</f>
        <v/>
      </c>
      <c r="H645" s="19">
        <f>IF(OR(C645="",D645=""),"",IFERROR(INDEX('Qida bazası'!$G$2:$G$103,MATCH(C645,'Qida bazası'!$A$2:$A$103,0))*D645/100,"?"))</f>
        <v/>
      </c>
    </row>
    <row r="646">
      <c r="A646" s="21" t="n"/>
      <c r="E646" s="18">
        <f>IF(OR(C646="",D646=""),"",IFERROR(INDEX('Qida bazası'!$D$2:$D$103,MATCH(C646,'Qida bazası'!$A$2:$A$103,0))*D646/100,"?"))</f>
        <v/>
      </c>
      <c r="F646" s="19">
        <f>IF(OR(C646="",D646=""),"",IFERROR(INDEX('Qida bazası'!$E$2:$E$103,MATCH(C646,'Qida bazası'!$A$2:$A$103,0))*D646/100,"?"))</f>
        <v/>
      </c>
      <c r="G646" s="19">
        <f>IF(OR(C646="",D646=""),"",IFERROR(INDEX('Qida bazası'!$F$2:$F$103,MATCH(C646,'Qida bazası'!$A$2:$A$103,0))*D646/100,"?"))</f>
        <v/>
      </c>
      <c r="H646" s="19">
        <f>IF(OR(C646="",D646=""),"",IFERROR(INDEX('Qida bazası'!$G$2:$G$103,MATCH(C646,'Qida bazası'!$A$2:$A$103,0))*D646/100,"?"))</f>
        <v/>
      </c>
    </row>
    <row r="647">
      <c r="A647" s="21" t="n"/>
      <c r="E647" s="18">
        <f>IF(OR(C647="",D647=""),"",IFERROR(INDEX('Qida bazası'!$D$2:$D$103,MATCH(C647,'Qida bazası'!$A$2:$A$103,0))*D647/100,"?"))</f>
        <v/>
      </c>
      <c r="F647" s="19">
        <f>IF(OR(C647="",D647=""),"",IFERROR(INDEX('Qida bazası'!$E$2:$E$103,MATCH(C647,'Qida bazası'!$A$2:$A$103,0))*D647/100,"?"))</f>
        <v/>
      </c>
      <c r="G647" s="19">
        <f>IF(OR(C647="",D647=""),"",IFERROR(INDEX('Qida bazası'!$F$2:$F$103,MATCH(C647,'Qida bazası'!$A$2:$A$103,0))*D647/100,"?"))</f>
        <v/>
      </c>
      <c r="H647" s="19">
        <f>IF(OR(C647="",D647=""),"",IFERROR(INDEX('Qida bazası'!$G$2:$G$103,MATCH(C647,'Qida bazası'!$A$2:$A$103,0))*D647/100,"?"))</f>
        <v/>
      </c>
    </row>
    <row r="648">
      <c r="A648" s="21" t="n"/>
      <c r="E648" s="18">
        <f>IF(OR(C648="",D648=""),"",IFERROR(INDEX('Qida bazası'!$D$2:$D$103,MATCH(C648,'Qida bazası'!$A$2:$A$103,0))*D648/100,"?"))</f>
        <v/>
      </c>
      <c r="F648" s="19">
        <f>IF(OR(C648="",D648=""),"",IFERROR(INDEX('Qida bazası'!$E$2:$E$103,MATCH(C648,'Qida bazası'!$A$2:$A$103,0))*D648/100,"?"))</f>
        <v/>
      </c>
      <c r="G648" s="19">
        <f>IF(OR(C648="",D648=""),"",IFERROR(INDEX('Qida bazası'!$F$2:$F$103,MATCH(C648,'Qida bazası'!$A$2:$A$103,0))*D648/100,"?"))</f>
        <v/>
      </c>
      <c r="H648" s="19">
        <f>IF(OR(C648="",D648=""),"",IFERROR(INDEX('Qida bazası'!$G$2:$G$103,MATCH(C648,'Qida bazası'!$A$2:$A$103,0))*D648/100,"?"))</f>
        <v/>
      </c>
    </row>
    <row r="649">
      <c r="A649" s="21" t="n"/>
      <c r="E649" s="18">
        <f>IF(OR(C649="",D649=""),"",IFERROR(INDEX('Qida bazası'!$D$2:$D$103,MATCH(C649,'Qida bazası'!$A$2:$A$103,0))*D649/100,"?"))</f>
        <v/>
      </c>
      <c r="F649" s="19">
        <f>IF(OR(C649="",D649=""),"",IFERROR(INDEX('Qida bazası'!$E$2:$E$103,MATCH(C649,'Qida bazası'!$A$2:$A$103,0))*D649/100,"?"))</f>
        <v/>
      </c>
      <c r="G649" s="19">
        <f>IF(OR(C649="",D649=""),"",IFERROR(INDEX('Qida bazası'!$F$2:$F$103,MATCH(C649,'Qida bazası'!$A$2:$A$103,0))*D649/100,"?"))</f>
        <v/>
      </c>
      <c r="H649" s="19">
        <f>IF(OR(C649="",D649=""),"",IFERROR(INDEX('Qida bazası'!$G$2:$G$103,MATCH(C649,'Qida bazası'!$A$2:$A$103,0))*D649/100,"?"))</f>
        <v/>
      </c>
    </row>
    <row r="650">
      <c r="A650" s="21" t="n"/>
      <c r="E650" s="18">
        <f>IF(OR(C650="",D650=""),"",IFERROR(INDEX('Qida bazası'!$D$2:$D$103,MATCH(C650,'Qida bazası'!$A$2:$A$103,0))*D650/100,"?"))</f>
        <v/>
      </c>
      <c r="F650" s="19">
        <f>IF(OR(C650="",D650=""),"",IFERROR(INDEX('Qida bazası'!$E$2:$E$103,MATCH(C650,'Qida bazası'!$A$2:$A$103,0))*D650/100,"?"))</f>
        <v/>
      </c>
      <c r="G650" s="19">
        <f>IF(OR(C650="",D650=""),"",IFERROR(INDEX('Qida bazası'!$F$2:$F$103,MATCH(C650,'Qida bazası'!$A$2:$A$103,0))*D650/100,"?"))</f>
        <v/>
      </c>
      <c r="H650" s="19">
        <f>IF(OR(C650="",D650=""),"",IFERROR(INDEX('Qida bazası'!$G$2:$G$103,MATCH(C650,'Qida bazası'!$A$2:$A$103,0))*D650/100,"?"))</f>
        <v/>
      </c>
    </row>
    <row r="651">
      <c r="A651" s="21" t="n"/>
      <c r="E651" s="18">
        <f>IF(OR(C651="",D651=""),"",IFERROR(INDEX('Qida bazası'!$D$2:$D$103,MATCH(C651,'Qida bazası'!$A$2:$A$103,0))*D651/100,"?"))</f>
        <v/>
      </c>
      <c r="F651" s="19">
        <f>IF(OR(C651="",D651=""),"",IFERROR(INDEX('Qida bazası'!$E$2:$E$103,MATCH(C651,'Qida bazası'!$A$2:$A$103,0))*D651/100,"?"))</f>
        <v/>
      </c>
      <c r="G651" s="19">
        <f>IF(OR(C651="",D651=""),"",IFERROR(INDEX('Qida bazası'!$F$2:$F$103,MATCH(C651,'Qida bazası'!$A$2:$A$103,0))*D651/100,"?"))</f>
        <v/>
      </c>
      <c r="H651" s="19">
        <f>IF(OR(C651="",D651=""),"",IFERROR(INDEX('Qida bazası'!$G$2:$G$103,MATCH(C651,'Qida bazası'!$A$2:$A$103,0))*D651/100,"?"))</f>
        <v/>
      </c>
    </row>
    <row r="652">
      <c r="A652" s="21" t="n"/>
      <c r="E652" s="18">
        <f>IF(OR(C652="",D652=""),"",IFERROR(INDEX('Qida bazası'!$D$2:$D$103,MATCH(C652,'Qida bazası'!$A$2:$A$103,0))*D652/100,"?"))</f>
        <v/>
      </c>
      <c r="F652" s="19">
        <f>IF(OR(C652="",D652=""),"",IFERROR(INDEX('Qida bazası'!$E$2:$E$103,MATCH(C652,'Qida bazası'!$A$2:$A$103,0))*D652/100,"?"))</f>
        <v/>
      </c>
      <c r="G652" s="19">
        <f>IF(OR(C652="",D652=""),"",IFERROR(INDEX('Qida bazası'!$F$2:$F$103,MATCH(C652,'Qida bazası'!$A$2:$A$103,0))*D652/100,"?"))</f>
        <v/>
      </c>
      <c r="H652" s="19">
        <f>IF(OR(C652="",D652=""),"",IFERROR(INDEX('Qida bazası'!$G$2:$G$103,MATCH(C652,'Qida bazası'!$A$2:$A$103,0))*D652/100,"?"))</f>
        <v/>
      </c>
    </row>
    <row r="653">
      <c r="A653" s="21" t="n"/>
      <c r="E653" s="18">
        <f>IF(OR(C653="",D653=""),"",IFERROR(INDEX('Qida bazası'!$D$2:$D$103,MATCH(C653,'Qida bazası'!$A$2:$A$103,0))*D653/100,"?"))</f>
        <v/>
      </c>
      <c r="F653" s="19">
        <f>IF(OR(C653="",D653=""),"",IFERROR(INDEX('Qida bazası'!$E$2:$E$103,MATCH(C653,'Qida bazası'!$A$2:$A$103,0))*D653/100,"?"))</f>
        <v/>
      </c>
      <c r="G653" s="19">
        <f>IF(OR(C653="",D653=""),"",IFERROR(INDEX('Qida bazası'!$F$2:$F$103,MATCH(C653,'Qida bazası'!$A$2:$A$103,0))*D653/100,"?"))</f>
        <v/>
      </c>
      <c r="H653" s="19">
        <f>IF(OR(C653="",D653=""),"",IFERROR(INDEX('Qida bazası'!$G$2:$G$103,MATCH(C653,'Qida bazası'!$A$2:$A$103,0))*D653/100,"?"))</f>
        <v/>
      </c>
    </row>
    <row r="654">
      <c r="A654" s="21" t="n"/>
      <c r="E654" s="18">
        <f>IF(OR(C654="",D654=""),"",IFERROR(INDEX('Qida bazası'!$D$2:$D$103,MATCH(C654,'Qida bazası'!$A$2:$A$103,0))*D654/100,"?"))</f>
        <v/>
      </c>
      <c r="F654" s="19">
        <f>IF(OR(C654="",D654=""),"",IFERROR(INDEX('Qida bazası'!$E$2:$E$103,MATCH(C654,'Qida bazası'!$A$2:$A$103,0))*D654/100,"?"))</f>
        <v/>
      </c>
      <c r="G654" s="19">
        <f>IF(OR(C654="",D654=""),"",IFERROR(INDEX('Qida bazası'!$F$2:$F$103,MATCH(C654,'Qida bazası'!$A$2:$A$103,0))*D654/100,"?"))</f>
        <v/>
      </c>
      <c r="H654" s="19">
        <f>IF(OR(C654="",D654=""),"",IFERROR(INDEX('Qida bazası'!$G$2:$G$103,MATCH(C654,'Qida bazası'!$A$2:$A$103,0))*D654/100,"?"))</f>
        <v/>
      </c>
    </row>
    <row r="655">
      <c r="A655" s="21" t="n"/>
      <c r="E655" s="18">
        <f>IF(OR(C655="",D655=""),"",IFERROR(INDEX('Qida bazası'!$D$2:$D$103,MATCH(C655,'Qida bazası'!$A$2:$A$103,0))*D655/100,"?"))</f>
        <v/>
      </c>
      <c r="F655" s="19">
        <f>IF(OR(C655="",D655=""),"",IFERROR(INDEX('Qida bazası'!$E$2:$E$103,MATCH(C655,'Qida bazası'!$A$2:$A$103,0))*D655/100,"?"))</f>
        <v/>
      </c>
      <c r="G655" s="19">
        <f>IF(OR(C655="",D655=""),"",IFERROR(INDEX('Qida bazası'!$F$2:$F$103,MATCH(C655,'Qida bazası'!$A$2:$A$103,0))*D655/100,"?"))</f>
        <v/>
      </c>
      <c r="H655" s="19">
        <f>IF(OR(C655="",D655=""),"",IFERROR(INDEX('Qida bazası'!$G$2:$G$103,MATCH(C655,'Qida bazası'!$A$2:$A$103,0))*D655/100,"?"))</f>
        <v/>
      </c>
    </row>
    <row r="656">
      <c r="A656" s="21" t="n"/>
      <c r="E656" s="18">
        <f>IF(OR(C656="",D656=""),"",IFERROR(INDEX('Qida bazası'!$D$2:$D$103,MATCH(C656,'Qida bazası'!$A$2:$A$103,0))*D656/100,"?"))</f>
        <v/>
      </c>
      <c r="F656" s="19">
        <f>IF(OR(C656="",D656=""),"",IFERROR(INDEX('Qida bazası'!$E$2:$E$103,MATCH(C656,'Qida bazası'!$A$2:$A$103,0))*D656/100,"?"))</f>
        <v/>
      </c>
      <c r="G656" s="19">
        <f>IF(OR(C656="",D656=""),"",IFERROR(INDEX('Qida bazası'!$F$2:$F$103,MATCH(C656,'Qida bazası'!$A$2:$A$103,0))*D656/100,"?"))</f>
        <v/>
      </c>
      <c r="H656" s="19">
        <f>IF(OR(C656="",D656=""),"",IFERROR(INDEX('Qida bazası'!$G$2:$G$103,MATCH(C656,'Qida bazası'!$A$2:$A$103,0))*D656/100,"?"))</f>
        <v/>
      </c>
    </row>
    <row r="657">
      <c r="A657" s="21" t="n"/>
      <c r="E657" s="18">
        <f>IF(OR(C657="",D657=""),"",IFERROR(INDEX('Qida bazası'!$D$2:$D$103,MATCH(C657,'Qida bazası'!$A$2:$A$103,0))*D657/100,"?"))</f>
        <v/>
      </c>
      <c r="F657" s="19">
        <f>IF(OR(C657="",D657=""),"",IFERROR(INDEX('Qida bazası'!$E$2:$E$103,MATCH(C657,'Qida bazası'!$A$2:$A$103,0))*D657/100,"?"))</f>
        <v/>
      </c>
      <c r="G657" s="19">
        <f>IF(OR(C657="",D657=""),"",IFERROR(INDEX('Qida bazası'!$F$2:$F$103,MATCH(C657,'Qida bazası'!$A$2:$A$103,0))*D657/100,"?"))</f>
        <v/>
      </c>
      <c r="H657" s="19">
        <f>IF(OR(C657="",D657=""),"",IFERROR(INDEX('Qida bazası'!$G$2:$G$103,MATCH(C657,'Qida bazası'!$A$2:$A$103,0))*D657/100,"?"))</f>
        <v/>
      </c>
    </row>
    <row r="658">
      <c r="A658" s="21" t="n"/>
      <c r="E658" s="18">
        <f>IF(OR(C658="",D658=""),"",IFERROR(INDEX('Qida bazası'!$D$2:$D$103,MATCH(C658,'Qida bazası'!$A$2:$A$103,0))*D658/100,"?"))</f>
        <v/>
      </c>
      <c r="F658" s="19">
        <f>IF(OR(C658="",D658=""),"",IFERROR(INDEX('Qida bazası'!$E$2:$E$103,MATCH(C658,'Qida bazası'!$A$2:$A$103,0))*D658/100,"?"))</f>
        <v/>
      </c>
      <c r="G658" s="19">
        <f>IF(OR(C658="",D658=""),"",IFERROR(INDEX('Qida bazası'!$F$2:$F$103,MATCH(C658,'Qida bazası'!$A$2:$A$103,0))*D658/100,"?"))</f>
        <v/>
      </c>
      <c r="H658" s="19">
        <f>IF(OR(C658="",D658=""),"",IFERROR(INDEX('Qida bazası'!$G$2:$G$103,MATCH(C658,'Qida bazası'!$A$2:$A$103,0))*D658/100,"?"))</f>
        <v/>
      </c>
    </row>
    <row r="659">
      <c r="A659" s="21" t="n"/>
      <c r="E659" s="18">
        <f>IF(OR(C659="",D659=""),"",IFERROR(INDEX('Qida bazası'!$D$2:$D$103,MATCH(C659,'Qida bazası'!$A$2:$A$103,0))*D659/100,"?"))</f>
        <v/>
      </c>
      <c r="F659" s="19">
        <f>IF(OR(C659="",D659=""),"",IFERROR(INDEX('Qida bazası'!$E$2:$E$103,MATCH(C659,'Qida bazası'!$A$2:$A$103,0))*D659/100,"?"))</f>
        <v/>
      </c>
      <c r="G659" s="19">
        <f>IF(OR(C659="",D659=""),"",IFERROR(INDEX('Qida bazası'!$F$2:$F$103,MATCH(C659,'Qida bazası'!$A$2:$A$103,0))*D659/100,"?"))</f>
        <v/>
      </c>
      <c r="H659" s="19">
        <f>IF(OR(C659="",D659=""),"",IFERROR(INDEX('Qida bazası'!$G$2:$G$103,MATCH(C659,'Qida bazası'!$A$2:$A$103,0))*D659/100,"?"))</f>
        <v/>
      </c>
    </row>
    <row r="660">
      <c r="A660" s="21" t="n"/>
      <c r="E660" s="18">
        <f>IF(OR(C660="",D660=""),"",IFERROR(INDEX('Qida bazası'!$D$2:$D$103,MATCH(C660,'Qida bazası'!$A$2:$A$103,0))*D660/100,"?"))</f>
        <v/>
      </c>
      <c r="F660" s="19">
        <f>IF(OR(C660="",D660=""),"",IFERROR(INDEX('Qida bazası'!$E$2:$E$103,MATCH(C660,'Qida bazası'!$A$2:$A$103,0))*D660/100,"?"))</f>
        <v/>
      </c>
      <c r="G660" s="19">
        <f>IF(OR(C660="",D660=""),"",IFERROR(INDEX('Qida bazası'!$F$2:$F$103,MATCH(C660,'Qida bazası'!$A$2:$A$103,0))*D660/100,"?"))</f>
        <v/>
      </c>
      <c r="H660" s="19">
        <f>IF(OR(C660="",D660=""),"",IFERROR(INDEX('Qida bazası'!$G$2:$G$103,MATCH(C660,'Qida bazası'!$A$2:$A$103,0))*D660/100,"?"))</f>
        <v/>
      </c>
    </row>
    <row r="661">
      <c r="A661" s="21" t="n"/>
      <c r="E661" s="18">
        <f>IF(OR(C661="",D661=""),"",IFERROR(INDEX('Qida bazası'!$D$2:$D$103,MATCH(C661,'Qida bazası'!$A$2:$A$103,0))*D661/100,"?"))</f>
        <v/>
      </c>
      <c r="F661" s="19">
        <f>IF(OR(C661="",D661=""),"",IFERROR(INDEX('Qida bazası'!$E$2:$E$103,MATCH(C661,'Qida bazası'!$A$2:$A$103,0))*D661/100,"?"))</f>
        <v/>
      </c>
      <c r="G661" s="19">
        <f>IF(OR(C661="",D661=""),"",IFERROR(INDEX('Qida bazası'!$F$2:$F$103,MATCH(C661,'Qida bazası'!$A$2:$A$103,0))*D661/100,"?"))</f>
        <v/>
      </c>
      <c r="H661" s="19">
        <f>IF(OR(C661="",D661=""),"",IFERROR(INDEX('Qida bazası'!$G$2:$G$103,MATCH(C661,'Qida bazası'!$A$2:$A$103,0))*D661/100,"?"))</f>
        <v/>
      </c>
    </row>
    <row r="662">
      <c r="A662" s="21" t="n"/>
      <c r="E662" s="18">
        <f>IF(OR(C662="",D662=""),"",IFERROR(INDEX('Qida bazası'!$D$2:$D$103,MATCH(C662,'Qida bazası'!$A$2:$A$103,0))*D662/100,"?"))</f>
        <v/>
      </c>
      <c r="F662" s="19">
        <f>IF(OR(C662="",D662=""),"",IFERROR(INDEX('Qida bazası'!$E$2:$E$103,MATCH(C662,'Qida bazası'!$A$2:$A$103,0))*D662/100,"?"))</f>
        <v/>
      </c>
      <c r="G662" s="19">
        <f>IF(OR(C662="",D662=""),"",IFERROR(INDEX('Qida bazası'!$F$2:$F$103,MATCH(C662,'Qida bazası'!$A$2:$A$103,0))*D662/100,"?"))</f>
        <v/>
      </c>
      <c r="H662" s="19">
        <f>IF(OR(C662="",D662=""),"",IFERROR(INDEX('Qida bazası'!$G$2:$G$103,MATCH(C662,'Qida bazası'!$A$2:$A$103,0))*D662/100,"?"))</f>
        <v/>
      </c>
    </row>
    <row r="663">
      <c r="A663" s="21" t="n"/>
      <c r="E663" s="18">
        <f>IF(OR(C663="",D663=""),"",IFERROR(INDEX('Qida bazası'!$D$2:$D$103,MATCH(C663,'Qida bazası'!$A$2:$A$103,0))*D663/100,"?"))</f>
        <v/>
      </c>
      <c r="F663" s="19">
        <f>IF(OR(C663="",D663=""),"",IFERROR(INDEX('Qida bazası'!$E$2:$E$103,MATCH(C663,'Qida bazası'!$A$2:$A$103,0))*D663/100,"?"))</f>
        <v/>
      </c>
      <c r="G663" s="19">
        <f>IF(OR(C663="",D663=""),"",IFERROR(INDEX('Qida bazası'!$F$2:$F$103,MATCH(C663,'Qida bazası'!$A$2:$A$103,0))*D663/100,"?"))</f>
        <v/>
      </c>
      <c r="H663" s="19">
        <f>IF(OR(C663="",D663=""),"",IFERROR(INDEX('Qida bazası'!$G$2:$G$103,MATCH(C663,'Qida bazası'!$A$2:$A$103,0))*D663/100,"?"))</f>
        <v/>
      </c>
    </row>
    <row r="664">
      <c r="A664" s="21" t="n"/>
      <c r="E664" s="18">
        <f>IF(OR(C664="",D664=""),"",IFERROR(INDEX('Qida bazası'!$D$2:$D$103,MATCH(C664,'Qida bazası'!$A$2:$A$103,0))*D664/100,"?"))</f>
        <v/>
      </c>
      <c r="F664" s="19">
        <f>IF(OR(C664="",D664=""),"",IFERROR(INDEX('Qida bazası'!$E$2:$E$103,MATCH(C664,'Qida bazası'!$A$2:$A$103,0))*D664/100,"?"))</f>
        <v/>
      </c>
      <c r="G664" s="19">
        <f>IF(OR(C664="",D664=""),"",IFERROR(INDEX('Qida bazası'!$F$2:$F$103,MATCH(C664,'Qida bazası'!$A$2:$A$103,0))*D664/100,"?"))</f>
        <v/>
      </c>
      <c r="H664" s="19">
        <f>IF(OR(C664="",D664=""),"",IFERROR(INDEX('Qida bazası'!$G$2:$G$103,MATCH(C664,'Qida bazası'!$A$2:$A$103,0))*D664/100,"?"))</f>
        <v/>
      </c>
    </row>
    <row r="665">
      <c r="A665" s="21" t="n"/>
      <c r="E665" s="18">
        <f>IF(OR(C665="",D665=""),"",IFERROR(INDEX('Qida bazası'!$D$2:$D$103,MATCH(C665,'Qida bazası'!$A$2:$A$103,0))*D665/100,"?"))</f>
        <v/>
      </c>
      <c r="F665" s="19">
        <f>IF(OR(C665="",D665=""),"",IFERROR(INDEX('Qida bazası'!$E$2:$E$103,MATCH(C665,'Qida bazası'!$A$2:$A$103,0))*D665/100,"?"))</f>
        <v/>
      </c>
      <c r="G665" s="19">
        <f>IF(OR(C665="",D665=""),"",IFERROR(INDEX('Qida bazası'!$F$2:$F$103,MATCH(C665,'Qida bazası'!$A$2:$A$103,0))*D665/100,"?"))</f>
        <v/>
      </c>
      <c r="H665" s="19">
        <f>IF(OR(C665="",D665=""),"",IFERROR(INDEX('Qida bazası'!$G$2:$G$103,MATCH(C665,'Qida bazası'!$A$2:$A$103,0))*D665/100,"?"))</f>
        <v/>
      </c>
    </row>
    <row r="666">
      <c r="A666" s="21" t="n"/>
      <c r="E666" s="18">
        <f>IF(OR(C666="",D666=""),"",IFERROR(INDEX('Qida bazası'!$D$2:$D$103,MATCH(C666,'Qida bazası'!$A$2:$A$103,0))*D666/100,"?"))</f>
        <v/>
      </c>
      <c r="F666" s="19">
        <f>IF(OR(C666="",D666=""),"",IFERROR(INDEX('Qida bazası'!$E$2:$E$103,MATCH(C666,'Qida bazası'!$A$2:$A$103,0))*D666/100,"?"))</f>
        <v/>
      </c>
      <c r="G666" s="19">
        <f>IF(OR(C666="",D666=""),"",IFERROR(INDEX('Qida bazası'!$F$2:$F$103,MATCH(C666,'Qida bazası'!$A$2:$A$103,0))*D666/100,"?"))</f>
        <v/>
      </c>
      <c r="H666" s="19">
        <f>IF(OR(C666="",D666=""),"",IFERROR(INDEX('Qida bazası'!$G$2:$G$103,MATCH(C666,'Qida bazası'!$A$2:$A$103,0))*D666/100,"?"))</f>
        <v/>
      </c>
    </row>
    <row r="667">
      <c r="A667" s="21" t="n"/>
      <c r="E667" s="18">
        <f>IF(OR(C667="",D667=""),"",IFERROR(INDEX('Qida bazası'!$D$2:$D$103,MATCH(C667,'Qida bazası'!$A$2:$A$103,0))*D667/100,"?"))</f>
        <v/>
      </c>
      <c r="F667" s="19">
        <f>IF(OR(C667="",D667=""),"",IFERROR(INDEX('Qida bazası'!$E$2:$E$103,MATCH(C667,'Qida bazası'!$A$2:$A$103,0))*D667/100,"?"))</f>
        <v/>
      </c>
      <c r="G667" s="19">
        <f>IF(OR(C667="",D667=""),"",IFERROR(INDEX('Qida bazası'!$F$2:$F$103,MATCH(C667,'Qida bazası'!$A$2:$A$103,0))*D667/100,"?"))</f>
        <v/>
      </c>
      <c r="H667" s="19">
        <f>IF(OR(C667="",D667=""),"",IFERROR(INDEX('Qida bazası'!$G$2:$G$103,MATCH(C667,'Qida bazası'!$A$2:$A$103,0))*D667/100,"?"))</f>
        <v/>
      </c>
    </row>
    <row r="668">
      <c r="A668" s="21" t="n"/>
      <c r="E668" s="18">
        <f>IF(OR(C668="",D668=""),"",IFERROR(INDEX('Qida bazası'!$D$2:$D$103,MATCH(C668,'Qida bazası'!$A$2:$A$103,0))*D668/100,"?"))</f>
        <v/>
      </c>
      <c r="F668" s="19">
        <f>IF(OR(C668="",D668=""),"",IFERROR(INDEX('Qida bazası'!$E$2:$E$103,MATCH(C668,'Qida bazası'!$A$2:$A$103,0))*D668/100,"?"))</f>
        <v/>
      </c>
      <c r="G668" s="19">
        <f>IF(OR(C668="",D668=""),"",IFERROR(INDEX('Qida bazası'!$F$2:$F$103,MATCH(C668,'Qida bazası'!$A$2:$A$103,0))*D668/100,"?"))</f>
        <v/>
      </c>
      <c r="H668" s="19">
        <f>IF(OR(C668="",D668=""),"",IFERROR(INDEX('Qida bazası'!$G$2:$G$103,MATCH(C668,'Qida bazası'!$A$2:$A$103,0))*D668/100,"?"))</f>
        <v/>
      </c>
    </row>
    <row r="669">
      <c r="A669" s="21" t="n"/>
      <c r="E669" s="18">
        <f>IF(OR(C669="",D669=""),"",IFERROR(INDEX('Qida bazası'!$D$2:$D$103,MATCH(C669,'Qida bazası'!$A$2:$A$103,0))*D669/100,"?"))</f>
        <v/>
      </c>
      <c r="F669" s="19">
        <f>IF(OR(C669="",D669=""),"",IFERROR(INDEX('Qida bazası'!$E$2:$E$103,MATCH(C669,'Qida bazası'!$A$2:$A$103,0))*D669/100,"?"))</f>
        <v/>
      </c>
      <c r="G669" s="19">
        <f>IF(OR(C669="",D669=""),"",IFERROR(INDEX('Qida bazası'!$F$2:$F$103,MATCH(C669,'Qida bazası'!$A$2:$A$103,0))*D669/100,"?"))</f>
        <v/>
      </c>
      <c r="H669" s="19">
        <f>IF(OR(C669="",D669=""),"",IFERROR(INDEX('Qida bazası'!$G$2:$G$103,MATCH(C669,'Qida bazası'!$A$2:$A$103,0))*D669/100,"?"))</f>
        <v/>
      </c>
    </row>
    <row r="670">
      <c r="A670" s="21" t="n"/>
      <c r="E670" s="18">
        <f>IF(OR(C670="",D670=""),"",IFERROR(INDEX('Qida bazası'!$D$2:$D$103,MATCH(C670,'Qida bazası'!$A$2:$A$103,0))*D670/100,"?"))</f>
        <v/>
      </c>
      <c r="F670" s="19">
        <f>IF(OR(C670="",D670=""),"",IFERROR(INDEX('Qida bazası'!$E$2:$E$103,MATCH(C670,'Qida bazası'!$A$2:$A$103,0))*D670/100,"?"))</f>
        <v/>
      </c>
      <c r="G670" s="19">
        <f>IF(OR(C670="",D670=""),"",IFERROR(INDEX('Qida bazası'!$F$2:$F$103,MATCH(C670,'Qida bazası'!$A$2:$A$103,0))*D670/100,"?"))</f>
        <v/>
      </c>
      <c r="H670" s="19">
        <f>IF(OR(C670="",D670=""),"",IFERROR(INDEX('Qida bazası'!$G$2:$G$103,MATCH(C670,'Qida bazası'!$A$2:$A$103,0))*D670/100,"?"))</f>
        <v/>
      </c>
    </row>
    <row r="671">
      <c r="A671" s="21" t="n"/>
      <c r="E671" s="18">
        <f>IF(OR(C671="",D671=""),"",IFERROR(INDEX('Qida bazası'!$D$2:$D$103,MATCH(C671,'Qida bazası'!$A$2:$A$103,0))*D671/100,"?"))</f>
        <v/>
      </c>
      <c r="F671" s="19">
        <f>IF(OR(C671="",D671=""),"",IFERROR(INDEX('Qida bazası'!$E$2:$E$103,MATCH(C671,'Qida bazası'!$A$2:$A$103,0))*D671/100,"?"))</f>
        <v/>
      </c>
      <c r="G671" s="19">
        <f>IF(OR(C671="",D671=""),"",IFERROR(INDEX('Qida bazası'!$F$2:$F$103,MATCH(C671,'Qida bazası'!$A$2:$A$103,0))*D671/100,"?"))</f>
        <v/>
      </c>
      <c r="H671" s="19">
        <f>IF(OR(C671="",D671=""),"",IFERROR(INDEX('Qida bazası'!$G$2:$G$103,MATCH(C671,'Qida bazası'!$A$2:$A$103,0))*D671/100,"?"))</f>
        <v/>
      </c>
    </row>
    <row r="672">
      <c r="A672" s="21" t="n"/>
      <c r="E672" s="18">
        <f>IF(OR(C672="",D672=""),"",IFERROR(INDEX('Qida bazası'!$D$2:$D$103,MATCH(C672,'Qida bazası'!$A$2:$A$103,0))*D672/100,"?"))</f>
        <v/>
      </c>
      <c r="F672" s="19">
        <f>IF(OR(C672="",D672=""),"",IFERROR(INDEX('Qida bazası'!$E$2:$E$103,MATCH(C672,'Qida bazası'!$A$2:$A$103,0))*D672/100,"?"))</f>
        <v/>
      </c>
      <c r="G672" s="19">
        <f>IF(OR(C672="",D672=""),"",IFERROR(INDEX('Qida bazası'!$F$2:$F$103,MATCH(C672,'Qida bazası'!$A$2:$A$103,0))*D672/100,"?"))</f>
        <v/>
      </c>
      <c r="H672" s="19">
        <f>IF(OR(C672="",D672=""),"",IFERROR(INDEX('Qida bazası'!$G$2:$G$103,MATCH(C672,'Qida bazası'!$A$2:$A$103,0))*D672/100,"?"))</f>
        <v/>
      </c>
    </row>
    <row r="673">
      <c r="A673" s="21" t="n"/>
      <c r="E673" s="18">
        <f>IF(OR(C673="",D673=""),"",IFERROR(INDEX('Qida bazası'!$D$2:$D$103,MATCH(C673,'Qida bazası'!$A$2:$A$103,0))*D673/100,"?"))</f>
        <v/>
      </c>
      <c r="F673" s="19">
        <f>IF(OR(C673="",D673=""),"",IFERROR(INDEX('Qida bazası'!$E$2:$E$103,MATCH(C673,'Qida bazası'!$A$2:$A$103,0))*D673/100,"?"))</f>
        <v/>
      </c>
      <c r="G673" s="19">
        <f>IF(OR(C673="",D673=""),"",IFERROR(INDEX('Qida bazası'!$F$2:$F$103,MATCH(C673,'Qida bazası'!$A$2:$A$103,0))*D673/100,"?"))</f>
        <v/>
      </c>
      <c r="H673" s="19">
        <f>IF(OR(C673="",D673=""),"",IFERROR(INDEX('Qida bazası'!$G$2:$G$103,MATCH(C673,'Qida bazası'!$A$2:$A$103,0))*D673/100,"?"))</f>
        <v/>
      </c>
    </row>
    <row r="674">
      <c r="A674" s="21" t="n"/>
      <c r="E674" s="18">
        <f>IF(OR(C674="",D674=""),"",IFERROR(INDEX('Qida bazası'!$D$2:$D$103,MATCH(C674,'Qida bazası'!$A$2:$A$103,0))*D674/100,"?"))</f>
        <v/>
      </c>
      <c r="F674" s="19">
        <f>IF(OR(C674="",D674=""),"",IFERROR(INDEX('Qida bazası'!$E$2:$E$103,MATCH(C674,'Qida bazası'!$A$2:$A$103,0))*D674/100,"?"))</f>
        <v/>
      </c>
      <c r="G674" s="19">
        <f>IF(OR(C674="",D674=""),"",IFERROR(INDEX('Qida bazası'!$F$2:$F$103,MATCH(C674,'Qida bazası'!$A$2:$A$103,0))*D674/100,"?"))</f>
        <v/>
      </c>
      <c r="H674" s="19">
        <f>IF(OR(C674="",D674=""),"",IFERROR(INDEX('Qida bazası'!$G$2:$G$103,MATCH(C674,'Qida bazası'!$A$2:$A$103,0))*D674/100,"?"))</f>
        <v/>
      </c>
    </row>
    <row r="675">
      <c r="A675" s="21" t="n"/>
      <c r="E675" s="18">
        <f>IF(OR(C675="",D675=""),"",IFERROR(INDEX('Qida bazası'!$D$2:$D$103,MATCH(C675,'Qida bazası'!$A$2:$A$103,0))*D675/100,"?"))</f>
        <v/>
      </c>
      <c r="F675" s="19">
        <f>IF(OR(C675="",D675=""),"",IFERROR(INDEX('Qida bazası'!$E$2:$E$103,MATCH(C675,'Qida bazası'!$A$2:$A$103,0))*D675/100,"?"))</f>
        <v/>
      </c>
      <c r="G675" s="19">
        <f>IF(OR(C675="",D675=""),"",IFERROR(INDEX('Qida bazası'!$F$2:$F$103,MATCH(C675,'Qida bazası'!$A$2:$A$103,0))*D675/100,"?"))</f>
        <v/>
      </c>
      <c r="H675" s="19">
        <f>IF(OR(C675="",D675=""),"",IFERROR(INDEX('Qida bazası'!$G$2:$G$103,MATCH(C675,'Qida bazası'!$A$2:$A$103,0))*D675/100,"?"))</f>
        <v/>
      </c>
    </row>
    <row r="676">
      <c r="A676" s="21" t="n"/>
      <c r="E676" s="18">
        <f>IF(OR(C676="",D676=""),"",IFERROR(INDEX('Qida bazası'!$D$2:$D$103,MATCH(C676,'Qida bazası'!$A$2:$A$103,0))*D676/100,"?"))</f>
        <v/>
      </c>
      <c r="F676" s="19">
        <f>IF(OR(C676="",D676=""),"",IFERROR(INDEX('Qida bazası'!$E$2:$E$103,MATCH(C676,'Qida bazası'!$A$2:$A$103,0))*D676/100,"?"))</f>
        <v/>
      </c>
      <c r="G676" s="19">
        <f>IF(OR(C676="",D676=""),"",IFERROR(INDEX('Qida bazası'!$F$2:$F$103,MATCH(C676,'Qida bazası'!$A$2:$A$103,0))*D676/100,"?"))</f>
        <v/>
      </c>
      <c r="H676" s="19">
        <f>IF(OR(C676="",D676=""),"",IFERROR(INDEX('Qida bazası'!$G$2:$G$103,MATCH(C676,'Qida bazası'!$A$2:$A$103,0))*D676/100,"?"))</f>
        <v/>
      </c>
    </row>
    <row r="677">
      <c r="A677" s="21" t="n"/>
      <c r="E677" s="18">
        <f>IF(OR(C677="",D677=""),"",IFERROR(INDEX('Qida bazası'!$D$2:$D$103,MATCH(C677,'Qida bazası'!$A$2:$A$103,0))*D677/100,"?"))</f>
        <v/>
      </c>
      <c r="F677" s="19">
        <f>IF(OR(C677="",D677=""),"",IFERROR(INDEX('Qida bazası'!$E$2:$E$103,MATCH(C677,'Qida bazası'!$A$2:$A$103,0))*D677/100,"?"))</f>
        <v/>
      </c>
      <c r="G677" s="19">
        <f>IF(OR(C677="",D677=""),"",IFERROR(INDEX('Qida bazası'!$F$2:$F$103,MATCH(C677,'Qida bazası'!$A$2:$A$103,0))*D677/100,"?"))</f>
        <v/>
      </c>
      <c r="H677" s="19">
        <f>IF(OR(C677="",D677=""),"",IFERROR(INDEX('Qida bazası'!$G$2:$G$103,MATCH(C677,'Qida bazası'!$A$2:$A$103,0))*D677/100,"?"))</f>
        <v/>
      </c>
    </row>
    <row r="678">
      <c r="A678" s="21" t="n"/>
      <c r="E678" s="18">
        <f>IF(OR(C678="",D678=""),"",IFERROR(INDEX('Qida bazası'!$D$2:$D$103,MATCH(C678,'Qida bazası'!$A$2:$A$103,0))*D678/100,"?"))</f>
        <v/>
      </c>
      <c r="F678" s="19">
        <f>IF(OR(C678="",D678=""),"",IFERROR(INDEX('Qida bazası'!$E$2:$E$103,MATCH(C678,'Qida bazası'!$A$2:$A$103,0))*D678/100,"?"))</f>
        <v/>
      </c>
      <c r="G678" s="19">
        <f>IF(OR(C678="",D678=""),"",IFERROR(INDEX('Qida bazası'!$F$2:$F$103,MATCH(C678,'Qida bazası'!$A$2:$A$103,0))*D678/100,"?"))</f>
        <v/>
      </c>
      <c r="H678" s="19">
        <f>IF(OR(C678="",D678=""),"",IFERROR(INDEX('Qida bazası'!$G$2:$G$103,MATCH(C678,'Qida bazası'!$A$2:$A$103,0))*D678/100,"?"))</f>
        <v/>
      </c>
    </row>
    <row r="679">
      <c r="A679" s="21" t="n"/>
      <c r="E679" s="18">
        <f>IF(OR(C679="",D679=""),"",IFERROR(INDEX('Qida bazası'!$D$2:$D$103,MATCH(C679,'Qida bazası'!$A$2:$A$103,0))*D679/100,"?"))</f>
        <v/>
      </c>
      <c r="F679" s="19">
        <f>IF(OR(C679="",D679=""),"",IFERROR(INDEX('Qida bazası'!$E$2:$E$103,MATCH(C679,'Qida bazası'!$A$2:$A$103,0))*D679/100,"?"))</f>
        <v/>
      </c>
      <c r="G679" s="19">
        <f>IF(OR(C679="",D679=""),"",IFERROR(INDEX('Qida bazası'!$F$2:$F$103,MATCH(C679,'Qida bazası'!$A$2:$A$103,0))*D679/100,"?"))</f>
        <v/>
      </c>
      <c r="H679" s="19">
        <f>IF(OR(C679="",D679=""),"",IFERROR(INDEX('Qida bazası'!$G$2:$G$103,MATCH(C679,'Qida bazası'!$A$2:$A$103,0))*D679/100,"?"))</f>
        <v/>
      </c>
    </row>
    <row r="680">
      <c r="A680" s="21" t="n"/>
      <c r="E680" s="18">
        <f>IF(OR(C680="",D680=""),"",IFERROR(INDEX('Qida bazası'!$D$2:$D$103,MATCH(C680,'Qida bazası'!$A$2:$A$103,0))*D680/100,"?"))</f>
        <v/>
      </c>
      <c r="F680" s="19">
        <f>IF(OR(C680="",D680=""),"",IFERROR(INDEX('Qida bazası'!$E$2:$E$103,MATCH(C680,'Qida bazası'!$A$2:$A$103,0))*D680/100,"?"))</f>
        <v/>
      </c>
      <c r="G680" s="19">
        <f>IF(OR(C680="",D680=""),"",IFERROR(INDEX('Qida bazası'!$F$2:$F$103,MATCH(C680,'Qida bazası'!$A$2:$A$103,0))*D680/100,"?"))</f>
        <v/>
      </c>
      <c r="H680" s="19">
        <f>IF(OR(C680="",D680=""),"",IFERROR(INDEX('Qida bazası'!$G$2:$G$103,MATCH(C680,'Qida bazası'!$A$2:$A$103,0))*D680/100,"?"))</f>
        <v/>
      </c>
    </row>
    <row r="681">
      <c r="A681" s="21" t="n"/>
      <c r="E681" s="18">
        <f>IF(OR(C681="",D681=""),"",IFERROR(INDEX('Qida bazası'!$D$2:$D$103,MATCH(C681,'Qida bazası'!$A$2:$A$103,0))*D681/100,"?"))</f>
        <v/>
      </c>
      <c r="F681" s="19">
        <f>IF(OR(C681="",D681=""),"",IFERROR(INDEX('Qida bazası'!$E$2:$E$103,MATCH(C681,'Qida bazası'!$A$2:$A$103,0))*D681/100,"?"))</f>
        <v/>
      </c>
      <c r="G681" s="19">
        <f>IF(OR(C681="",D681=""),"",IFERROR(INDEX('Qida bazası'!$F$2:$F$103,MATCH(C681,'Qida bazası'!$A$2:$A$103,0))*D681/100,"?"))</f>
        <v/>
      </c>
      <c r="H681" s="19">
        <f>IF(OR(C681="",D681=""),"",IFERROR(INDEX('Qida bazası'!$G$2:$G$103,MATCH(C681,'Qida bazası'!$A$2:$A$103,0))*D681/100,"?"))</f>
        <v/>
      </c>
    </row>
    <row r="682">
      <c r="A682" s="21" t="n"/>
      <c r="E682" s="18">
        <f>IF(OR(C682="",D682=""),"",IFERROR(INDEX('Qida bazası'!$D$2:$D$103,MATCH(C682,'Qida bazası'!$A$2:$A$103,0))*D682/100,"?"))</f>
        <v/>
      </c>
      <c r="F682" s="19">
        <f>IF(OR(C682="",D682=""),"",IFERROR(INDEX('Qida bazası'!$E$2:$E$103,MATCH(C682,'Qida bazası'!$A$2:$A$103,0))*D682/100,"?"))</f>
        <v/>
      </c>
      <c r="G682" s="19">
        <f>IF(OR(C682="",D682=""),"",IFERROR(INDEX('Qida bazası'!$F$2:$F$103,MATCH(C682,'Qida bazası'!$A$2:$A$103,0))*D682/100,"?"))</f>
        <v/>
      </c>
      <c r="H682" s="19">
        <f>IF(OR(C682="",D682=""),"",IFERROR(INDEX('Qida bazası'!$G$2:$G$103,MATCH(C682,'Qida bazası'!$A$2:$A$103,0))*D682/100,"?"))</f>
        <v/>
      </c>
    </row>
    <row r="683">
      <c r="A683" s="21" t="n"/>
      <c r="E683" s="18">
        <f>IF(OR(C683="",D683=""),"",IFERROR(INDEX('Qida bazası'!$D$2:$D$103,MATCH(C683,'Qida bazası'!$A$2:$A$103,0))*D683/100,"?"))</f>
        <v/>
      </c>
      <c r="F683" s="19">
        <f>IF(OR(C683="",D683=""),"",IFERROR(INDEX('Qida bazası'!$E$2:$E$103,MATCH(C683,'Qida bazası'!$A$2:$A$103,0))*D683/100,"?"))</f>
        <v/>
      </c>
      <c r="G683" s="19">
        <f>IF(OR(C683="",D683=""),"",IFERROR(INDEX('Qida bazası'!$F$2:$F$103,MATCH(C683,'Qida bazası'!$A$2:$A$103,0))*D683/100,"?"))</f>
        <v/>
      </c>
      <c r="H683" s="19">
        <f>IF(OR(C683="",D683=""),"",IFERROR(INDEX('Qida bazası'!$G$2:$G$103,MATCH(C683,'Qida bazası'!$A$2:$A$103,0))*D683/100,"?"))</f>
        <v/>
      </c>
    </row>
    <row r="684">
      <c r="A684" s="21" t="n"/>
      <c r="E684" s="18">
        <f>IF(OR(C684="",D684=""),"",IFERROR(INDEX('Qida bazası'!$D$2:$D$103,MATCH(C684,'Qida bazası'!$A$2:$A$103,0))*D684/100,"?"))</f>
        <v/>
      </c>
      <c r="F684" s="19">
        <f>IF(OR(C684="",D684=""),"",IFERROR(INDEX('Qida bazası'!$E$2:$E$103,MATCH(C684,'Qida bazası'!$A$2:$A$103,0))*D684/100,"?"))</f>
        <v/>
      </c>
      <c r="G684" s="19">
        <f>IF(OR(C684="",D684=""),"",IFERROR(INDEX('Qida bazası'!$F$2:$F$103,MATCH(C684,'Qida bazası'!$A$2:$A$103,0))*D684/100,"?"))</f>
        <v/>
      </c>
      <c r="H684" s="19">
        <f>IF(OR(C684="",D684=""),"",IFERROR(INDEX('Qida bazası'!$G$2:$G$103,MATCH(C684,'Qida bazası'!$A$2:$A$103,0))*D684/100,"?"))</f>
        <v/>
      </c>
    </row>
    <row r="685">
      <c r="A685" s="21" t="n"/>
      <c r="E685" s="18">
        <f>IF(OR(C685="",D685=""),"",IFERROR(INDEX('Qida bazası'!$D$2:$D$103,MATCH(C685,'Qida bazası'!$A$2:$A$103,0))*D685/100,"?"))</f>
        <v/>
      </c>
      <c r="F685" s="19">
        <f>IF(OR(C685="",D685=""),"",IFERROR(INDEX('Qida bazası'!$E$2:$E$103,MATCH(C685,'Qida bazası'!$A$2:$A$103,0))*D685/100,"?"))</f>
        <v/>
      </c>
      <c r="G685" s="19">
        <f>IF(OR(C685="",D685=""),"",IFERROR(INDEX('Qida bazası'!$F$2:$F$103,MATCH(C685,'Qida bazası'!$A$2:$A$103,0))*D685/100,"?"))</f>
        <v/>
      </c>
      <c r="H685" s="19">
        <f>IF(OR(C685="",D685=""),"",IFERROR(INDEX('Qida bazası'!$G$2:$G$103,MATCH(C685,'Qida bazası'!$A$2:$A$103,0))*D685/100,"?"))</f>
        <v/>
      </c>
    </row>
    <row r="686">
      <c r="A686" s="21" t="n"/>
      <c r="E686" s="18">
        <f>IF(OR(C686="",D686=""),"",IFERROR(INDEX('Qida bazası'!$D$2:$D$103,MATCH(C686,'Qida bazası'!$A$2:$A$103,0))*D686/100,"?"))</f>
        <v/>
      </c>
      <c r="F686" s="19">
        <f>IF(OR(C686="",D686=""),"",IFERROR(INDEX('Qida bazası'!$E$2:$E$103,MATCH(C686,'Qida bazası'!$A$2:$A$103,0))*D686/100,"?"))</f>
        <v/>
      </c>
      <c r="G686" s="19">
        <f>IF(OR(C686="",D686=""),"",IFERROR(INDEX('Qida bazası'!$F$2:$F$103,MATCH(C686,'Qida bazası'!$A$2:$A$103,0))*D686/100,"?"))</f>
        <v/>
      </c>
      <c r="H686" s="19">
        <f>IF(OR(C686="",D686=""),"",IFERROR(INDEX('Qida bazası'!$G$2:$G$103,MATCH(C686,'Qida bazası'!$A$2:$A$103,0))*D686/100,"?"))</f>
        <v/>
      </c>
    </row>
    <row r="687">
      <c r="A687" s="21" t="n"/>
      <c r="E687" s="18">
        <f>IF(OR(C687="",D687=""),"",IFERROR(INDEX('Qida bazası'!$D$2:$D$103,MATCH(C687,'Qida bazası'!$A$2:$A$103,0))*D687/100,"?"))</f>
        <v/>
      </c>
      <c r="F687" s="19">
        <f>IF(OR(C687="",D687=""),"",IFERROR(INDEX('Qida bazası'!$E$2:$E$103,MATCH(C687,'Qida bazası'!$A$2:$A$103,0))*D687/100,"?"))</f>
        <v/>
      </c>
      <c r="G687" s="19">
        <f>IF(OR(C687="",D687=""),"",IFERROR(INDEX('Qida bazası'!$F$2:$F$103,MATCH(C687,'Qida bazası'!$A$2:$A$103,0))*D687/100,"?"))</f>
        <v/>
      </c>
      <c r="H687" s="19">
        <f>IF(OR(C687="",D687=""),"",IFERROR(INDEX('Qida bazası'!$G$2:$G$103,MATCH(C687,'Qida bazası'!$A$2:$A$103,0))*D687/100,"?"))</f>
        <v/>
      </c>
    </row>
    <row r="688">
      <c r="A688" s="21" t="n"/>
      <c r="E688" s="18">
        <f>IF(OR(C688="",D688=""),"",IFERROR(INDEX('Qida bazası'!$D$2:$D$103,MATCH(C688,'Qida bazası'!$A$2:$A$103,0))*D688/100,"?"))</f>
        <v/>
      </c>
      <c r="F688" s="19">
        <f>IF(OR(C688="",D688=""),"",IFERROR(INDEX('Qida bazası'!$E$2:$E$103,MATCH(C688,'Qida bazası'!$A$2:$A$103,0))*D688/100,"?"))</f>
        <v/>
      </c>
      <c r="G688" s="19">
        <f>IF(OR(C688="",D688=""),"",IFERROR(INDEX('Qida bazası'!$F$2:$F$103,MATCH(C688,'Qida bazası'!$A$2:$A$103,0))*D688/100,"?"))</f>
        <v/>
      </c>
      <c r="H688" s="19">
        <f>IF(OR(C688="",D688=""),"",IFERROR(INDEX('Qida bazası'!$G$2:$G$103,MATCH(C688,'Qida bazası'!$A$2:$A$103,0))*D688/100,"?"))</f>
        <v/>
      </c>
    </row>
    <row r="689">
      <c r="A689" s="21" t="n"/>
      <c r="E689" s="18">
        <f>IF(OR(C689="",D689=""),"",IFERROR(INDEX('Qida bazası'!$D$2:$D$103,MATCH(C689,'Qida bazası'!$A$2:$A$103,0))*D689/100,"?"))</f>
        <v/>
      </c>
      <c r="F689" s="19">
        <f>IF(OR(C689="",D689=""),"",IFERROR(INDEX('Qida bazası'!$E$2:$E$103,MATCH(C689,'Qida bazası'!$A$2:$A$103,0))*D689/100,"?"))</f>
        <v/>
      </c>
      <c r="G689" s="19">
        <f>IF(OR(C689="",D689=""),"",IFERROR(INDEX('Qida bazası'!$F$2:$F$103,MATCH(C689,'Qida bazası'!$A$2:$A$103,0))*D689/100,"?"))</f>
        <v/>
      </c>
      <c r="H689" s="19">
        <f>IF(OR(C689="",D689=""),"",IFERROR(INDEX('Qida bazası'!$G$2:$G$103,MATCH(C689,'Qida bazası'!$A$2:$A$103,0))*D689/100,"?"))</f>
        <v/>
      </c>
    </row>
    <row r="690">
      <c r="A690" s="21" t="n"/>
      <c r="E690" s="18">
        <f>IF(OR(C690="",D690=""),"",IFERROR(INDEX('Qida bazası'!$D$2:$D$103,MATCH(C690,'Qida bazası'!$A$2:$A$103,0))*D690/100,"?"))</f>
        <v/>
      </c>
      <c r="F690" s="19">
        <f>IF(OR(C690="",D690=""),"",IFERROR(INDEX('Qida bazası'!$E$2:$E$103,MATCH(C690,'Qida bazası'!$A$2:$A$103,0))*D690/100,"?"))</f>
        <v/>
      </c>
      <c r="G690" s="19">
        <f>IF(OR(C690="",D690=""),"",IFERROR(INDEX('Qida bazası'!$F$2:$F$103,MATCH(C690,'Qida bazası'!$A$2:$A$103,0))*D690/100,"?"))</f>
        <v/>
      </c>
      <c r="H690" s="19">
        <f>IF(OR(C690="",D690=""),"",IFERROR(INDEX('Qida bazası'!$G$2:$G$103,MATCH(C690,'Qida bazası'!$A$2:$A$103,0))*D690/100,"?"))</f>
        <v/>
      </c>
    </row>
    <row r="691">
      <c r="A691" s="21" t="n"/>
      <c r="E691" s="18">
        <f>IF(OR(C691="",D691=""),"",IFERROR(INDEX('Qida bazası'!$D$2:$D$103,MATCH(C691,'Qida bazası'!$A$2:$A$103,0))*D691/100,"?"))</f>
        <v/>
      </c>
      <c r="F691" s="19">
        <f>IF(OR(C691="",D691=""),"",IFERROR(INDEX('Qida bazası'!$E$2:$E$103,MATCH(C691,'Qida bazası'!$A$2:$A$103,0))*D691/100,"?"))</f>
        <v/>
      </c>
      <c r="G691" s="19">
        <f>IF(OR(C691="",D691=""),"",IFERROR(INDEX('Qida bazası'!$F$2:$F$103,MATCH(C691,'Qida bazası'!$A$2:$A$103,0))*D691/100,"?"))</f>
        <v/>
      </c>
      <c r="H691" s="19">
        <f>IF(OR(C691="",D691=""),"",IFERROR(INDEX('Qida bazası'!$G$2:$G$103,MATCH(C691,'Qida bazası'!$A$2:$A$103,0))*D691/100,"?"))</f>
        <v/>
      </c>
    </row>
    <row r="692">
      <c r="A692" s="21" t="n"/>
      <c r="E692" s="18">
        <f>IF(OR(C692="",D692=""),"",IFERROR(INDEX('Qida bazası'!$D$2:$D$103,MATCH(C692,'Qida bazası'!$A$2:$A$103,0))*D692/100,"?"))</f>
        <v/>
      </c>
      <c r="F692" s="19">
        <f>IF(OR(C692="",D692=""),"",IFERROR(INDEX('Qida bazası'!$E$2:$E$103,MATCH(C692,'Qida bazası'!$A$2:$A$103,0))*D692/100,"?"))</f>
        <v/>
      </c>
      <c r="G692" s="19">
        <f>IF(OR(C692="",D692=""),"",IFERROR(INDEX('Qida bazası'!$F$2:$F$103,MATCH(C692,'Qida bazası'!$A$2:$A$103,0))*D692/100,"?"))</f>
        <v/>
      </c>
      <c r="H692" s="19">
        <f>IF(OR(C692="",D692=""),"",IFERROR(INDEX('Qida bazası'!$G$2:$G$103,MATCH(C692,'Qida bazası'!$A$2:$A$103,0))*D692/100,"?"))</f>
        <v/>
      </c>
    </row>
    <row r="693">
      <c r="A693" s="21" t="n"/>
      <c r="E693" s="18">
        <f>IF(OR(C693="",D693=""),"",IFERROR(INDEX('Qida bazası'!$D$2:$D$103,MATCH(C693,'Qida bazası'!$A$2:$A$103,0))*D693/100,"?"))</f>
        <v/>
      </c>
      <c r="F693" s="19">
        <f>IF(OR(C693="",D693=""),"",IFERROR(INDEX('Qida bazası'!$E$2:$E$103,MATCH(C693,'Qida bazası'!$A$2:$A$103,0))*D693/100,"?"))</f>
        <v/>
      </c>
      <c r="G693" s="19">
        <f>IF(OR(C693="",D693=""),"",IFERROR(INDEX('Qida bazası'!$F$2:$F$103,MATCH(C693,'Qida bazası'!$A$2:$A$103,0))*D693/100,"?"))</f>
        <v/>
      </c>
      <c r="H693" s="19">
        <f>IF(OR(C693="",D693=""),"",IFERROR(INDEX('Qida bazası'!$G$2:$G$103,MATCH(C693,'Qida bazası'!$A$2:$A$103,0))*D693/100,"?"))</f>
        <v/>
      </c>
    </row>
    <row r="694">
      <c r="A694" s="21" t="n"/>
      <c r="E694" s="18">
        <f>IF(OR(C694="",D694=""),"",IFERROR(INDEX('Qida bazası'!$D$2:$D$103,MATCH(C694,'Qida bazası'!$A$2:$A$103,0))*D694/100,"?"))</f>
        <v/>
      </c>
      <c r="F694" s="19">
        <f>IF(OR(C694="",D694=""),"",IFERROR(INDEX('Qida bazası'!$E$2:$E$103,MATCH(C694,'Qida bazası'!$A$2:$A$103,0))*D694/100,"?"))</f>
        <v/>
      </c>
      <c r="G694" s="19">
        <f>IF(OR(C694="",D694=""),"",IFERROR(INDEX('Qida bazası'!$F$2:$F$103,MATCH(C694,'Qida bazası'!$A$2:$A$103,0))*D694/100,"?"))</f>
        <v/>
      </c>
      <c r="H694" s="19">
        <f>IF(OR(C694="",D694=""),"",IFERROR(INDEX('Qida bazası'!$G$2:$G$103,MATCH(C694,'Qida bazası'!$A$2:$A$103,0))*D694/100,"?"))</f>
        <v/>
      </c>
    </row>
    <row r="695">
      <c r="A695" s="21" t="n"/>
      <c r="E695" s="18">
        <f>IF(OR(C695="",D695=""),"",IFERROR(INDEX('Qida bazası'!$D$2:$D$103,MATCH(C695,'Qida bazası'!$A$2:$A$103,0))*D695/100,"?"))</f>
        <v/>
      </c>
      <c r="F695" s="19">
        <f>IF(OR(C695="",D695=""),"",IFERROR(INDEX('Qida bazası'!$E$2:$E$103,MATCH(C695,'Qida bazası'!$A$2:$A$103,0))*D695/100,"?"))</f>
        <v/>
      </c>
      <c r="G695" s="19">
        <f>IF(OR(C695="",D695=""),"",IFERROR(INDEX('Qida bazası'!$F$2:$F$103,MATCH(C695,'Qida bazası'!$A$2:$A$103,0))*D695/100,"?"))</f>
        <v/>
      </c>
      <c r="H695" s="19">
        <f>IF(OR(C695="",D695=""),"",IFERROR(INDEX('Qida bazası'!$G$2:$G$103,MATCH(C695,'Qida bazası'!$A$2:$A$103,0))*D695/100,"?"))</f>
        <v/>
      </c>
    </row>
    <row r="696">
      <c r="A696" s="21" t="n"/>
      <c r="E696" s="18">
        <f>IF(OR(C696="",D696=""),"",IFERROR(INDEX('Qida bazası'!$D$2:$D$103,MATCH(C696,'Qida bazası'!$A$2:$A$103,0))*D696/100,"?"))</f>
        <v/>
      </c>
      <c r="F696" s="19">
        <f>IF(OR(C696="",D696=""),"",IFERROR(INDEX('Qida bazası'!$E$2:$E$103,MATCH(C696,'Qida bazası'!$A$2:$A$103,0))*D696/100,"?"))</f>
        <v/>
      </c>
      <c r="G696" s="19">
        <f>IF(OR(C696="",D696=""),"",IFERROR(INDEX('Qida bazası'!$F$2:$F$103,MATCH(C696,'Qida bazası'!$A$2:$A$103,0))*D696/100,"?"))</f>
        <v/>
      </c>
      <c r="H696" s="19">
        <f>IF(OR(C696="",D696=""),"",IFERROR(INDEX('Qida bazası'!$G$2:$G$103,MATCH(C696,'Qida bazası'!$A$2:$A$103,0))*D696/100,"?"))</f>
        <v/>
      </c>
    </row>
    <row r="697">
      <c r="A697" s="21" t="n"/>
      <c r="E697" s="18">
        <f>IF(OR(C697="",D697=""),"",IFERROR(INDEX('Qida bazası'!$D$2:$D$103,MATCH(C697,'Qida bazası'!$A$2:$A$103,0))*D697/100,"?"))</f>
        <v/>
      </c>
      <c r="F697" s="19">
        <f>IF(OR(C697="",D697=""),"",IFERROR(INDEX('Qida bazası'!$E$2:$E$103,MATCH(C697,'Qida bazası'!$A$2:$A$103,0))*D697/100,"?"))</f>
        <v/>
      </c>
      <c r="G697" s="19">
        <f>IF(OR(C697="",D697=""),"",IFERROR(INDEX('Qida bazası'!$F$2:$F$103,MATCH(C697,'Qida bazası'!$A$2:$A$103,0))*D697/100,"?"))</f>
        <v/>
      </c>
      <c r="H697" s="19">
        <f>IF(OR(C697="",D697=""),"",IFERROR(INDEX('Qida bazası'!$G$2:$G$103,MATCH(C697,'Qida bazası'!$A$2:$A$103,0))*D697/100,"?"))</f>
        <v/>
      </c>
    </row>
    <row r="698">
      <c r="A698" s="21" t="n"/>
      <c r="E698" s="18">
        <f>IF(OR(C698="",D698=""),"",IFERROR(INDEX('Qida bazası'!$D$2:$D$103,MATCH(C698,'Qida bazası'!$A$2:$A$103,0))*D698/100,"?"))</f>
        <v/>
      </c>
      <c r="F698" s="19">
        <f>IF(OR(C698="",D698=""),"",IFERROR(INDEX('Qida bazası'!$E$2:$E$103,MATCH(C698,'Qida bazası'!$A$2:$A$103,0))*D698/100,"?"))</f>
        <v/>
      </c>
      <c r="G698" s="19">
        <f>IF(OR(C698="",D698=""),"",IFERROR(INDEX('Qida bazası'!$F$2:$F$103,MATCH(C698,'Qida bazası'!$A$2:$A$103,0))*D698/100,"?"))</f>
        <v/>
      </c>
      <c r="H698" s="19">
        <f>IF(OR(C698="",D698=""),"",IFERROR(INDEX('Qida bazası'!$G$2:$G$103,MATCH(C698,'Qida bazası'!$A$2:$A$103,0))*D698/100,"?"))</f>
        <v/>
      </c>
    </row>
    <row r="699">
      <c r="A699" s="21" t="n"/>
      <c r="E699" s="18">
        <f>IF(OR(C699="",D699=""),"",IFERROR(INDEX('Qida bazası'!$D$2:$D$103,MATCH(C699,'Qida bazası'!$A$2:$A$103,0))*D699/100,"?"))</f>
        <v/>
      </c>
      <c r="F699" s="19">
        <f>IF(OR(C699="",D699=""),"",IFERROR(INDEX('Qida bazası'!$E$2:$E$103,MATCH(C699,'Qida bazası'!$A$2:$A$103,0))*D699/100,"?"))</f>
        <v/>
      </c>
      <c r="G699" s="19">
        <f>IF(OR(C699="",D699=""),"",IFERROR(INDEX('Qida bazası'!$F$2:$F$103,MATCH(C699,'Qida bazası'!$A$2:$A$103,0))*D699/100,"?"))</f>
        <v/>
      </c>
      <c r="H699" s="19">
        <f>IF(OR(C699="",D699=""),"",IFERROR(INDEX('Qida bazası'!$G$2:$G$103,MATCH(C699,'Qida bazası'!$A$2:$A$103,0))*D699/100,"?"))</f>
        <v/>
      </c>
    </row>
    <row r="700">
      <c r="A700" s="21" t="n"/>
      <c r="E700" s="18">
        <f>IF(OR(C700="",D700=""),"",IFERROR(INDEX('Qida bazası'!$D$2:$D$103,MATCH(C700,'Qida bazası'!$A$2:$A$103,0))*D700/100,"?"))</f>
        <v/>
      </c>
      <c r="F700" s="19">
        <f>IF(OR(C700="",D700=""),"",IFERROR(INDEX('Qida bazası'!$E$2:$E$103,MATCH(C700,'Qida bazası'!$A$2:$A$103,0))*D700/100,"?"))</f>
        <v/>
      </c>
      <c r="G700" s="19">
        <f>IF(OR(C700="",D700=""),"",IFERROR(INDEX('Qida bazası'!$F$2:$F$103,MATCH(C700,'Qida bazası'!$A$2:$A$103,0))*D700/100,"?"))</f>
        <v/>
      </c>
      <c r="H700" s="19">
        <f>IF(OR(C700="",D700=""),"",IFERROR(INDEX('Qida bazası'!$G$2:$G$103,MATCH(C700,'Qida bazası'!$A$2:$A$103,0))*D700/100,"?"))</f>
        <v/>
      </c>
    </row>
    <row r="701">
      <c r="A701" s="21" t="n"/>
      <c r="E701" s="18">
        <f>IF(OR(C701="",D701=""),"",IFERROR(INDEX('Qida bazası'!$D$2:$D$103,MATCH(C701,'Qida bazası'!$A$2:$A$103,0))*D701/100,"?"))</f>
        <v/>
      </c>
      <c r="F701" s="19">
        <f>IF(OR(C701="",D701=""),"",IFERROR(INDEX('Qida bazası'!$E$2:$E$103,MATCH(C701,'Qida bazası'!$A$2:$A$103,0))*D701/100,"?"))</f>
        <v/>
      </c>
      <c r="G701" s="19">
        <f>IF(OR(C701="",D701=""),"",IFERROR(INDEX('Qida bazası'!$F$2:$F$103,MATCH(C701,'Qida bazası'!$A$2:$A$103,0))*D701/100,"?"))</f>
        <v/>
      </c>
      <c r="H701" s="19">
        <f>IF(OR(C701="",D701=""),"",IFERROR(INDEX('Qida bazası'!$G$2:$G$103,MATCH(C701,'Qida bazası'!$A$2:$A$103,0))*D701/100,"?"))</f>
        <v/>
      </c>
    </row>
    <row r="702">
      <c r="A702" s="21" t="n"/>
      <c r="E702" s="18">
        <f>IF(OR(C702="",D702=""),"",IFERROR(INDEX('Qida bazası'!$D$2:$D$103,MATCH(C702,'Qida bazası'!$A$2:$A$103,0))*D702/100,"?"))</f>
        <v/>
      </c>
      <c r="F702" s="19">
        <f>IF(OR(C702="",D702=""),"",IFERROR(INDEX('Qida bazası'!$E$2:$E$103,MATCH(C702,'Qida bazası'!$A$2:$A$103,0))*D702/100,"?"))</f>
        <v/>
      </c>
      <c r="G702" s="19">
        <f>IF(OR(C702="",D702=""),"",IFERROR(INDEX('Qida bazası'!$F$2:$F$103,MATCH(C702,'Qida bazası'!$A$2:$A$103,0))*D702/100,"?"))</f>
        <v/>
      </c>
      <c r="H702" s="19">
        <f>IF(OR(C702="",D702=""),"",IFERROR(INDEX('Qida bazası'!$G$2:$G$103,MATCH(C702,'Qida bazası'!$A$2:$A$103,0))*D702/100,"?"))</f>
        <v/>
      </c>
    </row>
    <row r="703">
      <c r="A703" s="21" t="n"/>
      <c r="E703" s="18">
        <f>IF(OR(C703="",D703=""),"",IFERROR(INDEX('Qida bazası'!$D$2:$D$103,MATCH(C703,'Qida bazası'!$A$2:$A$103,0))*D703/100,"?"))</f>
        <v/>
      </c>
      <c r="F703" s="19">
        <f>IF(OR(C703="",D703=""),"",IFERROR(INDEX('Qida bazası'!$E$2:$E$103,MATCH(C703,'Qida bazası'!$A$2:$A$103,0))*D703/100,"?"))</f>
        <v/>
      </c>
      <c r="G703" s="19">
        <f>IF(OR(C703="",D703=""),"",IFERROR(INDEX('Qida bazası'!$F$2:$F$103,MATCH(C703,'Qida bazası'!$A$2:$A$103,0))*D703/100,"?"))</f>
        <v/>
      </c>
      <c r="H703" s="19">
        <f>IF(OR(C703="",D703=""),"",IFERROR(INDEX('Qida bazası'!$G$2:$G$103,MATCH(C703,'Qida bazası'!$A$2:$A$103,0))*D703/100,"?"))</f>
        <v/>
      </c>
    </row>
    <row r="704">
      <c r="A704" s="21" t="n"/>
      <c r="E704" s="18">
        <f>IF(OR(C704="",D704=""),"",IFERROR(INDEX('Qida bazası'!$D$2:$D$103,MATCH(C704,'Qida bazası'!$A$2:$A$103,0))*D704/100,"?"))</f>
        <v/>
      </c>
      <c r="F704" s="19">
        <f>IF(OR(C704="",D704=""),"",IFERROR(INDEX('Qida bazası'!$E$2:$E$103,MATCH(C704,'Qida bazası'!$A$2:$A$103,0))*D704/100,"?"))</f>
        <v/>
      </c>
      <c r="G704" s="19">
        <f>IF(OR(C704="",D704=""),"",IFERROR(INDEX('Qida bazası'!$F$2:$F$103,MATCH(C704,'Qida bazası'!$A$2:$A$103,0))*D704/100,"?"))</f>
        <v/>
      </c>
      <c r="H704" s="19">
        <f>IF(OR(C704="",D704=""),"",IFERROR(INDEX('Qida bazası'!$G$2:$G$103,MATCH(C704,'Qida bazası'!$A$2:$A$103,0))*D704/100,"?"))</f>
        <v/>
      </c>
    </row>
    <row r="705">
      <c r="A705" s="21" t="n"/>
      <c r="E705" s="18">
        <f>IF(OR(C705="",D705=""),"",IFERROR(INDEX('Qida bazası'!$D$2:$D$103,MATCH(C705,'Qida bazası'!$A$2:$A$103,0))*D705/100,"?"))</f>
        <v/>
      </c>
      <c r="F705" s="19">
        <f>IF(OR(C705="",D705=""),"",IFERROR(INDEX('Qida bazası'!$E$2:$E$103,MATCH(C705,'Qida bazası'!$A$2:$A$103,0))*D705/100,"?"))</f>
        <v/>
      </c>
      <c r="G705" s="19">
        <f>IF(OR(C705="",D705=""),"",IFERROR(INDEX('Qida bazası'!$F$2:$F$103,MATCH(C705,'Qida bazası'!$A$2:$A$103,0))*D705/100,"?"))</f>
        <v/>
      </c>
      <c r="H705" s="19">
        <f>IF(OR(C705="",D705=""),"",IFERROR(INDEX('Qida bazası'!$G$2:$G$103,MATCH(C705,'Qida bazası'!$A$2:$A$103,0))*D705/100,"?"))</f>
        <v/>
      </c>
    </row>
    <row r="706">
      <c r="A706" s="21" t="n"/>
      <c r="E706" s="18">
        <f>IF(OR(C706="",D706=""),"",IFERROR(INDEX('Qida bazası'!$D$2:$D$103,MATCH(C706,'Qida bazası'!$A$2:$A$103,0))*D706/100,"?"))</f>
        <v/>
      </c>
      <c r="F706" s="19">
        <f>IF(OR(C706="",D706=""),"",IFERROR(INDEX('Qida bazası'!$E$2:$E$103,MATCH(C706,'Qida bazası'!$A$2:$A$103,0))*D706/100,"?"))</f>
        <v/>
      </c>
      <c r="G706" s="19">
        <f>IF(OR(C706="",D706=""),"",IFERROR(INDEX('Qida bazası'!$F$2:$F$103,MATCH(C706,'Qida bazası'!$A$2:$A$103,0))*D706/100,"?"))</f>
        <v/>
      </c>
      <c r="H706" s="19">
        <f>IF(OR(C706="",D706=""),"",IFERROR(INDEX('Qida bazası'!$G$2:$G$103,MATCH(C706,'Qida bazası'!$A$2:$A$103,0))*D706/100,"?"))</f>
        <v/>
      </c>
    </row>
    <row r="707">
      <c r="A707" s="21" t="n"/>
      <c r="E707" s="18">
        <f>IF(OR(C707="",D707=""),"",IFERROR(INDEX('Qida bazası'!$D$2:$D$103,MATCH(C707,'Qida bazası'!$A$2:$A$103,0))*D707/100,"?"))</f>
        <v/>
      </c>
      <c r="F707" s="19">
        <f>IF(OR(C707="",D707=""),"",IFERROR(INDEX('Qida bazası'!$E$2:$E$103,MATCH(C707,'Qida bazası'!$A$2:$A$103,0))*D707/100,"?"))</f>
        <v/>
      </c>
      <c r="G707" s="19">
        <f>IF(OR(C707="",D707=""),"",IFERROR(INDEX('Qida bazası'!$F$2:$F$103,MATCH(C707,'Qida bazası'!$A$2:$A$103,0))*D707/100,"?"))</f>
        <v/>
      </c>
      <c r="H707" s="19">
        <f>IF(OR(C707="",D707=""),"",IFERROR(INDEX('Qida bazası'!$G$2:$G$103,MATCH(C707,'Qida bazası'!$A$2:$A$103,0))*D707/100,"?"))</f>
        <v/>
      </c>
    </row>
    <row r="708">
      <c r="A708" s="21" t="n"/>
      <c r="E708" s="18">
        <f>IF(OR(C708="",D708=""),"",IFERROR(INDEX('Qida bazası'!$D$2:$D$103,MATCH(C708,'Qida bazası'!$A$2:$A$103,0))*D708/100,"?"))</f>
        <v/>
      </c>
      <c r="F708" s="19">
        <f>IF(OR(C708="",D708=""),"",IFERROR(INDEX('Qida bazası'!$E$2:$E$103,MATCH(C708,'Qida bazası'!$A$2:$A$103,0))*D708/100,"?"))</f>
        <v/>
      </c>
      <c r="G708" s="19">
        <f>IF(OR(C708="",D708=""),"",IFERROR(INDEX('Qida bazası'!$F$2:$F$103,MATCH(C708,'Qida bazası'!$A$2:$A$103,0))*D708/100,"?"))</f>
        <v/>
      </c>
      <c r="H708" s="19">
        <f>IF(OR(C708="",D708=""),"",IFERROR(INDEX('Qida bazası'!$G$2:$G$103,MATCH(C708,'Qida bazası'!$A$2:$A$103,0))*D708/100,"?"))</f>
        <v/>
      </c>
    </row>
    <row r="709">
      <c r="A709" s="21" t="n"/>
      <c r="E709" s="18">
        <f>IF(OR(C709="",D709=""),"",IFERROR(INDEX('Qida bazası'!$D$2:$D$103,MATCH(C709,'Qida bazası'!$A$2:$A$103,0))*D709/100,"?"))</f>
        <v/>
      </c>
      <c r="F709" s="19">
        <f>IF(OR(C709="",D709=""),"",IFERROR(INDEX('Qida bazası'!$E$2:$E$103,MATCH(C709,'Qida bazası'!$A$2:$A$103,0))*D709/100,"?"))</f>
        <v/>
      </c>
      <c r="G709" s="19">
        <f>IF(OR(C709="",D709=""),"",IFERROR(INDEX('Qida bazası'!$F$2:$F$103,MATCH(C709,'Qida bazası'!$A$2:$A$103,0))*D709/100,"?"))</f>
        <v/>
      </c>
      <c r="H709" s="19">
        <f>IF(OR(C709="",D709=""),"",IFERROR(INDEX('Qida bazası'!$G$2:$G$103,MATCH(C709,'Qida bazası'!$A$2:$A$103,0))*D709/100,"?"))</f>
        <v/>
      </c>
    </row>
    <row r="710">
      <c r="A710" s="21" t="n"/>
      <c r="E710" s="18">
        <f>IF(OR(C710="",D710=""),"",IFERROR(INDEX('Qida bazası'!$D$2:$D$103,MATCH(C710,'Qida bazası'!$A$2:$A$103,0))*D710/100,"?"))</f>
        <v/>
      </c>
      <c r="F710" s="19">
        <f>IF(OR(C710="",D710=""),"",IFERROR(INDEX('Qida bazası'!$E$2:$E$103,MATCH(C710,'Qida bazası'!$A$2:$A$103,0))*D710/100,"?"))</f>
        <v/>
      </c>
      <c r="G710" s="19">
        <f>IF(OR(C710="",D710=""),"",IFERROR(INDEX('Qida bazası'!$F$2:$F$103,MATCH(C710,'Qida bazası'!$A$2:$A$103,0))*D710/100,"?"))</f>
        <v/>
      </c>
      <c r="H710" s="19">
        <f>IF(OR(C710="",D710=""),"",IFERROR(INDEX('Qida bazası'!$G$2:$G$103,MATCH(C710,'Qida bazası'!$A$2:$A$103,0))*D710/100,"?"))</f>
        <v/>
      </c>
    </row>
    <row r="711">
      <c r="A711" s="21" t="n"/>
      <c r="E711" s="18">
        <f>IF(OR(C711="",D711=""),"",IFERROR(INDEX('Qida bazası'!$D$2:$D$103,MATCH(C711,'Qida bazası'!$A$2:$A$103,0))*D711/100,"?"))</f>
        <v/>
      </c>
      <c r="F711" s="19">
        <f>IF(OR(C711="",D711=""),"",IFERROR(INDEX('Qida bazası'!$E$2:$E$103,MATCH(C711,'Qida bazası'!$A$2:$A$103,0))*D711/100,"?"))</f>
        <v/>
      </c>
      <c r="G711" s="19">
        <f>IF(OR(C711="",D711=""),"",IFERROR(INDEX('Qida bazası'!$F$2:$F$103,MATCH(C711,'Qida bazası'!$A$2:$A$103,0))*D711/100,"?"))</f>
        <v/>
      </c>
      <c r="H711" s="19">
        <f>IF(OR(C711="",D711=""),"",IFERROR(INDEX('Qida bazası'!$G$2:$G$103,MATCH(C711,'Qida bazası'!$A$2:$A$103,0))*D711/100,"?"))</f>
        <v/>
      </c>
    </row>
    <row r="712">
      <c r="A712" s="21" t="n"/>
      <c r="E712" s="18">
        <f>IF(OR(C712="",D712=""),"",IFERROR(INDEX('Qida bazası'!$D$2:$D$103,MATCH(C712,'Qida bazası'!$A$2:$A$103,0))*D712/100,"?"))</f>
        <v/>
      </c>
      <c r="F712" s="19">
        <f>IF(OR(C712="",D712=""),"",IFERROR(INDEX('Qida bazası'!$E$2:$E$103,MATCH(C712,'Qida bazası'!$A$2:$A$103,0))*D712/100,"?"))</f>
        <v/>
      </c>
      <c r="G712" s="19">
        <f>IF(OR(C712="",D712=""),"",IFERROR(INDEX('Qida bazası'!$F$2:$F$103,MATCH(C712,'Qida bazası'!$A$2:$A$103,0))*D712/100,"?"))</f>
        <v/>
      </c>
      <c r="H712" s="19">
        <f>IF(OR(C712="",D712=""),"",IFERROR(INDEX('Qida bazası'!$G$2:$G$103,MATCH(C712,'Qida bazası'!$A$2:$A$103,0))*D712/100,"?"))</f>
        <v/>
      </c>
    </row>
    <row r="713">
      <c r="A713" s="21" t="n"/>
      <c r="E713" s="18">
        <f>IF(OR(C713="",D713=""),"",IFERROR(INDEX('Qida bazası'!$D$2:$D$103,MATCH(C713,'Qida bazası'!$A$2:$A$103,0))*D713/100,"?"))</f>
        <v/>
      </c>
      <c r="F713" s="19">
        <f>IF(OR(C713="",D713=""),"",IFERROR(INDEX('Qida bazası'!$E$2:$E$103,MATCH(C713,'Qida bazası'!$A$2:$A$103,0))*D713/100,"?"))</f>
        <v/>
      </c>
      <c r="G713" s="19">
        <f>IF(OR(C713="",D713=""),"",IFERROR(INDEX('Qida bazası'!$F$2:$F$103,MATCH(C713,'Qida bazası'!$A$2:$A$103,0))*D713/100,"?"))</f>
        <v/>
      </c>
      <c r="H713" s="19">
        <f>IF(OR(C713="",D713=""),"",IFERROR(INDEX('Qida bazası'!$G$2:$G$103,MATCH(C713,'Qida bazası'!$A$2:$A$103,0))*D713/100,"?"))</f>
        <v/>
      </c>
    </row>
    <row r="714">
      <c r="A714" s="21" t="n"/>
      <c r="E714" s="18">
        <f>IF(OR(C714="",D714=""),"",IFERROR(INDEX('Qida bazası'!$D$2:$D$103,MATCH(C714,'Qida bazası'!$A$2:$A$103,0))*D714/100,"?"))</f>
        <v/>
      </c>
      <c r="F714" s="19">
        <f>IF(OR(C714="",D714=""),"",IFERROR(INDEX('Qida bazası'!$E$2:$E$103,MATCH(C714,'Qida bazası'!$A$2:$A$103,0))*D714/100,"?"))</f>
        <v/>
      </c>
      <c r="G714" s="19">
        <f>IF(OR(C714="",D714=""),"",IFERROR(INDEX('Qida bazası'!$F$2:$F$103,MATCH(C714,'Qida bazası'!$A$2:$A$103,0))*D714/100,"?"))</f>
        <v/>
      </c>
      <c r="H714" s="19">
        <f>IF(OR(C714="",D714=""),"",IFERROR(INDEX('Qida bazası'!$G$2:$G$103,MATCH(C714,'Qida bazası'!$A$2:$A$103,0))*D714/100,"?"))</f>
        <v/>
      </c>
    </row>
    <row r="715">
      <c r="A715" s="21" t="n"/>
      <c r="E715" s="18">
        <f>IF(OR(C715="",D715=""),"",IFERROR(INDEX('Qida bazası'!$D$2:$D$103,MATCH(C715,'Qida bazası'!$A$2:$A$103,0))*D715/100,"?"))</f>
        <v/>
      </c>
      <c r="F715" s="19">
        <f>IF(OR(C715="",D715=""),"",IFERROR(INDEX('Qida bazası'!$E$2:$E$103,MATCH(C715,'Qida bazası'!$A$2:$A$103,0))*D715/100,"?"))</f>
        <v/>
      </c>
      <c r="G715" s="19">
        <f>IF(OR(C715="",D715=""),"",IFERROR(INDEX('Qida bazası'!$F$2:$F$103,MATCH(C715,'Qida bazası'!$A$2:$A$103,0))*D715/100,"?"))</f>
        <v/>
      </c>
      <c r="H715" s="19">
        <f>IF(OR(C715="",D715=""),"",IFERROR(INDEX('Qida bazası'!$G$2:$G$103,MATCH(C715,'Qida bazası'!$A$2:$A$103,0))*D715/100,"?"))</f>
        <v/>
      </c>
    </row>
    <row r="716">
      <c r="A716" s="21" t="n"/>
      <c r="E716" s="18">
        <f>IF(OR(C716="",D716=""),"",IFERROR(INDEX('Qida bazası'!$D$2:$D$103,MATCH(C716,'Qida bazası'!$A$2:$A$103,0))*D716/100,"?"))</f>
        <v/>
      </c>
      <c r="F716" s="19">
        <f>IF(OR(C716="",D716=""),"",IFERROR(INDEX('Qida bazası'!$E$2:$E$103,MATCH(C716,'Qida bazası'!$A$2:$A$103,0))*D716/100,"?"))</f>
        <v/>
      </c>
      <c r="G716" s="19">
        <f>IF(OR(C716="",D716=""),"",IFERROR(INDEX('Qida bazası'!$F$2:$F$103,MATCH(C716,'Qida bazası'!$A$2:$A$103,0))*D716/100,"?"))</f>
        <v/>
      </c>
      <c r="H716" s="19">
        <f>IF(OR(C716="",D716=""),"",IFERROR(INDEX('Qida bazası'!$G$2:$G$103,MATCH(C716,'Qida bazası'!$A$2:$A$103,0))*D716/100,"?"))</f>
        <v/>
      </c>
    </row>
    <row r="717">
      <c r="A717" s="21" t="n"/>
      <c r="E717" s="18">
        <f>IF(OR(C717="",D717=""),"",IFERROR(INDEX('Qida bazası'!$D$2:$D$103,MATCH(C717,'Qida bazası'!$A$2:$A$103,0))*D717/100,"?"))</f>
        <v/>
      </c>
      <c r="F717" s="19">
        <f>IF(OR(C717="",D717=""),"",IFERROR(INDEX('Qida bazası'!$E$2:$E$103,MATCH(C717,'Qida bazası'!$A$2:$A$103,0))*D717/100,"?"))</f>
        <v/>
      </c>
      <c r="G717" s="19">
        <f>IF(OR(C717="",D717=""),"",IFERROR(INDEX('Qida bazası'!$F$2:$F$103,MATCH(C717,'Qida bazası'!$A$2:$A$103,0))*D717/100,"?"))</f>
        <v/>
      </c>
      <c r="H717" s="19">
        <f>IF(OR(C717="",D717=""),"",IFERROR(INDEX('Qida bazası'!$G$2:$G$103,MATCH(C717,'Qida bazası'!$A$2:$A$103,0))*D717/100,"?"))</f>
        <v/>
      </c>
    </row>
    <row r="718">
      <c r="A718" s="21" t="n"/>
      <c r="E718" s="18">
        <f>IF(OR(C718="",D718=""),"",IFERROR(INDEX('Qida bazası'!$D$2:$D$103,MATCH(C718,'Qida bazası'!$A$2:$A$103,0))*D718/100,"?"))</f>
        <v/>
      </c>
      <c r="F718" s="19">
        <f>IF(OR(C718="",D718=""),"",IFERROR(INDEX('Qida bazası'!$E$2:$E$103,MATCH(C718,'Qida bazası'!$A$2:$A$103,0))*D718/100,"?"))</f>
        <v/>
      </c>
      <c r="G718" s="19">
        <f>IF(OR(C718="",D718=""),"",IFERROR(INDEX('Qida bazası'!$F$2:$F$103,MATCH(C718,'Qida bazası'!$A$2:$A$103,0))*D718/100,"?"))</f>
        <v/>
      </c>
      <c r="H718" s="19">
        <f>IF(OR(C718="",D718=""),"",IFERROR(INDEX('Qida bazası'!$G$2:$G$103,MATCH(C718,'Qida bazası'!$A$2:$A$103,0))*D718/100,"?"))</f>
        <v/>
      </c>
    </row>
    <row r="719">
      <c r="A719" s="21" t="n"/>
      <c r="E719" s="18">
        <f>IF(OR(C719="",D719=""),"",IFERROR(INDEX('Qida bazası'!$D$2:$D$103,MATCH(C719,'Qida bazası'!$A$2:$A$103,0))*D719/100,"?"))</f>
        <v/>
      </c>
      <c r="F719" s="19">
        <f>IF(OR(C719="",D719=""),"",IFERROR(INDEX('Qida bazası'!$E$2:$E$103,MATCH(C719,'Qida bazası'!$A$2:$A$103,0))*D719/100,"?"))</f>
        <v/>
      </c>
      <c r="G719" s="19">
        <f>IF(OR(C719="",D719=""),"",IFERROR(INDEX('Qida bazası'!$F$2:$F$103,MATCH(C719,'Qida bazası'!$A$2:$A$103,0))*D719/100,"?"))</f>
        <v/>
      </c>
      <c r="H719" s="19">
        <f>IF(OR(C719="",D719=""),"",IFERROR(INDEX('Qida bazası'!$G$2:$G$103,MATCH(C719,'Qida bazası'!$A$2:$A$103,0))*D719/100,"?"))</f>
        <v/>
      </c>
    </row>
    <row r="720">
      <c r="A720" s="21" t="n"/>
      <c r="E720" s="18">
        <f>IF(OR(C720="",D720=""),"",IFERROR(INDEX('Qida bazası'!$D$2:$D$103,MATCH(C720,'Qida bazası'!$A$2:$A$103,0))*D720/100,"?"))</f>
        <v/>
      </c>
      <c r="F720" s="19">
        <f>IF(OR(C720="",D720=""),"",IFERROR(INDEX('Qida bazası'!$E$2:$E$103,MATCH(C720,'Qida bazası'!$A$2:$A$103,0))*D720/100,"?"))</f>
        <v/>
      </c>
      <c r="G720" s="19">
        <f>IF(OR(C720="",D720=""),"",IFERROR(INDEX('Qida bazası'!$F$2:$F$103,MATCH(C720,'Qida bazası'!$A$2:$A$103,0))*D720/100,"?"))</f>
        <v/>
      </c>
      <c r="H720" s="19">
        <f>IF(OR(C720="",D720=""),"",IFERROR(INDEX('Qida bazası'!$G$2:$G$103,MATCH(C720,'Qida bazası'!$A$2:$A$103,0))*D720/100,"?"))</f>
        <v/>
      </c>
    </row>
    <row r="721">
      <c r="A721" s="21" t="n"/>
      <c r="E721" s="18">
        <f>IF(OR(C721="",D721=""),"",IFERROR(INDEX('Qida bazası'!$D$2:$D$103,MATCH(C721,'Qida bazası'!$A$2:$A$103,0))*D721/100,"?"))</f>
        <v/>
      </c>
      <c r="F721" s="19">
        <f>IF(OR(C721="",D721=""),"",IFERROR(INDEX('Qida bazası'!$E$2:$E$103,MATCH(C721,'Qida bazası'!$A$2:$A$103,0))*D721/100,"?"))</f>
        <v/>
      </c>
      <c r="G721" s="19">
        <f>IF(OR(C721="",D721=""),"",IFERROR(INDEX('Qida bazası'!$F$2:$F$103,MATCH(C721,'Qida bazası'!$A$2:$A$103,0))*D721/100,"?"))</f>
        <v/>
      </c>
      <c r="H721" s="19">
        <f>IF(OR(C721="",D721=""),"",IFERROR(INDEX('Qida bazası'!$G$2:$G$103,MATCH(C721,'Qida bazası'!$A$2:$A$103,0))*D721/100,"?"))</f>
        <v/>
      </c>
    </row>
    <row r="722">
      <c r="A722" s="21" t="n"/>
      <c r="E722" s="18">
        <f>IF(OR(C722="",D722=""),"",IFERROR(INDEX('Qida bazası'!$D$2:$D$103,MATCH(C722,'Qida bazası'!$A$2:$A$103,0))*D722/100,"?"))</f>
        <v/>
      </c>
      <c r="F722" s="19">
        <f>IF(OR(C722="",D722=""),"",IFERROR(INDEX('Qida bazası'!$E$2:$E$103,MATCH(C722,'Qida bazası'!$A$2:$A$103,0))*D722/100,"?"))</f>
        <v/>
      </c>
      <c r="G722" s="19">
        <f>IF(OR(C722="",D722=""),"",IFERROR(INDEX('Qida bazası'!$F$2:$F$103,MATCH(C722,'Qida bazası'!$A$2:$A$103,0))*D722/100,"?"))</f>
        <v/>
      </c>
      <c r="H722" s="19">
        <f>IF(OR(C722="",D722=""),"",IFERROR(INDEX('Qida bazası'!$G$2:$G$103,MATCH(C722,'Qida bazası'!$A$2:$A$103,0))*D722/100,"?"))</f>
        <v/>
      </c>
    </row>
    <row r="723">
      <c r="A723" s="21" t="n"/>
      <c r="E723" s="18">
        <f>IF(OR(C723="",D723=""),"",IFERROR(INDEX('Qida bazası'!$D$2:$D$103,MATCH(C723,'Qida bazası'!$A$2:$A$103,0))*D723/100,"?"))</f>
        <v/>
      </c>
      <c r="F723" s="19">
        <f>IF(OR(C723="",D723=""),"",IFERROR(INDEX('Qida bazası'!$E$2:$E$103,MATCH(C723,'Qida bazası'!$A$2:$A$103,0))*D723/100,"?"))</f>
        <v/>
      </c>
      <c r="G723" s="19">
        <f>IF(OR(C723="",D723=""),"",IFERROR(INDEX('Qida bazası'!$F$2:$F$103,MATCH(C723,'Qida bazası'!$A$2:$A$103,0))*D723/100,"?"))</f>
        <v/>
      </c>
      <c r="H723" s="19">
        <f>IF(OR(C723="",D723=""),"",IFERROR(INDEX('Qida bazası'!$G$2:$G$103,MATCH(C723,'Qida bazası'!$A$2:$A$103,0))*D723/100,"?"))</f>
        <v/>
      </c>
    </row>
    <row r="724">
      <c r="A724" s="21" t="n"/>
      <c r="E724" s="18">
        <f>IF(OR(C724="",D724=""),"",IFERROR(INDEX('Qida bazası'!$D$2:$D$103,MATCH(C724,'Qida bazası'!$A$2:$A$103,0))*D724/100,"?"))</f>
        <v/>
      </c>
      <c r="F724" s="19">
        <f>IF(OR(C724="",D724=""),"",IFERROR(INDEX('Qida bazası'!$E$2:$E$103,MATCH(C724,'Qida bazası'!$A$2:$A$103,0))*D724/100,"?"))</f>
        <v/>
      </c>
      <c r="G724" s="19">
        <f>IF(OR(C724="",D724=""),"",IFERROR(INDEX('Qida bazası'!$F$2:$F$103,MATCH(C724,'Qida bazası'!$A$2:$A$103,0))*D724/100,"?"))</f>
        <v/>
      </c>
      <c r="H724" s="19">
        <f>IF(OR(C724="",D724=""),"",IFERROR(INDEX('Qida bazası'!$G$2:$G$103,MATCH(C724,'Qida bazası'!$A$2:$A$103,0))*D724/100,"?"))</f>
        <v/>
      </c>
    </row>
    <row r="725">
      <c r="A725" s="21" t="n"/>
      <c r="E725" s="18">
        <f>IF(OR(C725="",D725=""),"",IFERROR(INDEX('Qida bazası'!$D$2:$D$103,MATCH(C725,'Qida bazası'!$A$2:$A$103,0))*D725/100,"?"))</f>
        <v/>
      </c>
      <c r="F725" s="19">
        <f>IF(OR(C725="",D725=""),"",IFERROR(INDEX('Qida bazası'!$E$2:$E$103,MATCH(C725,'Qida bazası'!$A$2:$A$103,0))*D725/100,"?"))</f>
        <v/>
      </c>
      <c r="G725" s="19">
        <f>IF(OR(C725="",D725=""),"",IFERROR(INDEX('Qida bazası'!$F$2:$F$103,MATCH(C725,'Qida bazası'!$A$2:$A$103,0))*D725/100,"?"))</f>
        <v/>
      </c>
      <c r="H725" s="19">
        <f>IF(OR(C725="",D725=""),"",IFERROR(INDEX('Qida bazası'!$G$2:$G$103,MATCH(C725,'Qida bazası'!$A$2:$A$103,0))*D725/100,"?"))</f>
        <v/>
      </c>
    </row>
    <row r="726">
      <c r="A726" s="21" t="n"/>
      <c r="E726" s="18">
        <f>IF(OR(C726="",D726=""),"",IFERROR(INDEX('Qida bazası'!$D$2:$D$103,MATCH(C726,'Qida bazası'!$A$2:$A$103,0))*D726/100,"?"))</f>
        <v/>
      </c>
      <c r="F726" s="19">
        <f>IF(OR(C726="",D726=""),"",IFERROR(INDEX('Qida bazası'!$E$2:$E$103,MATCH(C726,'Qida bazası'!$A$2:$A$103,0))*D726/100,"?"))</f>
        <v/>
      </c>
      <c r="G726" s="19">
        <f>IF(OR(C726="",D726=""),"",IFERROR(INDEX('Qida bazası'!$F$2:$F$103,MATCH(C726,'Qida bazası'!$A$2:$A$103,0))*D726/100,"?"))</f>
        <v/>
      </c>
      <c r="H726" s="19">
        <f>IF(OR(C726="",D726=""),"",IFERROR(INDEX('Qida bazası'!$G$2:$G$103,MATCH(C726,'Qida bazası'!$A$2:$A$103,0))*D726/100,"?"))</f>
        <v/>
      </c>
    </row>
    <row r="727">
      <c r="A727" s="21" t="n"/>
      <c r="E727" s="18">
        <f>IF(OR(C727="",D727=""),"",IFERROR(INDEX('Qida bazası'!$D$2:$D$103,MATCH(C727,'Qida bazası'!$A$2:$A$103,0))*D727/100,"?"))</f>
        <v/>
      </c>
      <c r="F727" s="19">
        <f>IF(OR(C727="",D727=""),"",IFERROR(INDEX('Qida bazası'!$E$2:$E$103,MATCH(C727,'Qida bazası'!$A$2:$A$103,0))*D727/100,"?"))</f>
        <v/>
      </c>
      <c r="G727" s="19">
        <f>IF(OR(C727="",D727=""),"",IFERROR(INDEX('Qida bazası'!$F$2:$F$103,MATCH(C727,'Qida bazası'!$A$2:$A$103,0))*D727/100,"?"))</f>
        <v/>
      </c>
      <c r="H727" s="19">
        <f>IF(OR(C727="",D727=""),"",IFERROR(INDEX('Qida bazası'!$G$2:$G$103,MATCH(C727,'Qida bazası'!$A$2:$A$103,0))*D727/100,"?"))</f>
        <v/>
      </c>
    </row>
    <row r="728">
      <c r="A728" s="21" t="n"/>
      <c r="E728" s="18">
        <f>IF(OR(C728="",D728=""),"",IFERROR(INDEX('Qida bazası'!$D$2:$D$103,MATCH(C728,'Qida bazası'!$A$2:$A$103,0))*D728/100,"?"))</f>
        <v/>
      </c>
      <c r="F728" s="19">
        <f>IF(OR(C728="",D728=""),"",IFERROR(INDEX('Qida bazası'!$E$2:$E$103,MATCH(C728,'Qida bazası'!$A$2:$A$103,0))*D728/100,"?"))</f>
        <v/>
      </c>
      <c r="G728" s="19">
        <f>IF(OR(C728="",D728=""),"",IFERROR(INDEX('Qida bazası'!$F$2:$F$103,MATCH(C728,'Qida bazası'!$A$2:$A$103,0))*D728/100,"?"))</f>
        <v/>
      </c>
      <c r="H728" s="19">
        <f>IF(OR(C728="",D728=""),"",IFERROR(INDEX('Qida bazası'!$G$2:$G$103,MATCH(C728,'Qida bazası'!$A$2:$A$103,0))*D728/100,"?"))</f>
        <v/>
      </c>
    </row>
    <row r="729">
      <c r="A729" s="21" t="n"/>
      <c r="E729" s="18">
        <f>IF(OR(C729="",D729=""),"",IFERROR(INDEX('Qida bazası'!$D$2:$D$103,MATCH(C729,'Qida bazası'!$A$2:$A$103,0))*D729/100,"?"))</f>
        <v/>
      </c>
      <c r="F729" s="19">
        <f>IF(OR(C729="",D729=""),"",IFERROR(INDEX('Qida bazası'!$E$2:$E$103,MATCH(C729,'Qida bazası'!$A$2:$A$103,0))*D729/100,"?"))</f>
        <v/>
      </c>
      <c r="G729" s="19">
        <f>IF(OR(C729="",D729=""),"",IFERROR(INDEX('Qida bazası'!$F$2:$F$103,MATCH(C729,'Qida bazası'!$A$2:$A$103,0))*D729/100,"?"))</f>
        <v/>
      </c>
      <c r="H729" s="19">
        <f>IF(OR(C729="",D729=""),"",IFERROR(INDEX('Qida bazası'!$G$2:$G$103,MATCH(C729,'Qida bazası'!$A$2:$A$103,0))*D729/100,"?"))</f>
        <v/>
      </c>
    </row>
    <row r="730">
      <c r="A730" s="21" t="n"/>
      <c r="E730" s="18">
        <f>IF(OR(C730="",D730=""),"",IFERROR(INDEX('Qida bazası'!$D$2:$D$103,MATCH(C730,'Qida bazası'!$A$2:$A$103,0))*D730/100,"?"))</f>
        <v/>
      </c>
      <c r="F730" s="19">
        <f>IF(OR(C730="",D730=""),"",IFERROR(INDEX('Qida bazası'!$E$2:$E$103,MATCH(C730,'Qida bazası'!$A$2:$A$103,0))*D730/100,"?"))</f>
        <v/>
      </c>
      <c r="G730" s="19">
        <f>IF(OR(C730="",D730=""),"",IFERROR(INDEX('Qida bazası'!$F$2:$F$103,MATCH(C730,'Qida bazası'!$A$2:$A$103,0))*D730/100,"?"))</f>
        <v/>
      </c>
      <c r="H730" s="19">
        <f>IF(OR(C730="",D730=""),"",IFERROR(INDEX('Qida bazası'!$G$2:$G$103,MATCH(C730,'Qida bazası'!$A$2:$A$103,0))*D730/100,"?"))</f>
        <v/>
      </c>
    </row>
    <row r="731">
      <c r="A731" s="21" t="n"/>
      <c r="E731" s="18">
        <f>IF(OR(C731="",D731=""),"",IFERROR(INDEX('Qida bazası'!$D$2:$D$103,MATCH(C731,'Qida bazası'!$A$2:$A$103,0))*D731/100,"?"))</f>
        <v/>
      </c>
      <c r="F731" s="19">
        <f>IF(OR(C731="",D731=""),"",IFERROR(INDEX('Qida bazası'!$E$2:$E$103,MATCH(C731,'Qida bazası'!$A$2:$A$103,0))*D731/100,"?"))</f>
        <v/>
      </c>
      <c r="G731" s="19">
        <f>IF(OR(C731="",D731=""),"",IFERROR(INDEX('Qida bazası'!$F$2:$F$103,MATCH(C731,'Qida bazası'!$A$2:$A$103,0))*D731/100,"?"))</f>
        <v/>
      </c>
      <c r="H731" s="19">
        <f>IF(OR(C731="",D731=""),"",IFERROR(INDEX('Qida bazası'!$G$2:$G$103,MATCH(C731,'Qida bazası'!$A$2:$A$103,0))*D731/100,"?"))</f>
        <v/>
      </c>
    </row>
    <row r="732">
      <c r="A732" s="21" t="n"/>
      <c r="E732" s="18">
        <f>IF(OR(C732="",D732=""),"",IFERROR(INDEX('Qida bazası'!$D$2:$D$103,MATCH(C732,'Qida bazası'!$A$2:$A$103,0))*D732/100,"?"))</f>
        <v/>
      </c>
      <c r="F732" s="19">
        <f>IF(OR(C732="",D732=""),"",IFERROR(INDEX('Qida bazası'!$E$2:$E$103,MATCH(C732,'Qida bazası'!$A$2:$A$103,0))*D732/100,"?"))</f>
        <v/>
      </c>
      <c r="G732" s="19">
        <f>IF(OR(C732="",D732=""),"",IFERROR(INDEX('Qida bazası'!$F$2:$F$103,MATCH(C732,'Qida bazası'!$A$2:$A$103,0))*D732/100,"?"))</f>
        <v/>
      </c>
      <c r="H732" s="19">
        <f>IF(OR(C732="",D732=""),"",IFERROR(INDEX('Qida bazası'!$G$2:$G$103,MATCH(C732,'Qida bazası'!$A$2:$A$103,0))*D732/100,"?"))</f>
        <v/>
      </c>
    </row>
    <row r="733">
      <c r="A733" s="21" t="n"/>
      <c r="E733" s="18">
        <f>IF(OR(C733="",D733=""),"",IFERROR(INDEX('Qida bazası'!$D$2:$D$103,MATCH(C733,'Qida bazası'!$A$2:$A$103,0))*D733/100,"?"))</f>
        <v/>
      </c>
      <c r="F733" s="19">
        <f>IF(OR(C733="",D733=""),"",IFERROR(INDEX('Qida bazası'!$E$2:$E$103,MATCH(C733,'Qida bazası'!$A$2:$A$103,0))*D733/100,"?"))</f>
        <v/>
      </c>
      <c r="G733" s="19">
        <f>IF(OR(C733="",D733=""),"",IFERROR(INDEX('Qida bazası'!$F$2:$F$103,MATCH(C733,'Qida bazası'!$A$2:$A$103,0))*D733/100,"?"))</f>
        <v/>
      </c>
      <c r="H733" s="19">
        <f>IF(OR(C733="",D733=""),"",IFERROR(INDEX('Qida bazası'!$G$2:$G$103,MATCH(C733,'Qida bazası'!$A$2:$A$103,0))*D733/100,"?"))</f>
        <v/>
      </c>
    </row>
    <row r="734">
      <c r="A734" s="21" t="n"/>
      <c r="E734" s="18">
        <f>IF(OR(C734="",D734=""),"",IFERROR(INDEX('Qida bazası'!$D$2:$D$103,MATCH(C734,'Qida bazası'!$A$2:$A$103,0))*D734/100,"?"))</f>
        <v/>
      </c>
      <c r="F734" s="19">
        <f>IF(OR(C734="",D734=""),"",IFERROR(INDEX('Qida bazası'!$E$2:$E$103,MATCH(C734,'Qida bazası'!$A$2:$A$103,0))*D734/100,"?"))</f>
        <v/>
      </c>
      <c r="G734" s="19">
        <f>IF(OR(C734="",D734=""),"",IFERROR(INDEX('Qida bazası'!$F$2:$F$103,MATCH(C734,'Qida bazası'!$A$2:$A$103,0))*D734/100,"?"))</f>
        <v/>
      </c>
      <c r="H734" s="19">
        <f>IF(OR(C734="",D734=""),"",IFERROR(INDEX('Qida bazası'!$G$2:$G$103,MATCH(C734,'Qida bazası'!$A$2:$A$103,0))*D734/100,"?"))</f>
        <v/>
      </c>
    </row>
    <row r="735">
      <c r="A735" s="21" t="n"/>
      <c r="E735" s="18">
        <f>IF(OR(C735="",D735=""),"",IFERROR(INDEX('Qida bazası'!$D$2:$D$103,MATCH(C735,'Qida bazası'!$A$2:$A$103,0))*D735/100,"?"))</f>
        <v/>
      </c>
      <c r="F735" s="19">
        <f>IF(OR(C735="",D735=""),"",IFERROR(INDEX('Qida bazası'!$E$2:$E$103,MATCH(C735,'Qida bazası'!$A$2:$A$103,0))*D735/100,"?"))</f>
        <v/>
      </c>
      <c r="G735" s="19">
        <f>IF(OR(C735="",D735=""),"",IFERROR(INDEX('Qida bazası'!$F$2:$F$103,MATCH(C735,'Qida bazası'!$A$2:$A$103,0))*D735/100,"?"))</f>
        <v/>
      </c>
      <c r="H735" s="19">
        <f>IF(OR(C735="",D735=""),"",IFERROR(INDEX('Qida bazası'!$G$2:$G$103,MATCH(C735,'Qida bazası'!$A$2:$A$103,0))*D735/100,"?"))</f>
        <v/>
      </c>
    </row>
    <row r="736">
      <c r="A736" s="21" t="n"/>
      <c r="E736" s="18">
        <f>IF(OR(C736="",D736=""),"",IFERROR(INDEX('Qida bazası'!$D$2:$D$103,MATCH(C736,'Qida bazası'!$A$2:$A$103,0))*D736/100,"?"))</f>
        <v/>
      </c>
      <c r="F736" s="19">
        <f>IF(OR(C736="",D736=""),"",IFERROR(INDEX('Qida bazası'!$E$2:$E$103,MATCH(C736,'Qida bazası'!$A$2:$A$103,0))*D736/100,"?"))</f>
        <v/>
      </c>
      <c r="G736" s="19">
        <f>IF(OR(C736="",D736=""),"",IFERROR(INDEX('Qida bazası'!$F$2:$F$103,MATCH(C736,'Qida bazası'!$A$2:$A$103,0))*D736/100,"?"))</f>
        <v/>
      </c>
      <c r="H736" s="19">
        <f>IF(OR(C736="",D736=""),"",IFERROR(INDEX('Qida bazası'!$G$2:$G$103,MATCH(C736,'Qida bazası'!$A$2:$A$103,0))*D736/100,"?"))</f>
        <v/>
      </c>
    </row>
    <row r="737">
      <c r="A737" s="21" t="n"/>
      <c r="E737" s="18">
        <f>IF(OR(C737="",D737=""),"",IFERROR(INDEX('Qida bazası'!$D$2:$D$103,MATCH(C737,'Qida bazası'!$A$2:$A$103,0))*D737/100,"?"))</f>
        <v/>
      </c>
      <c r="F737" s="19">
        <f>IF(OR(C737="",D737=""),"",IFERROR(INDEX('Qida bazası'!$E$2:$E$103,MATCH(C737,'Qida bazası'!$A$2:$A$103,0))*D737/100,"?"))</f>
        <v/>
      </c>
      <c r="G737" s="19">
        <f>IF(OR(C737="",D737=""),"",IFERROR(INDEX('Qida bazası'!$F$2:$F$103,MATCH(C737,'Qida bazası'!$A$2:$A$103,0))*D737/100,"?"))</f>
        <v/>
      </c>
      <c r="H737" s="19">
        <f>IF(OR(C737="",D737=""),"",IFERROR(INDEX('Qida bazası'!$G$2:$G$103,MATCH(C737,'Qida bazası'!$A$2:$A$103,0))*D737/100,"?"))</f>
        <v/>
      </c>
    </row>
    <row r="738">
      <c r="A738" s="21" t="n"/>
      <c r="E738" s="18">
        <f>IF(OR(C738="",D738=""),"",IFERROR(INDEX('Qida bazası'!$D$2:$D$103,MATCH(C738,'Qida bazası'!$A$2:$A$103,0))*D738/100,"?"))</f>
        <v/>
      </c>
      <c r="F738" s="19">
        <f>IF(OR(C738="",D738=""),"",IFERROR(INDEX('Qida bazası'!$E$2:$E$103,MATCH(C738,'Qida bazası'!$A$2:$A$103,0))*D738/100,"?"))</f>
        <v/>
      </c>
      <c r="G738" s="19">
        <f>IF(OR(C738="",D738=""),"",IFERROR(INDEX('Qida bazası'!$F$2:$F$103,MATCH(C738,'Qida bazası'!$A$2:$A$103,0))*D738/100,"?"))</f>
        <v/>
      </c>
      <c r="H738" s="19">
        <f>IF(OR(C738="",D738=""),"",IFERROR(INDEX('Qida bazası'!$G$2:$G$103,MATCH(C738,'Qida bazası'!$A$2:$A$103,0))*D738/100,"?"))</f>
        <v/>
      </c>
    </row>
    <row r="739">
      <c r="A739" s="21" t="n"/>
      <c r="E739" s="18">
        <f>IF(OR(C739="",D739=""),"",IFERROR(INDEX('Qida bazası'!$D$2:$D$103,MATCH(C739,'Qida bazası'!$A$2:$A$103,0))*D739/100,"?"))</f>
        <v/>
      </c>
      <c r="F739" s="19">
        <f>IF(OR(C739="",D739=""),"",IFERROR(INDEX('Qida bazası'!$E$2:$E$103,MATCH(C739,'Qida bazası'!$A$2:$A$103,0))*D739/100,"?"))</f>
        <v/>
      </c>
      <c r="G739" s="19">
        <f>IF(OR(C739="",D739=""),"",IFERROR(INDEX('Qida bazası'!$F$2:$F$103,MATCH(C739,'Qida bazası'!$A$2:$A$103,0))*D739/100,"?"))</f>
        <v/>
      </c>
      <c r="H739" s="19">
        <f>IF(OR(C739="",D739=""),"",IFERROR(INDEX('Qida bazası'!$G$2:$G$103,MATCH(C739,'Qida bazası'!$A$2:$A$103,0))*D739/100,"?"))</f>
        <v/>
      </c>
    </row>
    <row r="740">
      <c r="A740" s="21" t="n"/>
      <c r="E740" s="18">
        <f>IF(OR(C740="",D740=""),"",IFERROR(INDEX('Qida bazası'!$D$2:$D$103,MATCH(C740,'Qida bazası'!$A$2:$A$103,0))*D740/100,"?"))</f>
        <v/>
      </c>
      <c r="F740" s="19">
        <f>IF(OR(C740="",D740=""),"",IFERROR(INDEX('Qida bazası'!$E$2:$E$103,MATCH(C740,'Qida bazası'!$A$2:$A$103,0))*D740/100,"?"))</f>
        <v/>
      </c>
      <c r="G740" s="19">
        <f>IF(OR(C740="",D740=""),"",IFERROR(INDEX('Qida bazası'!$F$2:$F$103,MATCH(C740,'Qida bazası'!$A$2:$A$103,0))*D740/100,"?"))</f>
        <v/>
      </c>
      <c r="H740" s="19">
        <f>IF(OR(C740="",D740=""),"",IFERROR(INDEX('Qida bazası'!$G$2:$G$103,MATCH(C740,'Qida bazası'!$A$2:$A$103,0))*D740/100,"?"))</f>
        <v/>
      </c>
    </row>
    <row r="741">
      <c r="A741" s="21" t="n"/>
      <c r="E741" s="18">
        <f>IF(OR(C741="",D741=""),"",IFERROR(INDEX('Qida bazası'!$D$2:$D$103,MATCH(C741,'Qida bazası'!$A$2:$A$103,0))*D741/100,"?"))</f>
        <v/>
      </c>
      <c r="F741" s="19">
        <f>IF(OR(C741="",D741=""),"",IFERROR(INDEX('Qida bazası'!$E$2:$E$103,MATCH(C741,'Qida bazası'!$A$2:$A$103,0))*D741/100,"?"))</f>
        <v/>
      </c>
      <c r="G741" s="19">
        <f>IF(OR(C741="",D741=""),"",IFERROR(INDEX('Qida bazası'!$F$2:$F$103,MATCH(C741,'Qida bazası'!$A$2:$A$103,0))*D741/100,"?"))</f>
        <v/>
      </c>
      <c r="H741" s="19">
        <f>IF(OR(C741="",D741=""),"",IFERROR(INDEX('Qida bazası'!$G$2:$G$103,MATCH(C741,'Qida bazası'!$A$2:$A$103,0))*D741/100,"?"))</f>
        <v/>
      </c>
    </row>
    <row r="742">
      <c r="A742" s="21" t="n"/>
      <c r="E742" s="18">
        <f>IF(OR(C742="",D742=""),"",IFERROR(INDEX('Qida bazası'!$D$2:$D$103,MATCH(C742,'Qida bazası'!$A$2:$A$103,0))*D742/100,"?"))</f>
        <v/>
      </c>
      <c r="F742" s="19">
        <f>IF(OR(C742="",D742=""),"",IFERROR(INDEX('Qida bazası'!$E$2:$E$103,MATCH(C742,'Qida bazası'!$A$2:$A$103,0))*D742/100,"?"))</f>
        <v/>
      </c>
      <c r="G742" s="19">
        <f>IF(OR(C742="",D742=""),"",IFERROR(INDEX('Qida bazası'!$F$2:$F$103,MATCH(C742,'Qida bazası'!$A$2:$A$103,0))*D742/100,"?"))</f>
        <v/>
      </c>
      <c r="H742" s="19">
        <f>IF(OR(C742="",D742=""),"",IFERROR(INDEX('Qida bazası'!$G$2:$G$103,MATCH(C742,'Qida bazası'!$A$2:$A$103,0))*D742/100,"?"))</f>
        <v/>
      </c>
    </row>
    <row r="743">
      <c r="A743" s="21" t="n"/>
      <c r="E743" s="18">
        <f>IF(OR(C743="",D743=""),"",IFERROR(INDEX('Qida bazası'!$D$2:$D$103,MATCH(C743,'Qida bazası'!$A$2:$A$103,0))*D743/100,"?"))</f>
        <v/>
      </c>
      <c r="F743" s="19">
        <f>IF(OR(C743="",D743=""),"",IFERROR(INDEX('Qida bazası'!$E$2:$E$103,MATCH(C743,'Qida bazası'!$A$2:$A$103,0))*D743/100,"?"))</f>
        <v/>
      </c>
      <c r="G743" s="19">
        <f>IF(OR(C743="",D743=""),"",IFERROR(INDEX('Qida bazası'!$F$2:$F$103,MATCH(C743,'Qida bazası'!$A$2:$A$103,0))*D743/100,"?"))</f>
        <v/>
      </c>
      <c r="H743" s="19">
        <f>IF(OR(C743="",D743=""),"",IFERROR(INDEX('Qida bazası'!$G$2:$G$103,MATCH(C743,'Qida bazası'!$A$2:$A$103,0))*D743/100,"?"))</f>
        <v/>
      </c>
    </row>
    <row r="744">
      <c r="A744" s="21" t="n"/>
      <c r="E744" s="18">
        <f>IF(OR(C744="",D744=""),"",IFERROR(INDEX('Qida bazası'!$D$2:$D$103,MATCH(C744,'Qida bazası'!$A$2:$A$103,0))*D744/100,"?"))</f>
        <v/>
      </c>
      <c r="F744" s="19">
        <f>IF(OR(C744="",D744=""),"",IFERROR(INDEX('Qida bazası'!$E$2:$E$103,MATCH(C744,'Qida bazası'!$A$2:$A$103,0))*D744/100,"?"))</f>
        <v/>
      </c>
      <c r="G744" s="19">
        <f>IF(OR(C744="",D744=""),"",IFERROR(INDEX('Qida bazası'!$F$2:$F$103,MATCH(C744,'Qida bazası'!$A$2:$A$103,0))*D744/100,"?"))</f>
        <v/>
      </c>
      <c r="H744" s="19">
        <f>IF(OR(C744="",D744=""),"",IFERROR(INDEX('Qida bazası'!$G$2:$G$103,MATCH(C744,'Qida bazası'!$A$2:$A$103,0))*D744/100,"?"))</f>
        <v/>
      </c>
    </row>
    <row r="745">
      <c r="A745" s="21" t="n"/>
      <c r="E745" s="18">
        <f>IF(OR(C745="",D745=""),"",IFERROR(INDEX('Qida bazası'!$D$2:$D$103,MATCH(C745,'Qida bazası'!$A$2:$A$103,0))*D745/100,"?"))</f>
        <v/>
      </c>
      <c r="F745" s="19">
        <f>IF(OR(C745="",D745=""),"",IFERROR(INDEX('Qida bazası'!$E$2:$E$103,MATCH(C745,'Qida bazası'!$A$2:$A$103,0))*D745/100,"?"))</f>
        <v/>
      </c>
      <c r="G745" s="19">
        <f>IF(OR(C745="",D745=""),"",IFERROR(INDEX('Qida bazası'!$F$2:$F$103,MATCH(C745,'Qida bazası'!$A$2:$A$103,0))*D745/100,"?"))</f>
        <v/>
      </c>
      <c r="H745" s="19">
        <f>IF(OR(C745="",D745=""),"",IFERROR(INDEX('Qida bazası'!$G$2:$G$103,MATCH(C745,'Qida bazası'!$A$2:$A$103,0))*D745/100,"?"))</f>
        <v/>
      </c>
    </row>
    <row r="746">
      <c r="A746" s="21" t="n"/>
      <c r="E746" s="18">
        <f>IF(OR(C746="",D746=""),"",IFERROR(INDEX('Qida bazası'!$D$2:$D$103,MATCH(C746,'Qida bazası'!$A$2:$A$103,0))*D746/100,"?"))</f>
        <v/>
      </c>
      <c r="F746" s="19">
        <f>IF(OR(C746="",D746=""),"",IFERROR(INDEX('Qida bazası'!$E$2:$E$103,MATCH(C746,'Qida bazası'!$A$2:$A$103,0))*D746/100,"?"))</f>
        <v/>
      </c>
      <c r="G746" s="19">
        <f>IF(OR(C746="",D746=""),"",IFERROR(INDEX('Qida bazası'!$F$2:$F$103,MATCH(C746,'Qida bazası'!$A$2:$A$103,0))*D746/100,"?"))</f>
        <v/>
      </c>
      <c r="H746" s="19">
        <f>IF(OR(C746="",D746=""),"",IFERROR(INDEX('Qida bazası'!$G$2:$G$103,MATCH(C746,'Qida bazası'!$A$2:$A$103,0))*D746/100,"?"))</f>
        <v/>
      </c>
    </row>
    <row r="747">
      <c r="A747" s="21" t="n"/>
      <c r="E747" s="18">
        <f>IF(OR(C747="",D747=""),"",IFERROR(INDEX('Qida bazası'!$D$2:$D$103,MATCH(C747,'Qida bazası'!$A$2:$A$103,0))*D747/100,"?"))</f>
        <v/>
      </c>
      <c r="F747" s="19">
        <f>IF(OR(C747="",D747=""),"",IFERROR(INDEX('Qida bazası'!$E$2:$E$103,MATCH(C747,'Qida bazası'!$A$2:$A$103,0))*D747/100,"?"))</f>
        <v/>
      </c>
      <c r="G747" s="19">
        <f>IF(OR(C747="",D747=""),"",IFERROR(INDEX('Qida bazası'!$F$2:$F$103,MATCH(C747,'Qida bazası'!$A$2:$A$103,0))*D747/100,"?"))</f>
        <v/>
      </c>
      <c r="H747" s="19">
        <f>IF(OR(C747="",D747=""),"",IFERROR(INDEX('Qida bazası'!$G$2:$G$103,MATCH(C747,'Qida bazası'!$A$2:$A$103,0))*D747/100,"?"))</f>
        <v/>
      </c>
    </row>
    <row r="748">
      <c r="A748" s="21" t="n"/>
      <c r="E748" s="18">
        <f>IF(OR(C748="",D748=""),"",IFERROR(INDEX('Qida bazası'!$D$2:$D$103,MATCH(C748,'Qida bazası'!$A$2:$A$103,0))*D748/100,"?"))</f>
        <v/>
      </c>
      <c r="F748" s="19">
        <f>IF(OR(C748="",D748=""),"",IFERROR(INDEX('Qida bazası'!$E$2:$E$103,MATCH(C748,'Qida bazası'!$A$2:$A$103,0))*D748/100,"?"))</f>
        <v/>
      </c>
      <c r="G748" s="19">
        <f>IF(OR(C748="",D748=""),"",IFERROR(INDEX('Qida bazası'!$F$2:$F$103,MATCH(C748,'Qida bazası'!$A$2:$A$103,0))*D748/100,"?"))</f>
        <v/>
      </c>
      <c r="H748" s="19">
        <f>IF(OR(C748="",D748=""),"",IFERROR(INDEX('Qida bazası'!$G$2:$G$103,MATCH(C748,'Qida bazası'!$A$2:$A$103,0))*D748/100,"?"))</f>
        <v/>
      </c>
    </row>
    <row r="749">
      <c r="A749" s="21" t="n"/>
      <c r="E749" s="18">
        <f>IF(OR(C749="",D749=""),"",IFERROR(INDEX('Qida bazası'!$D$2:$D$103,MATCH(C749,'Qida bazası'!$A$2:$A$103,0))*D749/100,"?"))</f>
        <v/>
      </c>
      <c r="F749" s="19">
        <f>IF(OR(C749="",D749=""),"",IFERROR(INDEX('Qida bazası'!$E$2:$E$103,MATCH(C749,'Qida bazası'!$A$2:$A$103,0))*D749/100,"?"))</f>
        <v/>
      </c>
      <c r="G749" s="19">
        <f>IF(OR(C749="",D749=""),"",IFERROR(INDEX('Qida bazası'!$F$2:$F$103,MATCH(C749,'Qida bazası'!$A$2:$A$103,0))*D749/100,"?"))</f>
        <v/>
      </c>
      <c r="H749" s="19">
        <f>IF(OR(C749="",D749=""),"",IFERROR(INDEX('Qida bazası'!$G$2:$G$103,MATCH(C749,'Qida bazası'!$A$2:$A$103,0))*D749/100,"?"))</f>
        <v/>
      </c>
    </row>
    <row r="750">
      <c r="A750" s="21" t="n"/>
      <c r="E750" s="18">
        <f>IF(OR(C750="",D750=""),"",IFERROR(INDEX('Qida bazası'!$D$2:$D$103,MATCH(C750,'Qida bazası'!$A$2:$A$103,0))*D750/100,"?"))</f>
        <v/>
      </c>
      <c r="F750" s="19">
        <f>IF(OR(C750="",D750=""),"",IFERROR(INDEX('Qida bazası'!$E$2:$E$103,MATCH(C750,'Qida bazası'!$A$2:$A$103,0))*D750/100,"?"))</f>
        <v/>
      </c>
      <c r="G750" s="19">
        <f>IF(OR(C750="",D750=""),"",IFERROR(INDEX('Qida bazası'!$F$2:$F$103,MATCH(C750,'Qida bazası'!$A$2:$A$103,0))*D750/100,"?"))</f>
        <v/>
      </c>
      <c r="H750" s="19">
        <f>IF(OR(C750="",D750=""),"",IFERROR(INDEX('Qida bazası'!$G$2:$G$103,MATCH(C750,'Qida bazası'!$A$2:$A$103,0))*D750/100,"?"))</f>
        <v/>
      </c>
    </row>
    <row r="751">
      <c r="A751" s="21" t="n"/>
      <c r="E751" s="18">
        <f>IF(OR(C751="",D751=""),"",IFERROR(INDEX('Qida bazası'!$D$2:$D$103,MATCH(C751,'Qida bazası'!$A$2:$A$103,0))*D751/100,"?"))</f>
        <v/>
      </c>
      <c r="F751" s="19">
        <f>IF(OR(C751="",D751=""),"",IFERROR(INDEX('Qida bazası'!$E$2:$E$103,MATCH(C751,'Qida bazası'!$A$2:$A$103,0))*D751/100,"?"))</f>
        <v/>
      </c>
      <c r="G751" s="19">
        <f>IF(OR(C751="",D751=""),"",IFERROR(INDEX('Qida bazası'!$F$2:$F$103,MATCH(C751,'Qida bazası'!$A$2:$A$103,0))*D751/100,"?"))</f>
        <v/>
      </c>
      <c r="H751" s="19">
        <f>IF(OR(C751="",D751=""),"",IFERROR(INDEX('Qida bazası'!$G$2:$G$103,MATCH(C751,'Qida bazası'!$A$2:$A$103,0))*D751/100,"?"))</f>
        <v/>
      </c>
    </row>
    <row r="752">
      <c r="A752" s="21" t="n"/>
      <c r="E752" s="18">
        <f>IF(OR(C752="",D752=""),"",IFERROR(INDEX('Qida bazası'!$D$2:$D$103,MATCH(C752,'Qida bazası'!$A$2:$A$103,0))*D752/100,"?"))</f>
        <v/>
      </c>
      <c r="F752" s="19">
        <f>IF(OR(C752="",D752=""),"",IFERROR(INDEX('Qida bazası'!$E$2:$E$103,MATCH(C752,'Qida bazası'!$A$2:$A$103,0))*D752/100,"?"))</f>
        <v/>
      </c>
      <c r="G752" s="19">
        <f>IF(OR(C752="",D752=""),"",IFERROR(INDEX('Qida bazası'!$F$2:$F$103,MATCH(C752,'Qida bazası'!$A$2:$A$103,0))*D752/100,"?"))</f>
        <v/>
      </c>
      <c r="H752" s="19">
        <f>IF(OR(C752="",D752=""),"",IFERROR(INDEX('Qida bazası'!$G$2:$G$103,MATCH(C752,'Qida bazası'!$A$2:$A$103,0))*D752/100,"?"))</f>
        <v/>
      </c>
    </row>
    <row r="753">
      <c r="A753" s="21" t="n"/>
      <c r="E753" s="18">
        <f>IF(OR(C753="",D753=""),"",IFERROR(INDEX('Qida bazası'!$D$2:$D$103,MATCH(C753,'Qida bazası'!$A$2:$A$103,0))*D753/100,"?"))</f>
        <v/>
      </c>
      <c r="F753" s="19">
        <f>IF(OR(C753="",D753=""),"",IFERROR(INDEX('Qida bazası'!$E$2:$E$103,MATCH(C753,'Qida bazası'!$A$2:$A$103,0))*D753/100,"?"))</f>
        <v/>
      </c>
      <c r="G753" s="19">
        <f>IF(OR(C753="",D753=""),"",IFERROR(INDEX('Qida bazası'!$F$2:$F$103,MATCH(C753,'Qida bazası'!$A$2:$A$103,0))*D753/100,"?"))</f>
        <v/>
      </c>
      <c r="H753" s="19">
        <f>IF(OR(C753="",D753=""),"",IFERROR(INDEX('Qida bazası'!$G$2:$G$103,MATCH(C753,'Qida bazası'!$A$2:$A$103,0))*D753/100,"?"))</f>
        <v/>
      </c>
    </row>
    <row r="754">
      <c r="A754" s="21" t="n"/>
      <c r="E754" s="18">
        <f>IF(OR(C754="",D754=""),"",IFERROR(INDEX('Qida bazası'!$D$2:$D$103,MATCH(C754,'Qida bazası'!$A$2:$A$103,0))*D754/100,"?"))</f>
        <v/>
      </c>
      <c r="F754" s="19">
        <f>IF(OR(C754="",D754=""),"",IFERROR(INDEX('Qida bazası'!$E$2:$E$103,MATCH(C754,'Qida bazası'!$A$2:$A$103,0))*D754/100,"?"))</f>
        <v/>
      </c>
      <c r="G754" s="19">
        <f>IF(OR(C754="",D754=""),"",IFERROR(INDEX('Qida bazası'!$F$2:$F$103,MATCH(C754,'Qida bazası'!$A$2:$A$103,0))*D754/100,"?"))</f>
        <v/>
      </c>
      <c r="H754" s="19">
        <f>IF(OR(C754="",D754=""),"",IFERROR(INDEX('Qida bazası'!$G$2:$G$103,MATCH(C754,'Qida bazası'!$A$2:$A$103,0))*D754/100,"?"))</f>
        <v/>
      </c>
    </row>
    <row r="755">
      <c r="A755" s="21" t="n"/>
      <c r="E755" s="18">
        <f>IF(OR(C755="",D755=""),"",IFERROR(INDEX('Qida bazası'!$D$2:$D$103,MATCH(C755,'Qida bazası'!$A$2:$A$103,0))*D755/100,"?"))</f>
        <v/>
      </c>
      <c r="F755" s="19">
        <f>IF(OR(C755="",D755=""),"",IFERROR(INDEX('Qida bazası'!$E$2:$E$103,MATCH(C755,'Qida bazası'!$A$2:$A$103,0))*D755/100,"?"))</f>
        <v/>
      </c>
      <c r="G755" s="19">
        <f>IF(OR(C755="",D755=""),"",IFERROR(INDEX('Qida bazası'!$F$2:$F$103,MATCH(C755,'Qida bazası'!$A$2:$A$103,0))*D755/100,"?"))</f>
        <v/>
      </c>
      <c r="H755" s="19">
        <f>IF(OR(C755="",D755=""),"",IFERROR(INDEX('Qida bazası'!$G$2:$G$103,MATCH(C755,'Qida bazası'!$A$2:$A$103,0))*D755/100,"?"))</f>
        <v/>
      </c>
    </row>
    <row r="756">
      <c r="A756" s="21" t="n"/>
      <c r="E756" s="18">
        <f>IF(OR(C756="",D756=""),"",IFERROR(INDEX('Qida bazası'!$D$2:$D$103,MATCH(C756,'Qida bazası'!$A$2:$A$103,0))*D756/100,"?"))</f>
        <v/>
      </c>
      <c r="F756" s="19">
        <f>IF(OR(C756="",D756=""),"",IFERROR(INDEX('Qida bazası'!$E$2:$E$103,MATCH(C756,'Qida bazası'!$A$2:$A$103,0))*D756/100,"?"))</f>
        <v/>
      </c>
      <c r="G756" s="19">
        <f>IF(OR(C756="",D756=""),"",IFERROR(INDEX('Qida bazası'!$F$2:$F$103,MATCH(C756,'Qida bazası'!$A$2:$A$103,0))*D756/100,"?"))</f>
        <v/>
      </c>
      <c r="H756" s="19">
        <f>IF(OR(C756="",D756=""),"",IFERROR(INDEX('Qida bazası'!$G$2:$G$103,MATCH(C756,'Qida bazası'!$A$2:$A$103,0))*D756/100,"?"))</f>
        <v/>
      </c>
    </row>
    <row r="757">
      <c r="A757" s="21" t="n"/>
      <c r="E757" s="18">
        <f>IF(OR(C757="",D757=""),"",IFERROR(INDEX('Qida bazası'!$D$2:$D$103,MATCH(C757,'Qida bazası'!$A$2:$A$103,0))*D757/100,"?"))</f>
        <v/>
      </c>
      <c r="F757" s="19">
        <f>IF(OR(C757="",D757=""),"",IFERROR(INDEX('Qida bazası'!$E$2:$E$103,MATCH(C757,'Qida bazası'!$A$2:$A$103,0))*D757/100,"?"))</f>
        <v/>
      </c>
      <c r="G757" s="19">
        <f>IF(OR(C757="",D757=""),"",IFERROR(INDEX('Qida bazası'!$F$2:$F$103,MATCH(C757,'Qida bazası'!$A$2:$A$103,0))*D757/100,"?"))</f>
        <v/>
      </c>
      <c r="H757" s="19">
        <f>IF(OR(C757="",D757=""),"",IFERROR(INDEX('Qida bazası'!$G$2:$G$103,MATCH(C757,'Qida bazası'!$A$2:$A$103,0))*D757/100,"?"))</f>
        <v/>
      </c>
    </row>
    <row r="758">
      <c r="A758" s="21" t="n"/>
      <c r="E758" s="18">
        <f>IF(OR(C758="",D758=""),"",IFERROR(INDEX('Qida bazası'!$D$2:$D$103,MATCH(C758,'Qida bazası'!$A$2:$A$103,0))*D758/100,"?"))</f>
        <v/>
      </c>
      <c r="F758" s="19">
        <f>IF(OR(C758="",D758=""),"",IFERROR(INDEX('Qida bazası'!$E$2:$E$103,MATCH(C758,'Qida bazası'!$A$2:$A$103,0))*D758/100,"?"))</f>
        <v/>
      </c>
      <c r="G758" s="19">
        <f>IF(OR(C758="",D758=""),"",IFERROR(INDEX('Qida bazası'!$F$2:$F$103,MATCH(C758,'Qida bazası'!$A$2:$A$103,0))*D758/100,"?"))</f>
        <v/>
      </c>
      <c r="H758" s="19">
        <f>IF(OR(C758="",D758=""),"",IFERROR(INDEX('Qida bazası'!$G$2:$G$103,MATCH(C758,'Qida bazası'!$A$2:$A$103,0))*D758/100,"?"))</f>
        <v/>
      </c>
    </row>
    <row r="759">
      <c r="A759" s="21" t="n"/>
      <c r="E759" s="18">
        <f>IF(OR(C759="",D759=""),"",IFERROR(INDEX('Qida bazası'!$D$2:$D$103,MATCH(C759,'Qida bazası'!$A$2:$A$103,0))*D759/100,"?"))</f>
        <v/>
      </c>
      <c r="F759" s="19">
        <f>IF(OR(C759="",D759=""),"",IFERROR(INDEX('Qida bazası'!$E$2:$E$103,MATCH(C759,'Qida bazası'!$A$2:$A$103,0))*D759/100,"?"))</f>
        <v/>
      </c>
      <c r="G759" s="19">
        <f>IF(OR(C759="",D759=""),"",IFERROR(INDEX('Qida bazası'!$F$2:$F$103,MATCH(C759,'Qida bazası'!$A$2:$A$103,0))*D759/100,"?"))</f>
        <v/>
      </c>
      <c r="H759" s="19">
        <f>IF(OR(C759="",D759=""),"",IFERROR(INDEX('Qida bazası'!$G$2:$G$103,MATCH(C759,'Qida bazası'!$A$2:$A$103,0))*D759/100,"?"))</f>
        <v/>
      </c>
    </row>
    <row r="760">
      <c r="A760" s="21" t="n"/>
      <c r="E760" s="18">
        <f>IF(OR(C760="",D760=""),"",IFERROR(INDEX('Qida bazası'!$D$2:$D$103,MATCH(C760,'Qida bazası'!$A$2:$A$103,0))*D760/100,"?"))</f>
        <v/>
      </c>
      <c r="F760" s="19">
        <f>IF(OR(C760="",D760=""),"",IFERROR(INDEX('Qida bazası'!$E$2:$E$103,MATCH(C760,'Qida bazası'!$A$2:$A$103,0))*D760/100,"?"))</f>
        <v/>
      </c>
      <c r="G760" s="19">
        <f>IF(OR(C760="",D760=""),"",IFERROR(INDEX('Qida bazası'!$F$2:$F$103,MATCH(C760,'Qida bazası'!$A$2:$A$103,0))*D760/100,"?"))</f>
        <v/>
      </c>
      <c r="H760" s="19">
        <f>IF(OR(C760="",D760=""),"",IFERROR(INDEX('Qida bazası'!$G$2:$G$103,MATCH(C760,'Qida bazası'!$A$2:$A$103,0))*D760/100,"?"))</f>
        <v/>
      </c>
    </row>
    <row r="761">
      <c r="A761" s="21" t="n"/>
      <c r="E761" s="18">
        <f>IF(OR(C761="",D761=""),"",IFERROR(INDEX('Qida bazası'!$D$2:$D$103,MATCH(C761,'Qida bazası'!$A$2:$A$103,0))*D761/100,"?"))</f>
        <v/>
      </c>
      <c r="F761" s="19">
        <f>IF(OR(C761="",D761=""),"",IFERROR(INDEX('Qida bazası'!$E$2:$E$103,MATCH(C761,'Qida bazası'!$A$2:$A$103,0))*D761/100,"?"))</f>
        <v/>
      </c>
      <c r="G761" s="19">
        <f>IF(OR(C761="",D761=""),"",IFERROR(INDEX('Qida bazası'!$F$2:$F$103,MATCH(C761,'Qida bazası'!$A$2:$A$103,0))*D761/100,"?"))</f>
        <v/>
      </c>
      <c r="H761" s="19">
        <f>IF(OR(C761="",D761=""),"",IFERROR(INDEX('Qida bazası'!$G$2:$G$103,MATCH(C761,'Qida bazası'!$A$2:$A$103,0))*D761/100,"?"))</f>
        <v/>
      </c>
    </row>
    <row r="762">
      <c r="A762" s="21" t="n"/>
      <c r="E762" s="18">
        <f>IF(OR(C762="",D762=""),"",IFERROR(INDEX('Qida bazası'!$D$2:$D$103,MATCH(C762,'Qida bazası'!$A$2:$A$103,0))*D762/100,"?"))</f>
        <v/>
      </c>
      <c r="F762" s="19">
        <f>IF(OR(C762="",D762=""),"",IFERROR(INDEX('Qida bazası'!$E$2:$E$103,MATCH(C762,'Qida bazası'!$A$2:$A$103,0))*D762/100,"?"))</f>
        <v/>
      </c>
      <c r="G762" s="19">
        <f>IF(OR(C762="",D762=""),"",IFERROR(INDEX('Qida bazası'!$F$2:$F$103,MATCH(C762,'Qida bazası'!$A$2:$A$103,0))*D762/100,"?"))</f>
        <v/>
      </c>
      <c r="H762" s="19">
        <f>IF(OR(C762="",D762=""),"",IFERROR(INDEX('Qida bazası'!$G$2:$G$103,MATCH(C762,'Qida bazası'!$A$2:$A$103,0))*D762/100,"?"))</f>
        <v/>
      </c>
    </row>
    <row r="763">
      <c r="A763" s="21" t="n"/>
      <c r="E763" s="18">
        <f>IF(OR(C763="",D763=""),"",IFERROR(INDEX('Qida bazası'!$D$2:$D$103,MATCH(C763,'Qida bazası'!$A$2:$A$103,0))*D763/100,"?"))</f>
        <v/>
      </c>
      <c r="F763" s="19">
        <f>IF(OR(C763="",D763=""),"",IFERROR(INDEX('Qida bazası'!$E$2:$E$103,MATCH(C763,'Qida bazası'!$A$2:$A$103,0))*D763/100,"?"))</f>
        <v/>
      </c>
      <c r="G763" s="19">
        <f>IF(OR(C763="",D763=""),"",IFERROR(INDEX('Qida bazası'!$F$2:$F$103,MATCH(C763,'Qida bazası'!$A$2:$A$103,0))*D763/100,"?"))</f>
        <v/>
      </c>
      <c r="H763" s="19">
        <f>IF(OR(C763="",D763=""),"",IFERROR(INDEX('Qida bazası'!$G$2:$G$103,MATCH(C763,'Qida bazası'!$A$2:$A$103,0))*D763/100,"?"))</f>
        <v/>
      </c>
    </row>
    <row r="764">
      <c r="A764" s="21" t="n"/>
      <c r="E764" s="18">
        <f>IF(OR(C764="",D764=""),"",IFERROR(INDEX('Qida bazası'!$D$2:$D$103,MATCH(C764,'Qida bazası'!$A$2:$A$103,0))*D764/100,"?"))</f>
        <v/>
      </c>
      <c r="F764" s="19">
        <f>IF(OR(C764="",D764=""),"",IFERROR(INDEX('Qida bazası'!$E$2:$E$103,MATCH(C764,'Qida bazası'!$A$2:$A$103,0))*D764/100,"?"))</f>
        <v/>
      </c>
      <c r="G764" s="19">
        <f>IF(OR(C764="",D764=""),"",IFERROR(INDEX('Qida bazası'!$F$2:$F$103,MATCH(C764,'Qida bazası'!$A$2:$A$103,0))*D764/100,"?"))</f>
        <v/>
      </c>
      <c r="H764" s="19">
        <f>IF(OR(C764="",D764=""),"",IFERROR(INDEX('Qida bazası'!$G$2:$G$103,MATCH(C764,'Qida bazası'!$A$2:$A$103,0))*D764/100,"?"))</f>
        <v/>
      </c>
    </row>
    <row r="765">
      <c r="A765" s="21" t="n"/>
      <c r="E765" s="18">
        <f>IF(OR(C765="",D765=""),"",IFERROR(INDEX('Qida bazası'!$D$2:$D$103,MATCH(C765,'Qida bazası'!$A$2:$A$103,0))*D765/100,"?"))</f>
        <v/>
      </c>
      <c r="F765" s="19">
        <f>IF(OR(C765="",D765=""),"",IFERROR(INDEX('Qida bazası'!$E$2:$E$103,MATCH(C765,'Qida bazası'!$A$2:$A$103,0))*D765/100,"?"))</f>
        <v/>
      </c>
      <c r="G765" s="19">
        <f>IF(OR(C765="",D765=""),"",IFERROR(INDEX('Qida bazası'!$F$2:$F$103,MATCH(C765,'Qida bazası'!$A$2:$A$103,0))*D765/100,"?"))</f>
        <v/>
      </c>
      <c r="H765" s="19">
        <f>IF(OR(C765="",D765=""),"",IFERROR(INDEX('Qida bazası'!$G$2:$G$103,MATCH(C765,'Qida bazası'!$A$2:$A$103,0))*D765/100,"?"))</f>
        <v/>
      </c>
    </row>
    <row r="766">
      <c r="A766" s="21" t="n"/>
      <c r="E766" s="18">
        <f>IF(OR(C766="",D766=""),"",IFERROR(INDEX('Qida bazası'!$D$2:$D$103,MATCH(C766,'Qida bazası'!$A$2:$A$103,0))*D766/100,"?"))</f>
        <v/>
      </c>
      <c r="F766" s="19">
        <f>IF(OR(C766="",D766=""),"",IFERROR(INDEX('Qida bazası'!$E$2:$E$103,MATCH(C766,'Qida bazası'!$A$2:$A$103,0))*D766/100,"?"))</f>
        <v/>
      </c>
      <c r="G766" s="19">
        <f>IF(OR(C766="",D766=""),"",IFERROR(INDEX('Qida bazası'!$F$2:$F$103,MATCH(C766,'Qida bazası'!$A$2:$A$103,0))*D766/100,"?"))</f>
        <v/>
      </c>
      <c r="H766" s="19">
        <f>IF(OR(C766="",D766=""),"",IFERROR(INDEX('Qida bazası'!$G$2:$G$103,MATCH(C766,'Qida bazası'!$A$2:$A$103,0))*D766/100,"?"))</f>
        <v/>
      </c>
    </row>
    <row r="767">
      <c r="A767" s="21" t="n"/>
      <c r="E767" s="18">
        <f>IF(OR(C767="",D767=""),"",IFERROR(INDEX('Qida bazası'!$D$2:$D$103,MATCH(C767,'Qida bazası'!$A$2:$A$103,0))*D767/100,"?"))</f>
        <v/>
      </c>
      <c r="F767" s="19">
        <f>IF(OR(C767="",D767=""),"",IFERROR(INDEX('Qida bazası'!$E$2:$E$103,MATCH(C767,'Qida bazası'!$A$2:$A$103,0))*D767/100,"?"))</f>
        <v/>
      </c>
      <c r="G767" s="19">
        <f>IF(OR(C767="",D767=""),"",IFERROR(INDEX('Qida bazası'!$F$2:$F$103,MATCH(C767,'Qida bazası'!$A$2:$A$103,0))*D767/100,"?"))</f>
        <v/>
      </c>
      <c r="H767" s="19">
        <f>IF(OR(C767="",D767=""),"",IFERROR(INDEX('Qida bazası'!$G$2:$G$103,MATCH(C767,'Qida bazası'!$A$2:$A$103,0))*D767/100,"?"))</f>
        <v/>
      </c>
    </row>
    <row r="768">
      <c r="A768" s="21" t="n"/>
      <c r="E768" s="18">
        <f>IF(OR(C768="",D768=""),"",IFERROR(INDEX('Qida bazası'!$D$2:$D$103,MATCH(C768,'Qida bazası'!$A$2:$A$103,0))*D768/100,"?"))</f>
        <v/>
      </c>
      <c r="F768" s="19">
        <f>IF(OR(C768="",D768=""),"",IFERROR(INDEX('Qida bazası'!$E$2:$E$103,MATCH(C768,'Qida bazası'!$A$2:$A$103,0))*D768/100,"?"))</f>
        <v/>
      </c>
      <c r="G768" s="19">
        <f>IF(OR(C768="",D768=""),"",IFERROR(INDEX('Qida bazası'!$F$2:$F$103,MATCH(C768,'Qida bazası'!$A$2:$A$103,0))*D768/100,"?"))</f>
        <v/>
      </c>
      <c r="H768" s="19">
        <f>IF(OR(C768="",D768=""),"",IFERROR(INDEX('Qida bazası'!$G$2:$G$103,MATCH(C768,'Qida bazası'!$A$2:$A$103,0))*D768/100,"?"))</f>
        <v/>
      </c>
    </row>
    <row r="769">
      <c r="A769" s="21" t="n"/>
      <c r="E769" s="18">
        <f>IF(OR(C769="",D769=""),"",IFERROR(INDEX('Qida bazası'!$D$2:$D$103,MATCH(C769,'Qida bazası'!$A$2:$A$103,0))*D769/100,"?"))</f>
        <v/>
      </c>
      <c r="F769" s="19">
        <f>IF(OR(C769="",D769=""),"",IFERROR(INDEX('Qida bazası'!$E$2:$E$103,MATCH(C769,'Qida bazası'!$A$2:$A$103,0))*D769/100,"?"))</f>
        <v/>
      </c>
      <c r="G769" s="19">
        <f>IF(OR(C769="",D769=""),"",IFERROR(INDEX('Qida bazası'!$F$2:$F$103,MATCH(C769,'Qida bazası'!$A$2:$A$103,0))*D769/100,"?"))</f>
        <v/>
      </c>
      <c r="H769" s="19">
        <f>IF(OR(C769="",D769=""),"",IFERROR(INDEX('Qida bazası'!$G$2:$G$103,MATCH(C769,'Qida bazası'!$A$2:$A$103,0))*D769/100,"?"))</f>
        <v/>
      </c>
    </row>
    <row r="770">
      <c r="A770" s="21" t="n"/>
      <c r="E770" s="18">
        <f>IF(OR(C770="",D770=""),"",IFERROR(INDEX('Qida bazası'!$D$2:$D$103,MATCH(C770,'Qida bazası'!$A$2:$A$103,0))*D770/100,"?"))</f>
        <v/>
      </c>
      <c r="F770" s="19">
        <f>IF(OR(C770="",D770=""),"",IFERROR(INDEX('Qida bazası'!$E$2:$E$103,MATCH(C770,'Qida bazası'!$A$2:$A$103,0))*D770/100,"?"))</f>
        <v/>
      </c>
      <c r="G770" s="19">
        <f>IF(OR(C770="",D770=""),"",IFERROR(INDEX('Qida bazası'!$F$2:$F$103,MATCH(C770,'Qida bazası'!$A$2:$A$103,0))*D770/100,"?"))</f>
        <v/>
      </c>
      <c r="H770" s="19">
        <f>IF(OR(C770="",D770=""),"",IFERROR(INDEX('Qida bazası'!$G$2:$G$103,MATCH(C770,'Qida bazası'!$A$2:$A$103,0))*D770/100,"?"))</f>
        <v/>
      </c>
    </row>
    <row r="771">
      <c r="A771" s="21" t="n"/>
      <c r="E771" s="18">
        <f>IF(OR(C771="",D771=""),"",IFERROR(INDEX('Qida bazası'!$D$2:$D$103,MATCH(C771,'Qida bazası'!$A$2:$A$103,0))*D771/100,"?"))</f>
        <v/>
      </c>
      <c r="F771" s="19">
        <f>IF(OR(C771="",D771=""),"",IFERROR(INDEX('Qida bazası'!$E$2:$E$103,MATCH(C771,'Qida bazası'!$A$2:$A$103,0))*D771/100,"?"))</f>
        <v/>
      </c>
      <c r="G771" s="19">
        <f>IF(OR(C771="",D771=""),"",IFERROR(INDEX('Qida bazası'!$F$2:$F$103,MATCH(C771,'Qida bazası'!$A$2:$A$103,0))*D771/100,"?"))</f>
        <v/>
      </c>
      <c r="H771" s="19">
        <f>IF(OR(C771="",D771=""),"",IFERROR(INDEX('Qida bazası'!$G$2:$G$103,MATCH(C771,'Qida bazası'!$A$2:$A$103,0))*D771/100,"?"))</f>
        <v/>
      </c>
    </row>
    <row r="772">
      <c r="A772" s="21" t="n"/>
      <c r="E772" s="18">
        <f>IF(OR(C772="",D772=""),"",IFERROR(INDEX('Qida bazası'!$D$2:$D$103,MATCH(C772,'Qida bazası'!$A$2:$A$103,0))*D772/100,"?"))</f>
        <v/>
      </c>
      <c r="F772" s="19">
        <f>IF(OR(C772="",D772=""),"",IFERROR(INDEX('Qida bazası'!$E$2:$E$103,MATCH(C772,'Qida bazası'!$A$2:$A$103,0))*D772/100,"?"))</f>
        <v/>
      </c>
      <c r="G772" s="19">
        <f>IF(OR(C772="",D772=""),"",IFERROR(INDEX('Qida bazası'!$F$2:$F$103,MATCH(C772,'Qida bazası'!$A$2:$A$103,0))*D772/100,"?"))</f>
        <v/>
      </c>
      <c r="H772" s="19">
        <f>IF(OR(C772="",D772=""),"",IFERROR(INDEX('Qida bazası'!$G$2:$G$103,MATCH(C772,'Qida bazası'!$A$2:$A$103,0))*D772/100,"?"))</f>
        <v/>
      </c>
    </row>
    <row r="773">
      <c r="A773" s="21" t="n"/>
      <c r="E773" s="18">
        <f>IF(OR(C773="",D773=""),"",IFERROR(INDEX('Qida bazası'!$D$2:$D$103,MATCH(C773,'Qida bazası'!$A$2:$A$103,0))*D773/100,"?"))</f>
        <v/>
      </c>
      <c r="F773" s="19">
        <f>IF(OR(C773="",D773=""),"",IFERROR(INDEX('Qida bazası'!$E$2:$E$103,MATCH(C773,'Qida bazası'!$A$2:$A$103,0))*D773/100,"?"))</f>
        <v/>
      </c>
      <c r="G773" s="19">
        <f>IF(OR(C773="",D773=""),"",IFERROR(INDEX('Qida bazası'!$F$2:$F$103,MATCH(C773,'Qida bazası'!$A$2:$A$103,0))*D773/100,"?"))</f>
        <v/>
      </c>
      <c r="H773" s="19">
        <f>IF(OR(C773="",D773=""),"",IFERROR(INDEX('Qida bazası'!$G$2:$G$103,MATCH(C773,'Qida bazası'!$A$2:$A$103,0))*D773/100,"?"))</f>
        <v/>
      </c>
    </row>
    <row r="774">
      <c r="A774" s="21" t="n"/>
      <c r="E774" s="18">
        <f>IF(OR(C774="",D774=""),"",IFERROR(INDEX('Qida bazası'!$D$2:$D$103,MATCH(C774,'Qida bazası'!$A$2:$A$103,0))*D774/100,"?"))</f>
        <v/>
      </c>
      <c r="F774" s="19">
        <f>IF(OR(C774="",D774=""),"",IFERROR(INDEX('Qida bazası'!$E$2:$E$103,MATCH(C774,'Qida bazası'!$A$2:$A$103,0))*D774/100,"?"))</f>
        <v/>
      </c>
      <c r="G774" s="19">
        <f>IF(OR(C774="",D774=""),"",IFERROR(INDEX('Qida bazası'!$F$2:$F$103,MATCH(C774,'Qida bazası'!$A$2:$A$103,0))*D774/100,"?"))</f>
        <v/>
      </c>
      <c r="H774" s="19">
        <f>IF(OR(C774="",D774=""),"",IFERROR(INDEX('Qida bazası'!$G$2:$G$103,MATCH(C774,'Qida bazası'!$A$2:$A$103,0))*D774/100,"?"))</f>
        <v/>
      </c>
    </row>
    <row r="775">
      <c r="A775" s="21" t="n"/>
      <c r="E775" s="18">
        <f>IF(OR(C775="",D775=""),"",IFERROR(INDEX('Qida bazası'!$D$2:$D$103,MATCH(C775,'Qida bazası'!$A$2:$A$103,0))*D775/100,"?"))</f>
        <v/>
      </c>
      <c r="F775" s="19">
        <f>IF(OR(C775="",D775=""),"",IFERROR(INDEX('Qida bazası'!$E$2:$E$103,MATCH(C775,'Qida bazası'!$A$2:$A$103,0))*D775/100,"?"))</f>
        <v/>
      </c>
      <c r="G775" s="19">
        <f>IF(OR(C775="",D775=""),"",IFERROR(INDEX('Qida bazası'!$F$2:$F$103,MATCH(C775,'Qida bazası'!$A$2:$A$103,0))*D775/100,"?"))</f>
        <v/>
      </c>
      <c r="H775" s="19">
        <f>IF(OR(C775="",D775=""),"",IFERROR(INDEX('Qida bazası'!$G$2:$G$103,MATCH(C775,'Qida bazası'!$A$2:$A$103,0))*D775/100,"?"))</f>
        <v/>
      </c>
    </row>
    <row r="776">
      <c r="A776" s="21" t="n"/>
      <c r="E776" s="18">
        <f>IF(OR(C776="",D776=""),"",IFERROR(INDEX('Qida bazası'!$D$2:$D$103,MATCH(C776,'Qida bazası'!$A$2:$A$103,0))*D776/100,"?"))</f>
        <v/>
      </c>
      <c r="F776" s="19">
        <f>IF(OR(C776="",D776=""),"",IFERROR(INDEX('Qida bazası'!$E$2:$E$103,MATCH(C776,'Qida bazası'!$A$2:$A$103,0))*D776/100,"?"))</f>
        <v/>
      </c>
      <c r="G776" s="19">
        <f>IF(OR(C776="",D776=""),"",IFERROR(INDEX('Qida bazası'!$F$2:$F$103,MATCH(C776,'Qida bazası'!$A$2:$A$103,0))*D776/100,"?"))</f>
        <v/>
      </c>
      <c r="H776" s="19">
        <f>IF(OR(C776="",D776=""),"",IFERROR(INDEX('Qida bazası'!$G$2:$G$103,MATCH(C776,'Qida bazası'!$A$2:$A$103,0))*D776/100,"?"))</f>
        <v/>
      </c>
    </row>
    <row r="777">
      <c r="A777" s="21" t="n"/>
      <c r="E777" s="18">
        <f>IF(OR(C777="",D777=""),"",IFERROR(INDEX('Qida bazası'!$D$2:$D$103,MATCH(C777,'Qida bazası'!$A$2:$A$103,0))*D777/100,"?"))</f>
        <v/>
      </c>
      <c r="F777" s="19">
        <f>IF(OR(C777="",D777=""),"",IFERROR(INDEX('Qida bazası'!$E$2:$E$103,MATCH(C777,'Qida bazası'!$A$2:$A$103,0))*D777/100,"?"))</f>
        <v/>
      </c>
      <c r="G777" s="19">
        <f>IF(OR(C777="",D777=""),"",IFERROR(INDEX('Qida bazası'!$F$2:$F$103,MATCH(C777,'Qida bazası'!$A$2:$A$103,0))*D777/100,"?"))</f>
        <v/>
      </c>
      <c r="H777" s="19">
        <f>IF(OR(C777="",D777=""),"",IFERROR(INDEX('Qida bazası'!$G$2:$G$103,MATCH(C777,'Qida bazası'!$A$2:$A$103,0))*D777/100,"?"))</f>
        <v/>
      </c>
    </row>
    <row r="778">
      <c r="A778" s="21" t="n"/>
      <c r="E778" s="18">
        <f>IF(OR(C778="",D778=""),"",IFERROR(INDEX('Qida bazası'!$D$2:$D$103,MATCH(C778,'Qida bazası'!$A$2:$A$103,0))*D778/100,"?"))</f>
        <v/>
      </c>
      <c r="F778" s="19">
        <f>IF(OR(C778="",D778=""),"",IFERROR(INDEX('Qida bazası'!$E$2:$E$103,MATCH(C778,'Qida bazası'!$A$2:$A$103,0))*D778/100,"?"))</f>
        <v/>
      </c>
      <c r="G778" s="19">
        <f>IF(OR(C778="",D778=""),"",IFERROR(INDEX('Qida bazası'!$F$2:$F$103,MATCH(C778,'Qida bazası'!$A$2:$A$103,0))*D778/100,"?"))</f>
        <v/>
      </c>
      <c r="H778" s="19">
        <f>IF(OR(C778="",D778=""),"",IFERROR(INDEX('Qida bazası'!$G$2:$G$103,MATCH(C778,'Qida bazası'!$A$2:$A$103,0))*D778/100,"?"))</f>
        <v/>
      </c>
    </row>
    <row r="779">
      <c r="A779" s="21" t="n"/>
      <c r="E779" s="18">
        <f>IF(OR(C779="",D779=""),"",IFERROR(INDEX('Qida bazası'!$D$2:$D$103,MATCH(C779,'Qida bazası'!$A$2:$A$103,0))*D779/100,"?"))</f>
        <v/>
      </c>
      <c r="F779" s="19">
        <f>IF(OR(C779="",D779=""),"",IFERROR(INDEX('Qida bazası'!$E$2:$E$103,MATCH(C779,'Qida bazası'!$A$2:$A$103,0))*D779/100,"?"))</f>
        <v/>
      </c>
      <c r="G779" s="19">
        <f>IF(OR(C779="",D779=""),"",IFERROR(INDEX('Qida bazası'!$F$2:$F$103,MATCH(C779,'Qida bazası'!$A$2:$A$103,0))*D779/100,"?"))</f>
        <v/>
      </c>
      <c r="H779" s="19">
        <f>IF(OR(C779="",D779=""),"",IFERROR(INDEX('Qida bazası'!$G$2:$G$103,MATCH(C779,'Qida bazası'!$A$2:$A$103,0))*D779/100,"?"))</f>
        <v/>
      </c>
    </row>
    <row r="780">
      <c r="A780" s="21" t="n"/>
      <c r="E780" s="18">
        <f>IF(OR(C780="",D780=""),"",IFERROR(INDEX('Qida bazası'!$D$2:$D$103,MATCH(C780,'Qida bazası'!$A$2:$A$103,0))*D780/100,"?"))</f>
        <v/>
      </c>
      <c r="F780" s="19">
        <f>IF(OR(C780="",D780=""),"",IFERROR(INDEX('Qida bazası'!$E$2:$E$103,MATCH(C780,'Qida bazası'!$A$2:$A$103,0))*D780/100,"?"))</f>
        <v/>
      </c>
      <c r="G780" s="19">
        <f>IF(OR(C780="",D780=""),"",IFERROR(INDEX('Qida bazası'!$F$2:$F$103,MATCH(C780,'Qida bazası'!$A$2:$A$103,0))*D780/100,"?"))</f>
        <v/>
      </c>
      <c r="H780" s="19">
        <f>IF(OR(C780="",D780=""),"",IFERROR(INDEX('Qida bazası'!$G$2:$G$103,MATCH(C780,'Qida bazası'!$A$2:$A$103,0))*D780/100,"?"))</f>
        <v/>
      </c>
    </row>
    <row r="781">
      <c r="A781" s="21" t="n"/>
      <c r="E781" s="18">
        <f>IF(OR(C781="",D781=""),"",IFERROR(INDEX('Qida bazası'!$D$2:$D$103,MATCH(C781,'Qida bazası'!$A$2:$A$103,0))*D781/100,"?"))</f>
        <v/>
      </c>
      <c r="F781" s="19">
        <f>IF(OR(C781="",D781=""),"",IFERROR(INDEX('Qida bazası'!$E$2:$E$103,MATCH(C781,'Qida bazası'!$A$2:$A$103,0))*D781/100,"?"))</f>
        <v/>
      </c>
      <c r="G781" s="19">
        <f>IF(OR(C781="",D781=""),"",IFERROR(INDEX('Qida bazası'!$F$2:$F$103,MATCH(C781,'Qida bazası'!$A$2:$A$103,0))*D781/100,"?"))</f>
        <v/>
      </c>
      <c r="H781" s="19">
        <f>IF(OR(C781="",D781=""),"",IFERROR(INDEX('Qida bazası'!$G$2:$G$103,MATCH(C781,'Qida bazası'!$A$2:$A$103,0))*D781/100,"?"))</f>
        <v/>
      </c>
    </row>
    <row r="782">
      <c r="A782" s="21" t="n"/>
      <c r="E782" s="18">
        <f>IF(OR(C782="",D782=""),"",IFERROR(INDEX('Qida bazası'!$D$2:$D$103,MATCH(C782,'Qida bazası'!$A$2:$A$103,0))*D782/100,"?"))</f>
        <v/>
      </c>
      <c r="F782" s="19">
        <f>IF(OR(C782="",D782=""),"",IFERROR(INDEX('Qida bazası'!$E$2:$E$103,MATCH(C782,'Qida bazası'!$A$2:$A$103,0))*D782/100,"?"))</f>
        <v/>
      </c>
      <c r="G782" s="19">
        <f>IF(OR(C782="",D782=""),"",IFERROR(INDEX('Qida bazası'!$F$2:$F$103,MATCH(C782,'Qida bazası'!$A$2:$A$103,0))*D782/100,"?"))</f>
        <v/>
      </c>
      <c r="H782" s="19">
        <f>IF(OR(C782="",D782=""),"",IFERROR(INDEX('Qida bazası'!$G$2:$G$103,MATCH(C782,'Qida bazası'!$A$2:$A$103,0))*D782/100,"?"))</f>
        <v/>
      </c>
    </row>
    <row r="783">
      <c r="A783" s="21" t="n"/>
      <c r="E783" s="18">
        <f>IF(OR(C783="",D783=""),"",IFERROR(INDEX('Qida bazası'!$D$2:$D$103,MATCH(C783,'Qida bazası'!$A$2:$A$103,0))*D783/100,"?"))</f>
        <v/>
      </c>
      <c r="F783" s="19">
        <f>IF(OR(C783="",D783=""),"",IFERROR(INDEX('Qida bazası'!$E$2:$E$103,MATCH(C783,'Qida bazası'!$A$2:$A$103,0))*D783/100,"?"))</f>
        <v/>
      </c>
      <c r="G783" s="19">
        <f>IF(OR(C783="",D783=""),"",IFERROR(INDEX('Qida bazası'!$F$2:$F$103,MATCH(C783,'Qida bazası'!$A$2:$A$103,0))*D783/100,"?"))</f>
        <v/>
      </c>
      <c r="H783" s="19">
        <f>IF(OR(C783="",D783=""),"",IFERROR(INDEX('Qida bazası'!$G$2:$G$103,MATCH(C783,'Qida bazası'!$A$2:$A$103,0))*D783/100,"?"))</f>
        <v/>
      </c>
    </row>
    <row r="784">
      <c r="A784" s="21" t="n"/>
      <c r="E784" s="18">
        <f>IF(OR(C784="",D784=""),"",IFERROR(INDEX('Qida bazası'!$D$2:$D$103,MATCH(C784,'Qida bazası'!$A$2:$A$103,0))*D784/100,"?"))</f>
        <v/>
      </c>
      <c r="F784" s="19">
        <f>IF(OR(C784="",D784=""),"",IFERROR(INDEX('Qida bazası'!$E$2:$E$103,MATCH(C784,'Qida bazası'!$A$2:$A$103,0))*D784/100,"?"))</f>
        <v/>
      </c>
      <c r="G784" s="19">
        <f>IF(OR(C784="",D784=""),"",IFERROR(INDEX('Qida bazası'!$F$2:$F$103,MATCH(C784,'Qida bazası'!$A$2:$A$103,0))*D784/100,"?"))</f>
        <v/>
      </c>
      <c r="H784" s="19">
        <f>IF(OR(C784="",D784=""),"",IFERROR(INDEX('Qida bazası'!$G$2:$G$103,MATCH(C784,'Qida bazası'!$A$2:$A$103,0))*D784/100,"?"))</f>
        <v/>
      </c>
    </row>
    <row r="785">
      <c r="A785" s="21" t="n"/>
      <c r="E785" s="18">
        <f>IF(OR(C785="",D785=""),"",IFERROR(INDEX('Qida bazası'!$D$2:$D$103,MATCH(C785,'Qida bazası'!$A$2:$A$103,0))*D785/100,"?"))</f>
        <v/>
      </c>
      <c r="F785" s="19">
        <f>IF(OR(C785="",D785=""),"",IFERROR(INDEX('Qida bazası'!$E$2:$E$103,MATCH(C785,'Qida bazası'!$A$2:$A$103,0))*D785/100,"?"))</f>
        <v/>
      </c>
      <c r="G785" s="19">
        <f>IF(OR(C785="",D785=""),"",IFERROR(INDEX('Qida bazası'!$F$2:$F$103,MATCH(C785,'Qida bazası'!$A$2:$A$103,0))*D785/100,"?"))</f>
        <v/>
      </c>
      <c r="H785" s="19">
        <f>IF(OR(C785="",D785=""),"",IFERROR(INDEX('Qida bazası'!$G$2:$G$103,MATCH(C785,'Qida bazası'!$A$2:$A$103,0))*D785/100,"?"))</f>
        <v/>
      </c>
    </row>
    <row r="786">
      <c r="A786" s="21" t="n"/>
      <c r="E786" s="18">
        <f>IF(OR(C786="",D786=""),"",IFERROR(INDEX('Qida bazası'!$D$2:$D$103,MATCH(C786,'Qida bazası'!$A$2:$A$103,0))*D786/100,"?"))</f>
        <v/>
      </c>
      <c r="F786" s="19">
        <f>IF(OR(C786="",D786=""),"",IFERROR(INDEX('Qida bazası'!$E$2:$E$103,MATCH(C786,'Qida bazası'!$A$2:$A$103,0))*D786/100,"?"))</f>
        <v/>
      </c>
      <c r="G786" s="19">
        <f>IF(OR(C786="",D786=""),"",IFERROR(INDEX('Qida bazası'!$F$2:$F$103,MATCH(C786,'Qida bazası'!$A$2:$A$103,0))*D786/100,"?"))</f>
        <v/>
      </c>
      <c r="H786" s="19">
        <f>IF(OR(C786="",D786=""),"",IFERROR(INDEX('Qida bazası'!$G$2:$G$103,MATCH(C786,'Qida bazası'!$A$2:$A$103,0))*D786/100,"?"))</f>
        <v/>
      </c>
    </row>
    <row r="787">
      <c r="A787" s="21" t="n"/>
      <c r="E787" s="18">
        <f>IF(OR(C787="",D787=""),"",IFERROR(INDEX('Qida bazası'!$D$2:$D$103,MATCH(C787,'Qida bazası'!$A$2:$A$103,0))*D787/100,"?"))</f>
        <v/>
      </c>
      <c r="F787" s="19">
        <f>IF(OR(C787="",D787=""),"",IFERROR(INDEX('Qida bazası'!$E$2:$E$103,MATCH(C787,'Qida bazası'!$A$2:$A$103,0))*D787/100,"?"))</f>
        <v/>
      </c>
      <c r="G787" s="19">
        <f>IF(OR(C787="",D787=""),"",IFERROR(INDEX('Qida bazası'!$F$2:$F$103,MATCH(C787,'Qida bazası'!$A$2:$A$103,0))*D787/100,"?"))</f>
        <v/>
      </c>
      <c r="H787" s="19">
        <f>IF(OR(C787="",D787=""),"",IFERROR(INDEX('Qida bazası'!$G$2:$G$103,MATCH(C787,'Qida bazası'!$A$2:$A$103,0))*D787/100,"?"))</f>
        <v/>
      </c>
    </row>
    <row r="788">
      <c r="A788" s="21" t="n"/>
      <c r="E788" s="18">
        <f>IF(OR(C788="",D788=""),"",IFERROR(INDEX('Qida bazası'!$D$2:$D$103,MATCH(C788,'Qida bazası'!$A$2:$A$103,0))*D788/100,"?"))</f>
        <v/>
      </c>
      <c r="F788" s="19">
        <f>IF(OR(C788="",D788=""),"",IFERROR(INDEX('Qida bazası'!$E$2:$E$103,MATCH(C788,'Qida bazası'!$A$2:$A$103,0))*D788/100,"?"))</f>
        <v/>
      </c>
      <c r="G788" s="19">
        <f>IF(OR(C788="",D788=""),"",IFERROR(INDEX('Qida bazası'!$F$2:$F$103,MATCH(C788,'Qida bazası'!$A$2:$A$103,0))*D788/100,"?"))</f>
        <v/>
      </c>
      <c r="H788" s="19">
        <f>IF(OR(C788="",D788=""),"",IFERROR(INDEX('Qida bazası'!$G$2:$G$103,MATCH(C788,'Qida bazası'!$A$2:$A$103,0))*D788/100,"?"))</f>
        <v/>
      </c>
    </row>
    <row r="789">
      <c r="A789" s="21" t="n"/>
      <c r="E789" s="18">
        <f>IF(OR(C789="",D789=""),"",IFERROR(INDEX('Qida bazası'!$D$2:$D$103,MATCH(C789,'Qida bazası'!$A$2:$A$103,0))*D789/100,"?"))</f>
        <v/>
      </c>
      <c r="F789" s="19">
        <f>IF(OR(C789="",D789=""),"",IFERROR(INDEX('Qida bazası'!$E$2:$E$103,MATCH(C789,'Qida bazası'!$A$2:$A$103,0))*D789/100,"?"))</f>
        <v/>
      </c>
      <c r="G789" s="19">
        <f>IF(OR(C789="",D789=""),"",IFERROR(INDEX('Qida bazası'!$F$2:$F$103,MATCH(C789,'Qida bazası'!$A$2:$A$103,0))*D789/100,"?"))</f>
        <v/>
      </c>
      <c r="H789" s="19">
        <f>IF(OR(C789="",D789=""),"",IFERROR(INDEX('Qida bazası'!$G$2:$G$103,MATCH(C789,'Qida bazası'!$A$2:$A$103,0))*D789/100,"?"))</f>
        <v/>
      </c>
    </row>
    <row r="790">
      <c r="A790" s="21" t="n"/>
      <c r="E790" s="18">
        <f>IF(OR(C790="",D790=""),"",IFERROR(INDEX('Qida bazası'!$D$2:$D$103,MATCH(C790,'Qida bazası'!$A$2:$A$103,0))*D790/100,"?"))</f>
        <v/>
      </c>
      <c r="F790" s="19">
        <f>IF(OR(C790="",D790=""),"",IFERROR(INDEX('Qida bazası'!$E$2:$E$103,MATCH(C790,'Qida bazası'!$A$2:$A$103,0))*D790/100,"?"))</f>
        <v/>
      </c>
      <c r="G790" s="19">
        <f>IF(OR(C790="",D790=""),"",IFERROR(INDEX('Qida bazası'!$F$2:$F$103,MATCH(C790,'Qida bazası'!$A$2:$A$103,0))*D790/100,"?"))</f>
        <v/>
      </c>
      <c r="H790" s="19">
        <f>IF(OR(C790="",D790=""),"",IFERROR(INDEX('Qida bazası'!$G$2:$G$103,MATCH(C790,'Qida bazası'!$A$2:$A$103,0))*D790/100,"?"))</f>
        <v/>
      </c>
    </row>
    <row r="791">
      <c r="A791" s="21" t="n"/>
      <c r="E791" s="18">
        <f>IF(OR(C791="",D791=""),"",IFERROR(INDEX('Qida bazası'!$D$2:$D$103,MATCH(C791,'Qida bazası'!$A$2:$A$103,0))*D791/100,"?"))</f>
        <v/>
      </c>
      <c r="F791" s="19">
        <f>IF(OR(C791="",D791=""),"",IFERROR(INDEX('Qida bazası'!$E$2:$E$103,MATCH(C791,'Qida bazası'!$A$2:$A$103,0))*D791/100,"?"))</f>
        <v/>
      </c>
      <c r="G791" s="19">
        <f>IF(OR(C791="",D791=""),"",IFERROR(INDEX('Qida bazası'!$F$2:$F$103,MATCH(C791,'Qida bazası'!$A$2:$A$103,0))*D791/100,"?"))</f>
        <v/>
      </c>
      <c r="H791" s="19">
        <f>IF(OR(C791="",D791=""),"",IFERROR(INDEX('Qida bazası'!$G$2:$G$103,MATCH(C791,'Qida bazası'!$A$2:$A$103,0))*D791/100,"?"))</f>
        <v/>
      </c>
    </row>
    <row r="792">
      <c r="A792" s="21" t="n"/>
      <c r="E792" s="18">
        <f>IF(OR(C792="",D792=""),"",IFERROR(INDEX('Qida bazası'!$D$2:$D$103,MATCH(C792,'Qida bazası'!$A$2:$A$103,0))*D792/100,"?"))</f>
        <v/>
      </c>
      <c r="F792" s="19">
        <f>IF(OR(C792="",D792=""),"",IFERROR(INDEX('Qida bazası'!$E$2:$E$103,MATCH(C792,'Qida bazası'!$A$2:$A$103,0))*D792/100,"?"))</f>
        <v/>
      </c>
      <c r="G792" s="19">
        <f>IF(OR(C792="",D792=""),"",IFERROR(INDEX('Qida bazası'!$F$2:$F$103,MATCH(C792,'Qida bazası'!$A$2:$A$103,0))*D792/100,"?"))</f>
        <v/>
      </c>
      <c r="H792" s="19">
        <f>IF(OR(C792="",D792=""),"",IFERROR(INDEX('Qida bazası'!$G$2:$G$103,MATCH(C792,'Qida bazası'!$A$2:$A$103,0))*D792/100,"?"))</f>
        <v/>
      </c>
    </row>
    <row r="793">
      <c r="A793" s="21" t="n"/>
      <c r="E793" s="18">
        <f>IF(OR(C793="",D793=""),"",IFERROR(INDEX('Qida bazası'!$D$2:$D$103,MATCH(C793,'Qida bazası'!$A$2:$A$103,0))*D793/100,"?"))</f>
        <v/>
      </c>
      <c r="F793" s="19">
        <f>IF(OR(C793="",D793=""),"",IFERROR(INDEX('Qida bazası'!$E$2:$E$103,MATCH(C793,'Qida bazası'!$A$2:$A$103,0))*D793/100,"?"))</f>
        <v/>
      </c>
      <c r="G793" s="19">
        <f>IF(OR(C793="",D793=""),"",IFERROR(INDEX('Qida bazası'!$F$2:$F$103,MATCH(C793,'Qida bazası'!$A$2:$A$103,0))*D793/100,"?"))</f>
        <v/>
      </c>
      <c r="H793" s="19">
        <f>IF(OR(C793="",D793=""),"",IFERROR(INDEX('Qida bazası'!$G$2:$G$103,MATCH(C793,'Qida bazası'!$A$2:$A$103,0))*D793/100,"?"))</f>
        <v/>
      </c>
    </row>
    <row r="794">
      <c r="A794" s="21" t="n"/>
      <c r="E794" s="18">
        <f>IF(OR(C794="",D794=""),"",IFERROR(INDEX('Qida bazası'!$D$2:$D$103,MATCH(C794,'Qida bazası'!$A$2:$A$103,0))*D794/100,"?"))</f>
        <v/>
      </c>
      <c r="F794" s="19">
        <f>IF(OR(C794="",D794=""),"",IFERROR(INDEX('Qida bazası'!$E$2:$E$103,MATCH(C794,'Qida bazası'!$A$2:$A$103,0))*D794/100,"?"))</f>
        <v/>
      </c>
      <c r="G794" s="19">
        <f>IF(OR(C794="",D794=""),"",IFERROR(INDEX('Qida bazası'!$F$2:$F$103,MATCH(C794,'Qida bazası'!$A$2:$A$103,0))*D794/100,"?"))</f>
        <v/>
      </c>
      <c r="H794" s="19">
        <f>IF(OR(C794="",D794=""),"",IFERROR(INDEX('Qida bazası'!$G$2:$G$103,MATCH(C794,'Qida bazası'!$A$2:$A$103,0))*D794/100,"?"))</f>
        <v/>
      </c>
    </row>
    <row r="795">
      <c r="A795" s="21" t="n"/>
      <c r="E795" s="18">
        <f>IF(OR(C795="",D795=""),"",IFERROR(INDEX('Qida bazası'!$D$2:$D$103,MATCH(C795,'Qida bazası'!$A$2:$A$103,0))*D795/100,"?"))</f>
        <v/>
      </c>
      <c r="F795" s="19">
        <f>IF(OR(C795="",D795=""),"",IFERROR(INDEX('Qida bazası'!$E$2:$E$103,MATCH(C795,'Qida bazası'!$A$2:$A$103,0))*D795/100,"?"))</f>
        <v/>
      </c>
      <c r="G795" s="19">
        <f>IF(OR(C795="",D795=""),"",IFERROR(INDEX('Qida bazası'!$F$2:$F$103,MATCH(C795,'Qida bazası'!$A$2:$A$103,0))*D795/100,"?"))</f>
        <v/>
      </c>
      <c r="H795" s="19">
        <f>IF(OR(C795="",D795=""),"",IFERROR(INDEX('Qida bazası'!$G$2:$G$103,MATCH(C795,'Qida bazası'!$A$2:$A$103,0))*D795/100,"?"))</f>
        <v/>
      </c>
    </row>
    <row r="796">
      <c r="A796" s="21" t="n"/>
      <c r="E796" s="18">
        <f>IF(OR(C796="",D796=""),"",IFERROR(INDEX('Qida bazası'!$D$2:$D$103,MATCH(C796,'Qida bazası'!$A$2:$A$103,0))*D796/100,"?"))</f>
        <v/>
      </c>
      <c r="F796" s="19">
        <f>IF(OR(C796="",D796=""),"",IFERROR(INDEX('Qida bazası'!$E$2:$E$103,MATCH(C796,'Qida bazası'!$A$2:$A$103,0))*D796/100,"?"))</f>
        <v/>
      </c>
      <c r="G796" s="19">
        <f>IF(OR(C796="",D796=""),"",IFERROR(INDEX('Qida bazası'!$F$2:$F$103,MATCH(C796,'Qida bazası'!$A$2:$A$103,0))*D796/100,"?"))</f>
        <v/>
      </c>
      <c r="H796" s="19">
        <f>IF(OR(C796="",D796=""),"",IFERROR(INDEX('Qida bazası'!$G$2:$G$103,MATCH(C796,'Qida bazası'!$A$2:$A$103,0))*D796/100,"?"))</f>
        <v/>
      </c>
    </row>
    <row r="797">
      <c r="A797" s="21" t="n"/>
      <c r="E797" s="18">
        <f>IF(OR(C797="",D797=""),"",IFERROR(INDEX('Qida bazası'!$D$2:$D$103,MATCH(C797,'Qida bazası'!$A$2:$A$103,0))*D797/100,"?"))</f>
        <v/>
      </c>
      <c r="F797" s="19">
        <f>IF(OR(C797="",D797=""),"",IFERROR(INDEX('Qida bazası'!$E$2:$E$103,MATCH(C797,'Qida bazası'!$A$2:$A$103,0))*D797/100,"?"))</f>
        <v/>
      </c>
      <c r="G797" s="19">
        <f>IF(OR(C797="",D797=""),"",IFERROR(INDEX('Qida bazası'!$F$2:$F$103,MATCH(C797,'Qida bazası'!$A$2:$A$103,0))*D797/100,"?"))</f>
        <v/>
      </c>
      <c r="H797" s="19">
        <f>IF(OR(C797="",D797=""),"",IFERROR(INDEX('Qida bazası'!$G$2:$G$103,MATCH(C797,'Qida bazası'!$A$2:$A$103,0))*D797/100,"?"))</f>
        <v/>
      </c>
    </row>
    <row r="798">
      <c r="A798" s="21" t="n"/>
      <c r="E798" s="18">
        <f>IF(OR(C798="",D798=""),"",IFERROR(INDEX('Qida bazası'!$D$2:$D$103,MATCH(C798,'Qida bazası'!$A$2:$A$103,0))*D798/100,"?"))</f>
        <v/>
      </c>
      <c r="F798" s="19">
        <f>IF(OR(C798="",D798=""),"",IFERROR(INDEX('Qida bazası'!$E$2:$E$103,MATCH(C798,'Qida bazası'!$A$2:$A$103,0))*D798/100,"?"))</f>
        <v/>
      </c>
      <c r="G798" s="19">
        <f>IF(OR(C798="",D798=""),"",IFERROR(INDEX('Qida bazası'!$F$2:$F$103,MATCH(C798,'Qida bazası'!$A$2:$A$103,0))*D798/100,"?"))</f>
        <v/>
      </c>
      <c r="H798" s="19">
        <f>IF(OR(C798="",D798=""),"",IFERROR(INDEX('Qida bazası'!$G$2:$G$103,MATCH(C798,'Qida bazası'!$A$2:$A$103,0))*D798/100,"?"))</f>
        <v/>
      </c>
    </row>
    <row r="799">
      <c r="A799" s="21" t="n"/>
      <c r="E799" s="18">
        <f>IF(OR(C799="",D799=""),"",IFERROR(INDEX('Qida bazası'!$D$2:$D$103,MATCH(C799,'Qida bazası'!$A$2:$A$103,0))*D799/100,"?"))</f>
        <v/>
      </c>
      <c r="F799" s="19">
        <f>IF(OR(C799="",D799=""),"",IFERROR(INDEX('Qida bazası'!$E$2:$E$103,MATCH(C799,'Qida bazası'!$A$2:$A$103,0))*D799/100,"?"))</f>
        <v/>
      </c>
      <c r="G799" s="19">
        <f>IF(OR(C799="",D799=""),"",IFERROR(INDEX('Qida bazası'!$F$2:$F$103,MATCH(C799,'Qida bazası'!$A$2:$A$103,0))*D799/100,"?"))</f>
        <v/>
      </c>
      <c r="H799" s="19">
        <f>IF(OR(C799="",D799=""),"",IFERROR(INDEX('Qida bazası'!$G$2:$G$103,MATCH(C799,'Qida bazası'!$A$2:$A$103,0))*D799/100,"?"))</f>
        <v/>
      </c>
    </row>
    <row r="800">
      <c r="A800" s="21" t="n"/>
      <c r="E800" s="18">
        <f>IF(OR(C800="",D800=""),"",IFERROR(INDEX('Qida bazası'!$D$2:$D$103,MATCH(C800,'Qida bazası'!$A$2:$A$103,0))*D800/100,"?"))</f>
        <v/>
      </c>
      <c r="F800" s="19">
        <f>IF(OR(C800="",D800=""),"",IFERROR(INDEX('Qida bazası'!$E$2:$E$103,MATCH(C800,'Qida bazası'!$A$2:$A$103,0))*D800/100,"?"))</f>
        <v/>
      </c>
      <c r="G800" s="19">
        <f>IF(OR(C800="",D800=""),"",IFERROR(INDEX('Qida bazası'!$F$2:$F$103,MATCH(C800,'Qida bazası'!$A$2:$A$103,0))*D800/100,"?"))</f>
        <v/>
      </c>
      <c r="H800" s="19">
        <f>IF(OR(C800="",D800=""),"",IFERROR(INDEX('Qida bazası'!$G$2:$G$103,MATCH(C800,'Qida bazası'!$A$2:$A$103,0))*D800/100,"?"))</f>
        <v/>
      </c>
    </row>
    <row r="801">
      <c r="A801" s="21" t="n"/>
      <c r="E801" s="18">
        <f>IF(OR(C801="",D801=""),"",IFERROR(INDEX('Qida bazası'!$D$2:$D$103,MATCH(C801,'Qida bazası'!$A$2:$A$103,0))*D801/100,"?"))</f>
        <v/>
      </c>
      <c r="F801" s="19">
        <f>IF(OR(C801="",D801=""),"",IFERROR(INDEX('Qida bazası'!$E$2:$E$103,MATCH(C801,'Qida bazası'!$A$2:$A$103,0))*D801/100,"?"))</f>
        <v/>
      </c>
      <c r="G801" s="19">
        <f>IF(OR(C801="",D801=""),"",IFERROR(INDEX('Qida bazası'!$F$2:$F$103,MATCH(C801,'Qida bazası'!$A$2:$A$103,0))*D801/100,"?"))</f>
        <v/>
      </c>
      <c r="H801" s="19">
        <f>IF(OR(C801="",D801=""),"",IFERROR(INDEX('Qida bazası'!$G$2:$G$103,MATCH(C801,'Qida bazası'!$A$2:$A$103,0))*D801/100,"?"))</f>
        <v/>
      </c>
    </row>
    <row r="802">
      <c r="A802" s="21" t="n"/>
      <c r="E802" s="18">
        <f>IF(OR(C802="",D802=""),"",IFERROR(INDEX('Qida bazası'!$D$2:$D$103,MATCH(C802,'Qida bazası'!$A$2:$A$103,0))*D802/100,"?"))</f>
        <v/>
      </c>
      <c r="F802" s="19">
        <f>IF(OR(C802="",D802=""),"",IFERROR(INDEX('Qida bazası'!$E$2:$E$103,MATCH(C802,'Qida bazası'!$A$2:$A$103,0))*D802/100,"?"))</f>
        <v/>
      </c>
      <c r="G802" s="19">
        <f>IF(OR(C802="",D802=""),"",IFERROR(INDEX('Qida bazası'!$F$2:$F$103,MATCH(C802,'Qida bazası'!$A$2:$A$103,0))*D802/100,"?"))</f>
        <v/>
      </c>
      <c r="H802" s="19">
        <f>IF(OR(C802="",D802=""),"",IFERROR(INDEX('Qida bazası'!$G$2:$G$103,MATCH(C802,'Qida bazası'!$A$2:$A$103,0))*D802/100,"?"))</f>
        <v/>
      </c>
    </row>
    <row r="803">
      <c r="A803" s="21" t="n"/>
      <c r="E803" s="18">
        <f>IF(OR(C803="",D803=""),"",IFERROR(INDEX('Qida bazası'!$D$2:$D$103,MATCH(C803,'Qida bazası'!$A$2:$A$103,0))*D803/100,"?"))</f>
        <v/>
      </c>
      <c r="F803" s="19">
        <f>IF(OR(C803="",D803=""),"",IFERROR(INDEX('Qida bazası'!$E$2:$E$103,MATCH(C803,'Qida bazası'!$A$2:$A$103,0))*D803/100,"?"))</f>
        <v/>
      </c>
      <c r="G803" s="19">
        <f>IF(OR(C803="",D803=""),"",IFERROR(INDEX('Qida bazası'!$F$2:$F$103,MATCH(C803,'Qida bazası'!$A$2:$A$103,0))*D803/100,"?"))</f>
        <v/>
      </c>
      <c r="H803" s="19">
        <f>IF(OR(C803="",D803=""),"",IFERROR(INDEX('Qida bazası'!$G$2:$G$103,MATCH(C803,'Qida bazası'!$A$2:$A$103,0))*D803/100,"?"))</f>
        <v/>
      </c>
    </row>
    <row r="804">
      <c r="A804" s="21" t="n"/>
      <c r="E804" s="18">
        <f>IF(OR(C804="",D804=""),"",IFERROR(INDEX('Qida bazası'!$D$2:$D$103,MATCH(C804,'Qida bazası'!$A$2:$A$103,0))*D804/100,"?"))</f>
        <v/>
      </c>
      <c r="F804" s="19">
        <f>IF(OR(C804="",D804=""),"",IFERROR(INDEX('Qida bazası'!$E$2:$E$103,MATCH(C804,'Qida bazası'!$A$2:$A$103,0))*D804/100,"?"))</f>
        <v/>
      </c>
      <c r="G804" s="19">
        <f>IF(OR(C804="",D804=""),"",IFERROR(INDEX('Qida bazası'!$F$2:$F$103,MATCH(C804,'Qida bazası'!$A$2:$A$103,0))*D804/100,"?"))</f>
        <v/>
      </c>
      <c r="H804" s="19">
        <f>IF(OR(C804="",D804=""),"",IFERROR(INDEX('Qida bazası'!$G$2:$G$103,MATCH(C804,'Qida bazası'!$A$2:$A$103,0))*D804/100,"?"))</f>
        <v/>
      </c>
    </row>
    <row r="805">
      <c r="A805" s="21" t="n"/>
      <c r="E805" s="18">
        <f>IF(OR(C805="",D805=""),"",IFERROR(INDEX('Qida bazası'!$D$2:$D$103,MATCH(C805,'Qida bazası'!$A$2:$A$103,0))*D805/100,"?"))</f>
        <v/>
      </c>
      <c r="F805" s="19">
        <f>IF(OR(C805="",D805=""),"",IFERROR(INDEX('Qida bazası'!$E$2:$E$103,MATCH(C805,'Qida bazası'!$A$2:$A$103,0))*D805/100,"?"))</f>
        <v/>
      </c>
      <c r="G805" s="19">
        <f>IF(OR(C805="",D805=""),"",IFERROR(INDEX('Qida bazası'!$F$2:$F$103,MATCH(C805,'Qida bazası'!$A$2:$A$103,0))*D805/100,"?"))</f>
        <v/>
      </c>
      <c r="H805" s="19">
        <f>IF(OR(C805="",D805=""),"",IFERROR(INDEX('Qida bazası'!$G$2:$G$103,MATCH(C805,'Qida bazası'!$A$2:$A$103,0))*D805/100,"?"))</f>
        <v/>
      </c>
    </row>
    <row r="806">
      <c r="A806" s="21" t="n"/>
      <c r="E806" s="18">
        <f>IF(OR(C806="",D806=""),"",IFERROR(INDEX('Qida bazası'!$D$2:$D$103,MATCH(C806,'Qida bazası'!$A$2:$A$103,0))*D806/100,"?"))</f>
        <v/>
      </c>
      <c r="F806" s="19">
        <f>IF(OR(C806="",D806=""),"",IFERROR(INDEX('Qida bazası'!$E$2:$E$103,MATCH(C806,'Qida bazası'!$A$2:$A$103,0))*D806/100,"?"))</f>
        <v/>
      </c>
      <c r="G806" s="19">
        <f>IF(OR(C806="",D806=""),"",IFERROR(INDEX('Qida bazası'!$F$2:$F$103,MATCH(C806,'Qida bazası'!$A$2:$A$103,0))*D806/100,"?"))</f>
        <v/>
      </c>
      <c r="H806" s="19">
        <f>IF(OR(C806="",D806=""),"",IFERROR(INDEX('Qida bazası'!$G$2:$G$103,MATCH(C806,'Qida bazası'!$A$2:$A$103,0))*D806/100,"?"))</f>
        <v/>
      </c>
    </row>
    <row r="807">
      <c r="A807" s="21" t="n"/>
      <c r="E807" s="18">
        <f>IF(OR(C807="",D807=""),"",IFERROR(INDEX('Qida bazası'!$D$2:$D$103,MATCH(C807,'Qida bazası'!$A$2:$A$103,0))*D807/100,"?"))</f>
        <v/>
      </c>
      <c r="F807" s="19">
        <f>IF(OR(C807="",D807=""),"",IFERROR(INDEX('Qida bazası'!$E$2:$E$103,MATCH(C807,'Qida bazası'!$A$2:$A$103,0))*D807/100,"?"))</f>
        <v/>
      </c>
      <c r="G807" s="19">
        <f>IF(OR(C807="",D807=""),"",IFERROR(INDEX('Qida bazası'!$F$2:$F$103,MATCH(C807,'Qida bazası'!$A$2:$A$103,0))*D807/100,"?"))</f>
        <v/>
      </c>
      <c r="H807" s="19">
        <f>IF(OR(C807="",D807=""),"",IFERROR(INDEX('Qida bazası'!$G$2:$G$103,MATCH(C807,'Qida bazası'!$A$2:$A$103,0))*D807/100,"?"))</f>
        <v/>
      </c>
    </row>
    <row r="808">
      <c r="A808" s="21" t="n"/>
      <c r="E808" s="18">
        <f>IF(OR(C808="",D808=""),"",IFERROR(INDEX('Qida bazası'!$D$2:$D$103,MATCH(C808,'Qida bazası'!$A$2:$A$103,0))*D808/100,"?"))</f>
        <v/>
      </c>
      <c r="F808" s="19">
        <f>IF(OR(C808="",D808=""),"",IFERROR(INDEX('Qida bazası'!$E$2:$E$103,MATCH(C808,'Qida bazası'!$A$2:$A$103,0))*D808/100,"?"))</f>
        <v/>
      </c>
      <c r="G808" s="19">
        <f>IF(OR(C808="",D808=""),"",IFERROR(INDEX('Qida bazası'!$F$2:$F$103,MATCH(C808,'Qida bazası'!$A$2:$A$103,0))*D808/100,"?"))</f>
        <v/>
      </c>
      <c r="H808" s="19">
        <f>IF(OR(C808="",D808=""),"",IFERROR(INDEX('Qida bazası'!$G$2:$G$103,MATCH(C808,'Qida bazası'!$A$2:$A$103,0))*D808/100,"?"))</f>
        <v/>
      </c>
    </row>
    <row r="809">
      <c r="A809" s="21" t="n"/>
      <c r="E809" s="18">
        <f>IF(OR(C809="",D809=""),"",IFERROR(INDEX('Qida bazası'!$D$2:$D$103,MATCH(C809,'Qida bazası'!$A$2:$A$103,0))*D809/100,"?"))</f>
        <v/>
      </c>
      <c r="F809" s="19">
        <f>IF(OR(C809="",D809=""),"",IFERROR(INDEX('Qida bazası'!$E$2:$E$103,MATCH(C809,'Qida bazası'!$A$2:$A$103,0))*D809/100,"?"))</f>
        <v/>
      </c>
      <c r="G809" s="19">
        <f>IF(OR(C809="",D809=""),"",IFERROR(INDEX('Qida bazası'!$F$2:$F$103,MATCH(C809,'Qida bazası'!$A$2:$A$103,0))*D809/100,"?"))</f>
        <v/>
      </c>
      <c r="H809" s="19">
        <f>IF(OR(C809="",D809=""),"",IFERROR(INDEX('Qida bazası'!$G$2:$G$103,MATCH(C809,'Qida bazası'!$A$2:$A$103,0))*D809/100,"?"))</f>
        <v/>
      </c>
    </row>
    <row r="810">
      <c r="A810" s="21" t="n"/>
      <c r="E810" s="18">
        <f>IF(OR(C810="",D810=""),"",IFERROR(INDEX('Qida bazası'!$D$2:$D$103,MATCH(C810,'Qida bazası'!$A$2:$A$103,0))*D810/100,"?"))</f>
        <v/>
      </c>
      <c r="F810" s="19">
        <f>IF(OR(C810="",D810=""),"",IFERROR(INDEX('Qida bazası'!$E$2:$E$103,MATCH(C810,'Qida bazası'!$A$2:$A$103,0))*D810/100,"?"))</f>
        <v/>
      </c>
      <c r="G810" s="19">
        <f>IF(OR(C810="",D810=""),"",IFERROR(INDEX('Qida bazası'!$F$2:$F$103,MATCH(C810,'Qida bazası'!$A$2:$A$103,0))*D810/100,"?"))</f>
        <v/>
      </c>
      <c r="H810" s="19">
        <f>IF(OR(C810="",D810=""),"",IFERROR(INDEX('Qida bazası'!$G$2:$G$103,MATCH(C810,'Qida bazası'!$A$2:$A$103,0))*D810/100,"?"))</f>
        <v/>
      </c>
    </row>
    <row r="811">
      <c r="A811" s="21" t="n"/>
      <c r="E811" s="18">
        <f>IF(OR(C811="",D811=""),"",IFERROR(INDEX('Qida bazası'!$D$2:$D$103,MATCH(C811,'Qida bazası'!$A$2:$A$103,0))*D811/100,"?"))</f>
        <v/>
      </c>
      <c r="F811" s="19">
        <f>IF(OR(C811="",D811=""),"",IFERROR(INDEX('Qida bazası'!$E$2:$E$103,MATCH(C811,'Qida bazası'!$A$2:$A$103,0))*D811/100,"?"))</f>
        <v/>
      </c>
      <c r="G811" s="19">
        <f>IF(OR(C811="",D811=""),"",IFERROR(INDEX('Qida bazası'!$F$2:$F$103,MATCH(C811,'Qida bazası'!$A$2:$A$103,0))*D811/100,"?"))</f>
        <v/>
      </c>
      <c r="H811" s="19">
        <f>IF(OR(C811="",D811=""),"",IFERROR(INDEX('Qida bazası'!$G$2:$G$103,MATCH(C811,'Qida bazası'!$A$2:$A$103,0))*D811/100,"?"))</f>
        <v/>
      </c>
    </row>
    <row r="812">
      <c r="A812" s="21" t="n"/>
      <c r="E812" s="18">
        <f>IF(OR(C812="",D812=""),"",IFERROR(INDEX('Qida bazası'!$D$2:$D$103,MATCH(C812,'Qida bazası'!$A$2:$A$103,0))*D812/100,"?"))</f>
        <v/>
      </c>
      <c r="F812" s="19">
        <f>IF(OR(C812="",D812=""),"",IFERROR(INDEX('Qida bazası'!$E$2:$E$103,MATCH(C812,'Qida bazası'!$A$2:$A$103,0))*D812/100,"?"))</f>
        <v/>
      </c>
      <c r="G812" s="19">
        <f>IF(OR(C812="",D812=""),"",IFERROR(INDEX('Qida bazası'!$F$2:$F$103,MATCH(C812,'Qida bazası'!$A$2:$A$103,0))*D812/100,"?"))</f>
        <v/>
      </c>
      <c r="H812" s="19">
        <f>IF(OR(C812="",D812=""),"",IFERROR(INDEX('Qida bazası'!$G$2:$G$103,MATCH(C812,'Qida bazası'!$A$2:$A$103,0))*D812/100,"?"))</f>
        <v/>
      </c>
    </row>
    <row r="813">
      <c r="A813" s="21" t="n"/>
      <c r="E813" s="18">
        <f>IF(OR(C813="",D813=""),"",IFERROR(INDEX('Qida bazası'!$D$2:$D$103,MATCH(C813,'Qida bazası'!$A$2:$A$103,0))*D813/100,"?"))</f>
        <v/>
      </c>
      <c r="F813" s="19">
        <f>IF(OR(C813="",D813=""),"",IFERROR(INDEX('Qida bazası'!$E$2:$E$103,MATCH(C813,'Qida bazası'!$A$2:$A$103,0))*D813/100,"?"))</f>
        <v/>
      </c>
      <c r="G813" s="19">
        <f>IF(OR(C813="",D813=""),"",IFERROR(INDEX('Qida bazası'!$F$2:$F$103,MATCH(C813,'Qida bazası'!$A$2:$A$103,0))*D813/100,"?"))</f>
        <v/>
      </c>
      <c r="H813" s="19">
        <f>IF(OR(C813="",D813=""),"",IFERROR(INDEX('Qida bazası'!$G$2:$G$103,MATCH(C813,'Qida bazası'!$A$2:$A$103,0))*D813/100,"?"))</f>
        <v/>
      </c>
    </row>
    <row r="814">
      <c r="A814" s="21" t="n"/>
      <c r="E814" s="18">
        <f>IF(OR(C814="",D814=""),"",IFERROR(INDEX('Qida bazası'!$D$2:$D$103,MATCH(C814,'Qida bazası'!$A$2:$A$103,0))*D814/100,"?"))</f>
        <v/>
      </c>
      <c r="F814" s="19">
        <f>IF(OR(C814="",D814=""),"",IFERROR(INDEX('Qida bazası'!$E$2:$E$103,MATCH(C814,'Qida bazası'!$A$2:$A$103,0))*D814/100,"?"))</f>
        <v/>
      </c>
      <c r="G814" s="19">
        <f>IF(OR(C814="",D814=""),"",IFERROR(INDEX('Qida bazası'!$F$2:$F$103,MATCH(C814,'Qida bazası'!$A$2:$A$103,0))*D814/100,"?"))</f>
        <v/>
      </c>
      <c r="H814" s="19">
        <f>IF(OR(C814="",D814=""),"",IFERROR(INDEX('Qida bazası'!$G$2:$G$103,MATCH(C814,'Qida bazası'!$A$2:$A$103,0))*D814/100,"?"))</f>
        <v/>
      </c>
    </row>
    <row r="815">
      <c r="A815" s="21" t="n"/>
      <c r="E815" s="18">
        <f>IF(OR(C815="",D815=""),"",IFERROR(INDEX('Qida bazası'!$D$2:$D$103,MATCH(C815,'Qida bazası'!$A$2:$A$103,0))*D815/100,"?"))</f>
        <v/>
      </c>
      <c r="F815" s="19">
        <f>IF(OR(C815="",D815=""),"",IFERROR(INDEX('Qida bazası'!$E$2:$E$103,MATCH(C815,'Qida bazası'!$A$2:$A$103,0))*D815/100,"?"))</f>
        <v/>
      </c>
      <c r="G815" s="19">
        <f>IF(OR(C815="",D815=""),"",IFERROR(INDEX('Qida bazası'!$F$2:$F$103,MATCH(C815,'Qida bazası'!$A$2:$A$103,0))*D815/100,"?"))</f>
        <v/>
      </c>
      <c r="H815" s="19">
        <f>IF(OR(C815="",D815=""),"",IFERROR(INDEX('Qida bazası'!$G$2:$G$103,MATCH(C815,'Qida bazası'!$A$2:$A$103,0))*D815/100,"?"))</f>
        <v/>
      </c>
    </row>
    <row r="816">
      <c r="A816" s="21" t="n"/>
      <c r="E816" s="18">
        <f>IF(OR(C816="",D816=""),"",IFERROR(INDEX('Qida bazası'!$D$2:$D$103,MATCH(C816,'Qida bazası'!$A$2:$A$103,0))*D816/100,"?"))</f>
        <v/>
      </c>
      <c r="F816" s="19">
        <f>IF(OR(C816="",D816=""),"",IFERROR(INDEX('Qida bazası'!$E$2:$E$103,MATCH(C816,'Qida bazası'!$A$2:$A$103,0))*D816/100,"?"))</f>
        <v/>
      </c>
      <c r="G816" s="19">
        <f>IF(OR(C816="",D816=""),"",IFERROR(INDEX('Qida bazası'!$F$2:$F$103,MATCH(C816,'Qida bazası'!$A$2:$A$103,0))*D816/100,"?"))</f>
        <v/>
      </c>
      <c r="H816" s="19">
        <f>IF(OR(C816="",D816=""),"",IFERROR(INDEX('Qida bazası'!$G$2:$G$103,MATCH(C816,'Qida bazası'!$A$2:$A$103,0))*D816/100,"?"))</f>
        <v/>
      </c>
    </row>
    <row r="817">
      <c r="A817" s="21" t="n"/>
      <c r="E817" s="18">
        <f>IF(OR(C817="",D817=""),"",IFERROR(INDEX('Qida bazası'!$D$2:$D$103,MATCH(C817,'Qida bazası'!$A$2:$A$103,0))*D817/100,"?"))</f>
        <v/>
      </c>
      <c r="F817" s="19">
        <f>IF(OR(C817="",D817=""),"",IFERROR(INDEX('Qida bazası'!$E$2:$E$103,MATCH(C817,'Qida bazası'!$A$2:$A$103,0))*D817/100,"?"))</f>
        <v/>
      </c>
      <c r="G817" s="19">
        <f>IF(OR(C817="",D817=""),"",IFERROR(INDEX('Qida bazası'!$F$2:$F$103,MATCH(C817,'Qida bazası'!$A$2:$A$103,0))*D817/100,"?"))</f>
        <v/>
      </c>
      <c r="H817" s="19">
        <f>IF(OR(C817="",D817=""),"",IFERROR(INDEX('Qida bazası'!$G$2:$G$103,MATCH(C817,'Qida bazası'!$A$2:$A$103,0))*D817/100,"?"))</f>
        <v/>
      </c>
    </row>
    <row r="818">
      <c r="A818" s="21" t="n"/>
      <c r="E818" s="18">
        <f>IF(OR(C818="",D818=""),"",IFERROR(INDEX('Qida bazası'!$D$2:$D$103,MATCH(C818,'Qida bazası'!$A$2:$A$103,0))*D818/100,"?"))</f>
        <v/>
      </c>
      <c r="F818" s="19">
        <f>IF(OR(C818="",D818=""),"",IFERROR(INDEX('Qida bazası'!$E$2:$E$103,MATCH(C818,'Qida bazası'!$A$2:$A$103,0))*D818/100,"?"))</f>
        <v/>
      </c>
      <c r="G818" s="19">
        <f>IF(OR(C818="",D818=""),"",IFERROR(INDEX('Qida bazası'!$F$2:$F$103,MATCH(C818,'Qida bazası'!$A$2:$A$103,0))*D818/100,"?"))</f>
        <v/>
      </c>
      <c r="H818" s="19">
        <f>IF(OR(C818="",D818=""),"",IFERROR(INDEX('Qida bazası'!$G$2:$G$103,MATCH(C818,'Qida bazası'!$A$2:$A$103,0))*D818/100,"?"))</f>
        <v/>
      </c>
    </row>
    <row r="819">
      <c r="A819" s="21" t="n"/>
      <c r="E819" s="18">
        <f>IF(OR(C819="",D819=""),"",IFERROR(INDEX('Qida bazası'!$D$2:$D$103,MATCH(C819,'Qida bazası'!$A$2:$A$103,0))*D819/100,"?"))</f>
        <v/>
      </c>
      <c r="F819" s="19">
        <f>IF(OR(C819="",D819=""),"",IFERROR(INDEX('Qida bazası'!$E$2:$E$103,MATCH(C819,'Qida bazası'!$A$2:$A$103,0))*D819/100,"?"))</f>
        <v/>
      </c>
      <c r="G819" s="19">
        <f>IF(OR(C819="",D819=""),"",IFERROR(INDEX('Qida bazası'!$F$2:$F$103,MATCH(C819,'Qida bazası'!$A$2:$A$103,0))*D819/100,"?"))</f>
        <v/>
      </c>
      <c r="H819" s="19">
        <f>IF(OR(C819="",D819=""),"",IFERROR(INDEX('Qida bazası'!$G$2:$G$103,MATCH(C819,'Qida bazası'!$A$2:$A$103,0))*D819/100,"?"))</f>
        <v/>
      </c>
    </row>
    <row r="820">
      <c r="A820" s="21" t="n"/>
      <c r="E820" s="18">
        <f>IF(OR(C820="",D820=""),"",IFERROR(INDEX('Qida bazası'!$D$2:$D$103,MATCH(C820,'Qida bazası'!$A$2:$A$103,0))*D820/100,"?"))</f>
        <v/>
      </c>
      <c r="F820" s="19">
        <f>IF(OR(C820="",D820=""),"",IFERROR(INDEX('Qida bazası'!$E$2:$E$103,MATCH(C820,'Qida bazası'!$A$2:$A$103,0))*D820/100,"?"))</f>
        <v/>
      </c>
      <c r="G820" s="19">
        <f>IF(OR(C820="",D820=""),"",IFERROR(INDEX('Qida bazası'!$F$2:$F$103,MATCH(C820,'Qida bazası'!$A$2:$A$103,0))*D820/100,"?"))</f>
        <v/>
      </c>
      <c r="H820" s="19">
        <f>IF(OR(C820="",D820=""),"",IFERROR(INDEX('Qida bazası'!$G$2:$G$103,MATCH(C820,'Qida bazası'!$A$2:$A$103,0))*D820/100,"?"))</f>
        <v/>
      </c>
    </row>
    <row r="821">
      <c r="A821" s="21" t="n"/>
      <c r="E821" s="18">
        <f>IF(OR(C821="",D821=""),"",IFERROR(INDEX('Qida bazası'!$D$2:$D$103,MATCH(C821,'Qida bazası'!$A$2:$A$103,0))*D821/100,"?"))</f>
        <v/>
      </c>
      <c r="F821" s="19">
        <f>IF(OR(C821="",D821=""),"",IFERROR(INDEX('Qida bazası'!$E$2:$E$103,MATCH(C821,'Qida bazası'!$A$2:$A$103,0))*D821/100,"?"))</f>
        <v/>
      </c>
      <c r="G821" s="19">
        <f>IF(OR(C821="",D821=""),"",IFERROR(INDEX('Qida bazası'!$F$2:$F$103,MATCH(C821,'Qida bazası'!$A$2:$A$103,0))*D821/100,"?"))</f>
        <v/>
      </c>
      <c r="H821" s="19">
        <f>IF(OR(C821="",D821=""),"",IFERROR(INDEX('Qida bazası'!$G$2:$G$103,MATCH(C821,'Qida bazası'!$A$2:$A$103,0))*D821/100,"?"))</f>
        <v/>
      </c>
    </row>
    <row r="822">
      <c r="A822" s="21" t="n"/>
      <c r="E822" s="18">
        <f>IF(OR(C822="",D822=""),"",IFERROR(INDEX('Qida bazası'!$D$2:$D$103,MATCH(C822,'Qida bazası'!$A$2:$A$103,0))*D822/100,"?"))</f>
        <v/>
      </c>
      <c r="F822" s="19">
        <f>IF(OR(C822="",D822=""),"",IFERROR(INDEX('Qida bazası'!$E$2:$E$103,MATCH(C822,'Qida bazası'!$A$2:$A$103,0))*D822/100,"?"))</f>
        <v/>
      </c>
      <c r="G822" s="19">
        <f>IF(OR(C822="",D822=""),"",IFERROR(INDEX('Qida bazası'!$F$2:$F$103,MATCH(C822,'Qida bazası'!$A$2:$A$103,0))*D822/100,"?"))</f>
        <v/>
      </c>
      <c r="H822" s="19">
        <f>IF(OR(C822="",D822=""),"",IFERROR(INDEX('Qida bazası'!$G$2:$G$103,MATCH(C822,'Qida bazası'!$A$2:$A$103,0))*D822/100,"?"))</f>
        <v/>
      </c>
    </row>
    <row r="823">
      <c r="A823" s="21" t="n"/>
      <c r="E823" s="18">
        <f>IF(OR(C823="",D823=""),"",IFERROR(INDEX('Qida bazası'!$D$2:$D$103,MATCH(C823,'Qida bazası'!$A$2:$A$103,0))*D823/100,"?"))</f>
        <v/>
      </c>
      <c r="F823" s="19">
        <f>IF(OR(C823="",D823=""),"",IFERROR(INDEX('Qida bazası'!$E$2:$E$103,MATCH(C823,'Qida bazası'!$A$2:$A$103,0))*D823/100,"?"))</f>
        <v/>
      </c>
      <c r="G823" s="19">
        <f>IF(OR(C823="",D823=""),"",IFERROR(INDEX('Qida bazası'!$F$2:$F$103,MATCH(C823,'Qida bazası'!$A$2:$A$103,0))*D823/100,"?"))</f>
        <v/>
      </c>
      <c r="H823" s="19">
        <f>IF(OR(C823="",D823=""),"",IFERROR(INDEX('Qida bazası'!$G$2:$G$103,MATCH(C823,'Qida bazası'!$A$2:$A$103,0))*D823/100,"?"))</f>
        <v/>
      </c>
    </row>
    <row r="824">
      <c r="A824" s="21" t="n"/>
      <c r="E824" s="18">
        <f>IF(OR(C824="",D824=""),"",IFERROR(INDEX('Qida bazası'!$D$2:$D$103,MATCH(C824,'Qida bazası'!$A$2:$A$103,0))*D824/100,"?"))</f>
        <v/>
      </c>
      <c r="F824" s="19">
        <f>IF(OR(C824="",D824=""),"",IFERROR(INDEX('Qida bazası'!$E$2:$E$103,MATCH(C824,'Qida bazası'!$A$2:$A$103,0))*D824/100,"?"))</f>
        <v/>
      </c>
      <c r="G824" s="19">
        <f>IF(OR(C824="",D824=""),"",IFERROR(INDEX('Qida bazası'!$F$2:$F$103,MATCH(C824,'Qida bazası'!$A$2:$A$103,0))*D824/100,"?"))</f>
        <v/>
      </c>
      <c r="H824" s="19">
        <f>IF(OR(C824="",D824=""),"",IFERROR(INDEX('Qida bazası'!$G$2:$G$103,MATCH(C824,'Qida bazası'!$A$2:$A$103,0))*D824/100,"?"))</f>
        <v/>
      </c>
    </row>
    <row r="825">
      <c r="A825" s="21" t="n"/>
      <c r="E825" s="18">
        <f>IF(OR(C825="",D825=""),"",IFERROR(INDEX('Qida bazası'!$D$2:$D$103,MATCH(C825,'Qida bazası'!$A$2:$A$103,0))*D825/100,"?"))</f>
        <v/>
      </c>
      <c r="F825" s="19">
        <f>IF(OR(C825="",D825=""),"",IFERROR(INDEX('Qida bazası'!$E$2:$E$103,MATCH(C825,'Qida bazası'!$A$2:$A$103,0))*D825/100,"?"))</f>
        <v/>
      </c>
      <c r="G825" s="19">
        <f>IF(OR(C825="",D825=""),"",IFERROR(INDEX('Qida bazası'!$F$2:$F$103,MATCH(C825,'Qida bazası'!$A$2:$A$103,0))*D825/100,"?"))</f>
        <v/>
      </c>
      <c r="H825" s="19">
        <f>IF(OR(C825="",D825=""),"",IFERROR(INDEX('Qida bazası'!$G$2:$G$103,MATCH(C825,'Qida bazası'!$A$2:$A$103,0))*D825/100,"?"))</f>
        <v/>
      </c>
    </row>
    <row r="826">
      <c r="A826" s="21" t="n"/>
      <c r="E826" s="18">
        <f>IF(OR(C826="",D826=""),"",IFERROR(INDEX('Qida bazası'!$D$2:$D$103,MATCH(C826,'Qida bazası'!$A$2:$A$103,0))*D826/100,"?"))</f>
        <v/>
      </c>
      <c r="F826" s="19">
        <f>IF(OR(C826="",D826=""),"",IFERROR(INDEX('Qida bazası'!$E$2:$E$103,MATCH(C826,'Qida bazası'!$A$2:$A$103,0))*D826/100,"?"))</f>
        <v/>
      </c>
      <c r="G826" s="19">
        <f>IF(OR(C826="",D826=""),"",IFERROR(INDEX('Qida bazası'!$F$2:$F$103,MATCH(C826,'Qida bazası'!$A$2:$A$103,0))*D826/100,"?"))</f>
        <v/>
      </c>
      <c r="H826" s="19">
        <f>IF(OR(C826="",D826=""),"",IFERROR(INDEX('Qida bazası'!$G$2:$G$103,MATCH(C826,'Qida bazası'!$A$2:$A$103,0))*D826/100,"?"))</f>
        <v/>
      </c>
    </row>
    <row r="827">
      <c r="A827" s="21" t="n"/>
      <c r="E827" s="18">
        <f>IF(OR(C827="",D827=""),"",IFERROR(INDEX('Qida bazası'!$D$2:$D$103,MATCH(C827,'Qida bazası'!$A$2:$A$103,0))*D827/100,"?"))</f>
        <v/>
      </c>
      <c r="F827" s="19">
        <f>IF(OR(C827="",D827=""),"",IFERROR(INDEX('Qida bazası'!$E$2:$E$103,MATCH(C827,'Qida bazası'!$A$2:$A$103,0))*D827/100,"?"))</f>
        <v/>
      </c>
      <c r="G827" s="19">
        <f>IF(OR(C827="",D827=""),"",IFERROR(INDEX('Qida bazası'!$F$2:$F$103,MATCH(C827,'Qida bazası'!$A$2:$A$103,0))*D827/100,"?"))</f>
        <v/>
      </c>
      <c r="H827" s="19">
        <f>IF(OR(C827="",D827=""),"",IFERROR(INDEX('Qida bazası'!$G$2:$G$103,MATCH(C827,'Qida bazası'!$A$2:$A$103,0))*D827/100,"?"))</f>
        <v/>
      </c>
    </row>
    <row r="828">
      <c r="A828" s="21" t="n"/>
      <c r="E828" s="18">
        <f>IF(OR(C828="",D828=""),"",IFERROR(INDEX('Qida bazası'!$D$2:$D$103,MATCH(C828,'Qida bazası'!$A$2:$A$103,0))*D828/100,"?"))</f>
        <v/>
      </c>
      <c r="F828" s="19">
        <f>IF(OR(C828="",D828=""),"",IFERROR(INDEX('Qida bazası'!$E$2:$E$103,MATCH(C828,'Qida bazası'!$A$2:$A$103,0))*D828/100,"?"))</f>
        <v/>
      </c>
      <c r="G828" s="19">
        <f>IF(OR(C828="",D828=""),"",IFERROR(INDEX('Qida bazası'!$F$2:$F$103,MATCH(C828,'Qida bazası'!$A$2:$A$103,0))*D828/100,"?"))</f>
        <v/>
      </c>
      <c r="H828" s="19">
        <f>IF(OR(C828="",D828=""),"",IFERROR(INDEX('Qida bazası'!$G$2:$G$103,MATCH(C828,'Qida bazası'!$A$2:$A$103,0))*D828/100,"?"))</f>
        <v/>
      </c>
    </row>
    <row r="829">
      <c r="A829" s="21" t="n"/>
      <c r="E829" s="18">
        <f>IF(OR(C829="",D829=""),"",IFERROR(INDEX('Qida bazası'!$D$2:$D$103,MATCH(C829,'Qida bazası'!$A$2:$A$103,0))*D829/100,"?"))</f>
        <v/>
      </c>
      <c r="F829" s="19">
        <f>IF(OR(C829="",D829=""),"",IFERROR(INDEX('Qida bazası'!$E$2:$E$103,MATCH(C829,'Qida bazası'!$A$2:$A$103,0))*D829/100,"?"))</f>
        <v/>
      </c>
      <c r="G829" s="19">
        <f>IF(OR(C829="",D829=""),"",IFERROR(INDEX('Qida bazası'!$F$2:$F$103,MATCH(C829,'Qida bazası'!$A$2:$A$103,0))*D829/100,"?"))</f>
        <v/>
      </c>
      <c r="H829" s="19">
        <f>IF(OR(C829="",D829=""),"",IFERROR(INDEX('Qida bazası'!$G$2:$G$103,MATCH(C829,'Qida bazası'!$A$2:$A$103,0))*D829/100,"?"))</f>
        <v/>
      </c>
    </row>
    <row r="830">
      <c r="A830" s="21" t="n"/>
      <c r="E830" s="18">
        <f>IF(OR(C830="",D830=""),"",IFERROR(INDEX('Qida bazası'!$D$2:$D$103,MATCH(C830,'Qida bazası'!$A$2:$A$103,0))*D830/100,"?"))</f>
        <v/>
      </c>
      <c r="F830" s="19">
        <f>IF(OR(C830="",D830=""),"",IFERROR(INDEX('Qida bazası'!$E$2:$E$103,MATCH(C830,'Qida bazası'!$A$2:$A$103,0))*D830/100,"?"))</f>
        <v/>
      </c>
      <c r="G830" s="19">
        <f>IF(OR(C830="",D830=""),"",IFERROR(INDEX('Qida bazası'!$F$2:$F$103,MATCH(C830,'Qida bazası'!$A$2:$A$103,0))*D830/100,"?"))</f>
        <v/>
      </c>
      <c r="H830" s="19">
        <f>IF(OR(C830="",D830=""),"",IFERROR(INDEX('Qida bazası'!$G$2:$G$103,MATCH(C830,'Qida bazası'!$A$2:$A$103,0))*D830/100,"?"))</f>
        <v/>
      </c>
    </row>
    <row r="831">
      <c r="A831" s="21" t="n"/>
      <c r="E831" s="18">
        <f>IF(OR(C831="",D831=""),"",IFERROR(INDEX('Qida bazası'!$D$2:$D$103,MATCH(C831,'Qida bazası'!$A$2:$A$103,0))*D831/100,"?"))</f>
        <v/>
      </c>
      <c r="F831" s="19">
        <f>IF(OR(C831="",D831=""),"",IFERROR(INDEX('Qida bazası'!$E$2:$E$103,MATCH(C831,'Qida bazası'!$A$2:$A$103,0))*D831/100,"?"))</f>
        <v/>
      </c>
      <c r="G831" s="19">
        <f>IF(OR(C831="",D831=""),"",IFERROR(INDEX('Qida bazası'!$F$2:$F$103,MATCH(C831,'Qida bazası'!$A$2:$A$103,0))*D831/100,"?"))</f>
        <v/>
      </c>
      <c r="H831" s="19">
        <f>IF(OR(C831="",D831=""),"",IFERROR(INDEX('Qida bazası'!$G$2:$G$103,MATCH(C831,'Qida bazası'!$A$2:$A$103,0))*D831/100,"?"))</f>
        <v/>
      </c>
    </row>
    <row r="832">
      <c r="A832" s="21" t="n"/>
      <c r="E832" s="18">
        <f>IF(OR(C832="",D832=""),"",IFERROR(INDEX('Qida bazası'!$D$2:$D$103,MATCH(C832,'Qida bazası'!$A$2:$A$103,0))*D832/100,"?"))</f>
        <v/>
      </c>
      <c r="F832" s="19">
        <f>IF(OR(C832="",D832=""),"",IFERROR(INDEX('Qida bazası'!$E$2:$E$103,MATCH(C832,'Qida bazası'!$A$2:$A$103,0))*D832/100,"?"))</f>
        <v/>
      </c>
      <c r="G832" s="19">
        <f>IF(OR(C832="",D832=""),"",IFERROR(INDEX('Qida bazası'!$F$2:$F$103,MATCH(C832,'Qida bazası'!$A$2:$A$103,0))*D832/100,"?"))</f>
        <v/>
      </c>
      <c r="H832" s="19">
        <f>IF(OR(C832="",D832=""),"",IFERROR(INDEX('Qida bazası'!$G$2:$G$103,MATCH(C832,'Qida bazası'!$A$2:$A$103,0))*D832/100,"?"))</f>
        <v/>
      </c>
    </row>
    <row r="833">
      <c r="A833" s="21" t="n"/>
      <c r="E833" s="18">
        <f>IF(OR(C833="",D833=""),"",IFERROR(INDEX('Qida bazası'!$D$2:$D$103,MATCH(C833,'Qida bazası'!$A$2:$A$103,0))*D833/100,"?"))</f>
        <v/>
      </c>
      <c r="F833" s="19">
        <f>IF(OR(C833="",D833=""),"",IFERROR(INDEX('Qida bazası'!$E$2:$E$103,MATCH(C833,'Qida bazası'!$A$2:$A$103,0))*D833/100,"?"))</f>
        <v/>
      </c>
      <c r="G833" s="19">
        <f>IF(OR(C833="",D833=""),"",IFERROR(INDEX('Qida bazası'!$F$2:$F$103,MATCH(C833,'Qida bazası'!$A$2:$A$103,0))*D833/100,"?"))</f>
        <v/>
      </c>
      <c r="H833" s="19">
        <f>IF(OR(C833="",D833=""),"",IFERROR(INDEX('Qida bazası'!$G$2:$G$103,MATCH(C833,'Qida bazası'!$A$2:$A$103,0))*D833/100,"?"))</f>
        <v/>
      </c>
    </row>
    <row r="834">
      <c r="A834" s="21" t="n"/>
      <c r="E834" s="18">
        <f>IF(OR(C834="",D834=""),"",IFERROR(INDEX('Qida bazası'!$D$2:$D$103,MATCH(C834,'Qida bazası'!$A$2:$A$103,0))*D834/100,"?"))</f>
        <v/>
      </c>
      <c r="F834" s="19">
        <f>IF(OR(C834="",D834=""),"",IFERROR(INDEX('Qida bazası'!$E$2:$E$103,MATCH(C834,'Qida bazası'!$A$2:$A$103,0))*D834/100,"?"))</f>
        <v/>
      </c>
      <c r="G834" s="19">
        <f>IF(OR(C834="",D834=""),"",IFERROR(INDEX('Qida bazası'!$F$2:$F$103,MATCH(C834,'Qida bazası'!$A$2:$A$103,0))*D834/100,"?"))</f>
        <v/>
      </c>
      <c r="H834" s="19">
        <f>IF(OR(C834="",D834=""),"",IFERROR(INDEX('Qida bazası'!$G$2:$G$103,MATCH(C834,'Qida bazası'!$A$2:$A$103,0))*D834/100,"?"))</f>
        <v/>
      </c>
    </row>
    <row r="835">
      <c r="A835" s="21" t="n"/>
      <c r="E835" s="18">
        <f>IF(OR(C835="",D835=""),"",IFERROR(INDEX('Qida bazası'!$D$2:$D$103,MATCH(C835,'Qida bazası'!$A$2:$A$103,0))*D835/100,"?"))</f>
        <v/>
      </c>
      <c r="F835" s="19">
        <f>IF(OR(C835="",D835=""),"",IFERROR(INDEX('Qida bazası'!$E$2:$E$103,MATCH(C835,'Qida bazası'!$A$2:$A$103,0))*D835/100,"?"))</f>
        <v/>
      </c>
      <c r="G835" s="19">
        <f>IF(OR(C835="",D835=""),"",IFERROR(INDEX('Qida bazası'!$F$2:$F$103,MATCH(C835,'Qida bazası'!$A$2:$A$103,0))*D835/100,"?"))</f>
        <v/>
      </c>
      <c r="H835" s="19">
        <f>IF(OR(C835="",D835=""),"",IFERROR(INDEX('Qida bazası'!$G$2:$G$103,MATCH(C835,'Qida bazası'!$A$2:$A$103,0))*D835/100,"?"))</f>
        <v/>
      </c>
    </row>
    <row r="836">
      <c r="A836" s="21" t="n"/>
      <c r="E836" s="18">
        <f>IF(OR(C836="",D836=""),"",IFERROR(INDEX('Qida bazası'!$D$2:$D$103,MATCH(C836,'Qida bazası'!$A$2:$A$103,0))*D836/100,"?"))</f>
        <v/>
      </c>
      <c r="F836" s="19">
        <f>IF(OR(C836="",D836=""),"",IFERROR(INDEX('Qida bazası'!$E$2:$E$103,MATCH(C836,'Qida bazası'!$A$2:$A$103,0))*D836/100,"?"))</f>
        <v/>
      </c>
      <c r="G836" s="19">
        <f>IF(OR(C836="",D836=""),"",IFERROR(INDEX('Qida bazası'!$F$2:$F$103,MATCH(C836,'Qida bazası'!$A$2:$A$103,0))*D836/100,"?"))</f>
        <v/>
      </c>
      <c r="H836" s="19">
        <f>IF(OR(C836="",D836=""),"",IFERROR(INDEX('Qida bazası'!$G$2:$G$103,MATCH(C836,'Qida bazası'!$A$2:$A$103,0))*D836/100,"?"))</f>
        <v/>
      </c>
    </row>
    <row r="837">
      <c r="A837" s="21" t="n"/>
      <c r="E837" s="18">
        <f>IF(OR(C837="",D837=""),"",IFERROR(INDEX('Qida bazası'!$D$2:$D$103,MATCH(C837,'Qida bazası'!$A$2:$A$103,0))*D837/100,"?"))</f>
        <v/>
      </c>
      <c r="F837" s="19">
        <f>IF(OR(C837="",D837=""),"",IFERROR(INDEX('Qida bazası'!$E$2:$E$103,MATCH(C837,'Qida bazası'!$A$2:$A$103,0))*D837/100,"?"))</f>
        <v/>
      </c>
      <c r="G837" s="19">
        <f>IF(OR(C837="",D837=""),"",IFERROR(INDEX('Qida bazası'!$F$2:$F$103,MATCH(C837,'Qida bazası'!$A$2:$A$103,0))*D837/100,"?"))</f>
        <v/>
      </c>
      <c r="H837" s="19">
        <f>IF(OR(C837="",D837=""),"",IFERROR(INDEX('Qida bazası'!$G$2:$G$103,MATCH(C837,'Qida bazası'!$A$2:$A$103,0))*D837/100,"?"))</f>
        <v/>
      </c>
    </row>
    <row r="838">
      <c r="A838" s="21" t="n"/>
      <c r="E838" s="18">
        <f>IF(OR(C838="",D838=""),"",IFERROR(INDEX('Qida bazası'!$D$2:$D$103,MATCH(C838,'Qida bazası'!$A$2:$A$103,0))*D838/100,"?"))</f>
        <v/>
      </c>
      <c r="F838" s="19">
        <f>IF(OR(C838="",D838=""),"",IFERROR(INDEX('Qida bazası'!$E$2:$E$103,MATCH(C838,'Qida bazası'!$A$2:$A$103,0))*D838/100,"?"))</f>
        <v/>
      </c>
      <c r="G838" s="19">
        <f>IF(OR(C838="",D838=""),"",IFERROR(INDEX('Qida bazası'!$F$2:$F$103,MATCH(C838,'Qida bazası'!$A$2:$A$103,0))*D838/100,"?"))</f>
        <v/>
      </c>
      <c r="H838" s="19">
        <f>IF(OR(C838="",D838=""),"",IFERROR(INDEX('Qida bazası'!$G$2:$G$103,MATCH(C838,'Qida bazası'!$A$2:$A$103,0))*D838/100,"?"))</f>
        <v/>
      </c>
    </row>
    <row r="839">
      <c r="A839" s="21" t="n"/>
      <c r="E839" s="18">
        <f>IF(OR(C839="",D839=""),"",IFERROR(INDEX('Qida bazası'!$D$2:$D$103,MATCH(C839,'Qida bazası'!$A$2:$A$103,0))*D839/100,"?"))</f>
        <v/>
      </c>
      <c r="F839" s="19">
        <f>IF(OR(C839="",D839=""),"",IFERROR(INDEX('Qida bazası'!$E$2:$E$103,MATCH(C839,'Qida bazası'!$A$2:$A$103,0))*D839/100,"?"))</f>
        <v/>
      </c>
      <c r="G839" s="19">
        <f>IF(OR(C839="",D839=""),"",IFERROR(INDEX('Qida bazası'!$F$2:$F$103,MATCH(C839,'Qida bazası'!$A$2:$A$103,0))*D839/100,"?"))</f>
        <v/>
      </c>
      <c r="H839" s="19">
        <f>IF(OR(C839="",D839=""),"",IFERROR(INDEX('Qida bazası'!$G$2:$G$103,MATCH(C839,'Qida bazası'!$A$2:$A$103,0))*D839/100,"?"))</f>
        <v/>
      </c>
    </row>
    <row r="840">
      <c r="A840" s="21" t="n"/>
      <c r="E840" s="18">
        <f>IF(OR(C840="",D840=""),"",IFERROR(INDEX('Qida bazası'!$D$2:$D$103,MATCH(C840,'Qida bazası'!$A$2:$A$103,0))*D840/100,"?"))</f>
        <v/>
      </c>
      <c r="F840" s="19">
        <f>IF(OR(C840="",D840=""),"",IFERROR(INDEX('Qida bazası'!$E$2:$E$103,MATCH(C840,'Qida bazası'!$A$2:$A$103,0))*D840/100,"?"))</f>
        <v/>
      </c>
      <c r="G840" s="19">
        <f>IF(OR(C840="",D840=""),"",IFERROR(INDEX('Qida bazası'!$F$2:$F$103,MATCH(C840,'Qida bazası'!$A$2:$A$103,0))*D840/100,"?"))</f>
        <v/>
      </c>
      <c r="H840" s="19">
        <f>IF(OR(C840="",D840=""),"",IFERROR(INDEX('Qida bazası'!$G$2:$G$103,MATCH(C840,'Qida bazası'!$A$2:$A$103,0))*D840/100,"?"))</f>
        <v/>
      </c>
    </row>
    <row r="841">
      <c r="A841" s="21" t="n"/>
      <c r="E841" s="18">
        <f>IF(OR(C841="",D841=""),"",IFERROR(INDEX('Qida bazası'!$D$2:$D$103,MATCH(C841,'Qida bazası'!$A$2:$A$103,0))*D841/100,"?"))</f>
        <v/>
      </c>
      <c r="F841" s="19">
        <f>IF(OR(C841="",D841=""),"",IFERROR(INDEX('Qida bazası'!$E$2:$E$103,MATCH(C841,'Qida bazası'!$A$2:$A$103,0))*D841/100,"?"))</f>
        <v/>
      </c>
      <c r="G841" s="19">
        <f>IF(OR(C841="",D841=""),"",IFERROR(INDEX('Qida bazası'!$F$2:$F$103,MATCH(C841,'Qida bazası'!$A$2:$A$103,0))*D841/100,"?"))</f>
        <v/>
      </c>
      <c r="H841" s="19">
        <f>IF(OR(C841="",D841=""),"",IFERROR(INDEX('Qida bazası'!$G$2:$G$103,MATCH(C841,'Qida bazası'!$A$2:$A$103,0))*D841/100,"?"))</f>
        <v/>
      </c>
    </row>
    <row r="842">
      <c r="A842" s="21" t="n"/>
      <c r="E842" s="18">
        <f>IF(OR(C842="",D842=""),"",IFERROR(INDEX('Qida bazası'!$D$2:$D$103,MATCH(C842,'Qida bazası'!$A$2:$A$103,0))*D842/100,"?"))</f>
        <v/>
      </c>
      <c r="F842" s="19">
        <f>IF(OR(C842="",D842=""),"",IFERROR(INDEX('Qida bazası'!$E$2:$E$103,MATCH(C842,'Qida bazası'!$A$2:$A$103,0))*D842/100,"?"))</f>
        <v/>
      </c>
      <c r="G842" s="19">
        <f>IF(OR(C842="",D842=""),"",IFERROR(INDEX('Qida bazası'!$F$2:$F$103,MATCH(C842,'Qida bazası'!$A$2:$A$103,0))*D842/100,"?"))</f>
        <v/>
      </c>
      <c r="H842" s="19">
        <f>IF(OR(C842="",D842=""),"",IFERROR(INDEX('Qida bazası'!$G$2:$G$103,MATCH(C842,'Qida bazası'!$A$2:$A$103,0))*D842/100,"?"))</f>
        <v/>
      </c>
    </row>
    <row r="843">
      <c r="A843" s="21" t="n"/>
      <c r="E843" s="18">
        <f>IF(OR(C843="",D843=""),"",IFERROR(INDEX('Qida bazası'!$D$2:$D$103,MATCH(C843,'Qida bazası'!$A$2:$A$103,0))*D843/100,"?"))</f>
        <v/>
      </c>
      <c r="F843" s="19">
        <f>IF(OR(C843="",D843=""),"",IFERROR(INDEX('Qida bazası'!$E$2:$E$103,MATCH(C843,'Qida bazası'!$A$2:$A$103,0))*D843/100,"?"))</f>
        <v/>
      </c>
      <c r="G843" s="19">
        <f>IF(OR(C843="",D843=""),"",IFERROR(INDEX('Qida bazası'!$F$2:$F$103,MATCH(C843,'Qida bazası'!$A$2:$A$103,0))*D843/100,"?"))</f>
        <v/>
      </c>
      <c r="H843" s="19">
        <f>IF(OR(C843="",D843=""),"",IFERROR(INDEX('Qida bazası'!$G$2:$G$103,MATCH(C843,'Qida bazası'!$A$2:$A$103,0))*D843/100,"?"))</f>
        <v/>
      </c>
    </row>
    <row r="844">
      <c r="A844" s="21" t="n"/>
      <c r="E844" s="18">
        <f>IF(OR(C844="",D844=""),"",IFERROR(INDEX('Qida bazası'!$D$2:$D$103,MATCH(C844,'Qida bazası'!$A$2:$A$103,0))*D844/100,"?"))</f>
        <v/>
      </c>
      <c r="F844" s="19">
        <f>IF(OR(C844="",D844=""),"",IFERROR(INDEX('Qida bazası'!$E$2:$E$103,MATCH(C844,'Qida bazası'!$A$2:$A$103,0))*D844/100,"?"))</f>
        <v/>
      </c>
      <c r="G844" s="19">
        <f>IF(OR(C844="",D844=""),"",IFERROR(INDEX('Qida bazası'!$F$2:$F$103,MATCH(C844,'Qida bazası'!$A$2:$A$103,0))*D844/100,"?"))</f>
        <v/>
      </c>
      <c r="H844" s="19">
        <f>IF(OR(C844="",D844=""),"",IFERROR(INDEX('Qida bazası'!$G$2:$G$103,MATCH(C844,'Qida bazası'!$A$2:$A$103,0))*D844/100,"?"))</f>
        <v/>
      </c>
    </row>
    <row r="845">
      <c r="A845" s="21" t="n"/>
      <c r="E845" s="18">
        <f>IF(OR(C845="",D845=""),"",IFERROR(INDEX('Qida bazası'!$D$2:$D$103,MATCH(C845,'Qida bazası'!$A$2:$A$103,0))*D845/100,"?"))</f>
        <v/>
      </c>
      <c r="F845" s="19">
        <f>IF(OR(C845="",D845=""),"",IFERROR(INDEX('Qida bazası'!$E$2:$E$103,MATCH(C845,'Qida bazası'!$A$2:$A$103,0))*D845/100,"?"))</f>
        <v/>
      </c>
      <c r="G845" s="19">
        <f>IF(OR(C845="",D845=""),"",IFERROR(INDEX('Qida bazası'!$F$2:$F$103,MATCH(C845,'Qida bazası'!$A$2:$A$103,0))*D845/100,"?"))</f>
        <v/>
      </c>
      <c r="H845" s="19">
        <f>IF(OR(C845="",D845=""),"",IFERROR(INDEX('Qida bazası'!$G$2:$G$103,MATCH(C845,'Qida bazası'!$A$2:$A$103,0))*D845/100,"?"))</f>
        <v/>
      </c>
    </row>
    <row r="846">
      <c r="A846" s="21" t="n"/>
      <c r="E846" s="18">
        <f>IF(OR(C846="",D846=""),"",IFERROR(INDEX('Qida bazası'!$D$2:$D$103,MATCH(C846,'Qida bazası'!$A$2:$A$103,0))*D846/100,"?"))</f>
        <v/>
      </c>
      <c r="F846" s="19">
        <f>IF(OR(C846="",D846=""),"",IFERROR(INDEX('Qida bazası'!$E$2:$E$103,MATCH(C846,'Qida bazası'!$A$2:$A$103,0))*D846/100,"?"))</f>
        <v/>
      </c>
      <c r="G846" s="19">
        <f>IF(OR(C846="",D846=""),"",IFERROR(INDEX('Qida bazası'!$F$2:$F$103,MATCH(C846,'Qida bazası'!$A$2:$A$103,0))*D846/100,"?"))</f>
        <v/>
      </c>
      <c r="H846" s="19">
        <f>IF(OR(C846="",D846=""),"",IFERROR(INDEX('Qida bazası'!$G$2:$G$103,MATCH(C846,'Qida bazası'!$A$2:$A$103,0))*D846/100,"?"))</f>
        <v/>
      </c>
    </row>
    <row r="847">
      <c r="A847" s="21" t="n"/>
      <c r="E847" s="18">
        <f>IF(OR(C847="",D847=""),"",IFERROR(INDEX('Qida bazası'!$D$2:$D$103,MATCH(C847,'Qida bazası'!$A$2:$A$103,0))*D847/100,"?"))</f>
        <v/>
      </c>
      <c r="F847" s="19">
        <f>IF(OR(C847="",D847=""),"",IFERROR(INDEX('Qida bazası'!$E$2:$E$103,MATCH(C847,'Qida bazası'!$A$2:$A$103,0))*D847/100,"?"))</f>
        <v/>
      </c>
      <c r="G847" s="19">
        <f>IF(OR(C847="",D847=""),"",IFERROR(INDEX('Qida bazası'!$F$2:$F$103,MATCH(C847,'Qida bazası'!$A$2:$A$103,0))*D847/100,"?"))</f>
        <v/>
      </c>
      <c r="H847" s="19">
        <f>IF(OR(C847="",D847=""),"",IFERROR(INDEX('Qida bazası'!$G$2:$G$103,MATCH(C847,'Qida bazası'!$A$2:$A$103,0))*D847/100,"?"))</f>
        <v/>
      </c>
    </row>
    <row r="848">
      <c r="A848" s="21" t="n"/>
      <c r="E848" s="18">
        <f>IF(OR(C848="",D848=""),"",IFERROR(INDEX('Qida bazası'!$D$2:$D$103,MATCH(C848,'Qida bazası'!$A$2:$A$103,0))*D848/100,"?"))</f>
        <v/>
      </c>
      <c r="F848" s="19">
        <f>IF(OR(C848="",D848=""),"",IFERROR(INDEX('Qida bazası'!$E$2:$E$103,MATCH(C848,'Qida bazası'!$A$2:$A$103,0))*D848/100,"?"))</f>
        <v/>
      </c>
      <c r="G848" s="19">
        <f>IF(OR(C848="",D848=""),"",IFERROR(INDEX('Qida bazası'!$F$2:$F$103,MATCH(C848,'Qida bazası'!$A$2:$A$103,0))*D848/100,"?"))</f>
        <v/>
      </c>
      <c r="H848" s="19">
        <f>IF(OR(C848="",D848=""),"",IFERROR(INDEX('Qida bazası'!$G$2:$G$103,MATCH(C848,'Qida bazası'!$A$2:$A$103,0))*D848/100,"?"))</f>
        <v/>
      </c>
    </row>
    <row r="849">
      <c r="A849" s="21" t="n"/>
      <c r="E849" s="18">
        <f>IF(OR(C849="",D849=""),"",IFERROR(INDEX('Qida bazası'!$D$2:$D$103,MATCH(C849,'Qida bazası'!$A$2:$A$103,0))*D849/100,"?"))</f>
        <v/>
      </c>
      <c r="F849" s="19">
        <f>IF(OR(C849="",D849=""),"",IFERROR(INDEX('Qida bazası'!$E$2:$E$103,MATCH(C849,'Qida bazası'!$A$2:$A$103,0))*D849/100,"?"))</f>
        <v/>
      </c>
      <c r="G849" s="19">
        <f>IF(OR(C849="",D849=""),"",IFERROR(INDEX('Qida bazası'!$F$2:$F$103,MATCH(C849,'Qida bazası'!$A$2:$A$103,0))*D849/100,"?"))</f>
        <v/>
      </c>
      <c r="H849" s="19">
        <f>IF(OR(C849="",D849=""),"",IFERROR(INDEX('Qida bazası'!$G$2:$G$103,MATCH(C849,'Qida bazası'!$A$2:$A$103,0))*D849/100,"?"))</f>
        <v/>
      </c>
    </row>
    <row r="850">
      <c r="A850" s="21" t="n"/>
      <c r="E850" s="18">
        <f>IF(OR(C850="",D850=""),"",IFERROR(INDEX('Qida bazası'!$D$2:$D$103,MATCH(C850,'Qida bazası'!$A$2:$A$103,0))*D850/100,"?"))</f>
        <v/>
      </c>
      <c r="F850" s="19">
        <f>IF(OR(C850="",D850=""),"",IFERROR(INDEX('Qida bazası'!$E$2:$E$103,MATCH(C850,'Qida bazası'!$A$2:$A$103,0))*D850/100,"?"))</f>
        <v/>
      </c>
      <c r="G850" s="19">
        <f>IF(OR(C850="",D850=""),"",IFERROR(INDEX('Qida bazası'!$F$2:$F$103,MATCH(C850,'Qida bazası'!$A$2:$A$103,0))*D850/100,"?"))</f>
        <v/>
      </c>
      <c r="H850" s="19">
        <f>IF(OR(C850="",D850=""),"",IFERROR(INDEX('Qida bazası'!$G$2:$G$103,MATCH(C850,'Qida bazası'!$A$2:$A$103,0))*D850/100,"?"))</f>
        <v/>
      </c>
    </row>
    <row r="851">
      <c r="A851" s="21" t="n"/>
      <c r="E851" s="18">
        <f>IF(OR(C851="",D851=""),"",IFERROR(INDEX('Qida bazası'!$D$2:$D$103,MATCH(C851,'Qida bazası'!$A$2:$A$103,0))*D851/100,"?"))</f>
        <v/>
      </c>
      <c r="F851" s="19">
        <f>IF(OR(C851="",D851=""),"",IFERROR(INDEX('Qida bazası'!$E$2:$E$103,MATCH(C851,'Qida bazası'!$A$2:$A$103,0))*D851/100,"?"))</f>
        <v/>
      </c>
      <c r="G851" s="19">
        <f>IF(OR(C851="",D851=""),"",IFERROR(INDEX('Qida bazası'!$F$2:$F$103,MATCH(C851,'Qida bazası'!$A$2:$A$103,0))*D851/100,"?"))</f>
        <v/>
      </c>
      <c r="H851" s="19">
        <f>IF(OR(C851="",D851=""),"",IFERROR(INDEX('Qida bazası'!$G$2:$G$103,MATCH(C851,'Qida bazası'!$A$2:$A$103,0))*D851/100,"?"))</f>
        <v/>
      </c>
    </row>
    <row r="852">
      <c r="A852" s="21" t="n"/>
      <c r="E852" s="18">
        <f>IF(OR(C852="",D852=""),"",IFERROR(INDEX('Qida bazası'!$D$2:$D$103,MATCH(C852,'Qida bazası'!$A$2:$A$103,0))*D852/100,"?"))</f>
        <v/>
      </c>
      <c r="F852" s="19">
        <f>IF(OR(C852="",D852=""),"",IFERROR(INDEX('Qida bazası'!$E$2:$E$103,MATCH(C852,'Qida bazası'!$A$2:$A$103,0))*D852/100,"?"))</f>
        <v/>
      </c>
      <c r="G852" s="19">
        <f>IF(OR(C852="",D852=""),"",IFERROR(INDEX('Qida bazası'!$F$2:$F$103,MATCH(C852,'Qida bazası'!$A$2:$A$103,0))*D852/100,"?"))</f>
        <v/>
      </c>
      <c r="H852" s="19">
        <f>IF(OR(C852="",D852=""),"",IFERROR(INDEX('Qida bazası'!$G$2:$G$103,MATCH(C852,'Qida bazası'!$A$2:$A$103,0))*D852/100,"?"))</f>
        <v/>
      </c>
    </row>
    <row r="853">
      <c r="A853" s="21" t="n"/>
      <c r="E853" s="18">
        <f>IF(OR(C853="",D853=""),"",IFERROR(INDEX('Qida bazası'!$D$2:$D$103,MATCH(C853,'Qida bazası'!$A$2:$A$103,0))*D853/100,"?"))</f>
        <v/>
      </c>
      <c r="F853" s="19">
        <f>IF(OR(C853="",D853=""),"",IFERROR(INDEX('Qida bazası'!$E$2:$E$103,MATCH(C853,'Qida bazası'!$A$2:$A$103,0))*D853/100,"?"))</f>
        <v/>
      </c>
      <c r="G853" s="19">
        <f>IF(OR(C853="",D853=""),"",IFERROR(INDEX('Qida bazası'!$F$2:$F$103,MATCH(C853,'Qida bazası'!$A$2:$A$103,0))*D853/100,"?"))</f>
        <v/>
      </c>
      <c r="H853" s="19">
        <f>IF(OR(C853="",D853=""),"",IFERROR(INDEX('Qida bazası'!$G$2:$G$103,MATCH(C853,'Qida bazası'!$A$2:$A$103,0))*D853/100,"?"))</f>
        <v/>
      </c>
    </row>
    <row r="854">
      <c r="A854" s="21" t="n"/>
      <c r="E854" s="18">
        <f>IF(OR(C854="",D854=""),"",IFERROR(INDEX('Qida bazası'!$D$2:$D$103,MATCH(C854,'Qida bazası'!$A$2:$A$103,0))*D854/100,"?"))</f>
        <v/>
      </c>
      <c r="F854" s="19">
        <f>IF(OR(C854="",D854=""),"",IFERROR(INDEX('Qida bazası'!$E$2:$E$103,MATCH(C854,'Qida bazası'!$A$2:$A$103,0))*D854/100,"?"))</f>
        <v/>
      </c>
      <c r="G854" s="19">
        <f>IF(OR(C854="",D854=""),"",IFERROR(INDEX('Qida bazası'!$F$2:$F$103,MATCH(C854,'Qida bazası'!$A$2:$A$103,0))*D854/100,"?"))</f>
        <v/>
      </c>
      <c r="H854" s="19">
        <f>IF(OR(C854="",D854=""),"",IFERROR(INDEX('Qida bazası'!$G$2:$G$103,MATCH(C854,'Qida bazası'!$A$2:$A$103,0))*D854/100,"?"))</f>
        <v/>
      </c>
    </row>
    <row r="855">
      <c r="A855" s="21" t="n"/>
      <c r="E855" s="18">
        <f>IF(OR(C855="",D855=""),"",IFERROR(INDEX('Qida bazası'!$D$2:$D$103,MATCH(C855,'Qida bazası'!$A$2:$A$103,0))*D855/100,"?"))</f>
        <v/>
      </c>
      <c r="F855" s="19">
        <f>IF(OR(C855="",D855=""),"",IFERROR(INDEX('Qida bazası'!$E$2:$E$103,MATCH(C855,'Qida bazası'!$A$2:$A$103,0))*D855/100,"?"))</f>
        <v/>
      </c>
      <c r="G855" s="19">
        <f>IF(OR(C855="",D855=""),"",IFERROR(INDEX('Qida bazası'!$F$2:$F$103,MATCH(C855,'Qida bazası'!$A$2:$A$103,0))*D855/100,"?"))</f>
        <v/>
      </c>
      <c r="H855" s="19">
        <f>IF(OR(C855="",D855=""),"",IFERROR(INDEX('Qida bazası'!$G$2:$G$103,MATCH(C855,'Qida bazası'!$A$2:$A$103,0))*D855/100,"?"))</f>
        <v/>
      </c>
    </row>
    <row r="856">
      <c r="A856" s="21" t="n"/>
      <c r="E856" s="18">
        <f>IF(OR(C856="",D856=""),"",IFERROR(INDEX('Qida bazası'!$D$2:$D$103,MATCH(C856,'Qida bazası'!$A$2:$A$103,0))*D856/100,"?"))</f>
        <v/>
      </c>
      <c r="F856" s="19">
        <f>IF(OR(C856="",D856=""),"",IFERROR(INDEX('Qida bazası'!$E$2:$E$103,MATCH(C856,'Qida bazası'!$A$2:$A$103,0))*D856/100,"?"))</f>
        <v/>
      </c>
      <c r="G856" s="19">
        <f>IF(OR(C856="",D856=""),"",IFERROR(INDEX('Qida bazası'!$F$2:$F$103,MATCH(C856,'Qida bazası'!$A$2:$A$103,0))*D856/100,"?"))</f>
        <v/>
      </c>
      <c r="H856" s="19">
        <f>IF(OR(C856="",D856=""),"",IFERROR(INDEX('Qida bazası'!$G$2:$G$103,MATCH(C856,'Qida bazası'!$A$2:$A$103,0))*D856/100,"?"))</f>
        <v/>
      </c>
    </row>
    <row r="857">
      <c r="A857" s="21" t="n"/>
      <c r="E857" s="18">
        <f>IF(OR(C857="",D857=""),"",IFERROR(INDEX('Qida bazası'!$D$2:$D$103,MATCH(C857,'Qida bazası'!$A$2:$A$103,0))*D857/100,"?"))</f>
        <v/>
      </c>
      <c r="F857" s="19">
        <f>IF(OR(C857="",D857=""),"",IFERROR(INDEX('Qida bazası'!$E$2:$E$103,MATCH(C857,'Qida bazası'!$A$2:$A$103,0))*D857/100,"?"))</f>
        <v/>
      </c>
      <c r="G857" s="19">
        <f>IF(OR(C857="",D857=""),"",IFERROR(INDEX('Qida bazası'!$F$2:$F$103,MATCH(C857,'Qida bazası'!$A$2:$A$103,0))*D857/100,"?"))</f>
        <v/>
      </c>
      <c r="H857" s="19">
        <f>IF(OR(C857="",D857=""),"",IFERROR(INDEX('Qida bazası'!$G$2:$G$103,MATCH(C857,'Qida bazası'!$A$2:$A$103,0))*D857/100,"?"))</f>
        <v/>
      </c>
    </row>
    <row r="858">
      <c r="A858" s="21" t="n"/>
      <c r="E858" s="18">
        <f>IF(OR(C858="",D858=""),"",IFERROR(INDEX('Qida bazası'!$D$2:$D$103,MATCH(C858,'Qida bazası'!$A$2:$A$103,0))*D858/100,"?"))</f>
        <v/>
      </c>
      <c r="F858" s="19">
        <f>IF(OR(C858="",D858=""),"",IFERROR(INDEX('Qida bazası'!$E$2:$E$103,MATCH(C858,'Qida bazası'!$A$2:$A$103,0))*D858/100,"?"))</f>
        <v/>
      </c>
      <c r="G858" s="19">
        <f>IF(OR(C858="",D858=""),"",IFERROR(INDEX('Qida bazası'!$F$2:$F$103,MATCH(C858,'Qida bazası'!$A$2:$A$103,0))*D858/100,"?"))</f>
        <v/>
      </c>
      <c r="H858" s="19">
        <f>IF(OR(C858="",D858=""),"",IFERROR(INDEX('Qida bazası'!$G$2:$G$103,MATCH(C858,'Qida bazası'!$A$2:$A$103,0))*D858/100,"?"))</f>
        <v/>
      </c>
    </row>
    <row r="859">
      <c r="A859" s="21" t="n"/>
      <c r="E859" s="18">
        <f>IF(OR(C859="",D859=""),"",IFERROR(INDEX('Qida bazası'!$D$2:$D$103,MATCH(C859,'Qida bazası'!$A$2:$A$103,0))*D859/100,"?"))</f>
        <v/>
      </c>
      <c r="F859" s="19">
        <f>IF(OR(C859="",D859=""),"",IFERROR(INDEX('Qida bazası'!$E$2:$E$103,MATCH(C859,'Qida bazası'!$A$2:$A$103,0))*D859/100,"?"))</f>
        <v/>
      </c>
      <c r="G859" s="19">
        <f>IF(OR(C859="",D859=""),"",IFERROR(INDEX('Qida bazası'!$F$2:$F$103,MATCH(C859,'Qida bazası'!$A$2:$A$103,0))*D859/100,"?"))</f>
        <v/>
      </c>
      <c r="H859" s="19">
        <f>IF(OR(C859="",D859=""),"",IFERROR(INDEX('Qida bazası'!$G$2:$G$103,MATCH(C859,'Qida bazası'!$A$2:$A$103,0))*D859/100,"?"))</f>
        <v/>
      </c>
    </row>
    <row r="860">
      <c r="A860" s="21" t="n"/>
      <c r="E860" s="18">
        <f>IF(OR(C860="",D860=""),"",IFERROR(INDEX('Qida bazası'!$D$2:$D$103,MATCH(C860,'Qida bazası'!$A$2:$A$103,0))*D860/100,"?"))</f>
        <v/>
      </c>
      <c r="F860" s="19">
        <f>IF(OR(C860="",D860=""),"",IFERROR(INDEX('Qida bazası'!$E$2:$E$103,MATCH(C860,'Qida bazası'!$A$2:$A$103,0))*D860/100,"?"))</f>
        <v/>
      </c>
      <c r="G860" s="19">
        <f>IF(OR(C860="",D860=""),"",IFERROR(INDEX('Qida bazası'!$F$2:$F$103,MATCH(C860,'Qida bazası'!$A$2:$A$103,0))*D860/100,"?"))</f>
        <v/>
      </c>
      <c r="H860" s="19">
        <f>IF(OR(C860="",D860=""),"",IFERROR(INDEX('Qida bazası'!$G$2:$G$103,MATCH(C860,'Qida bazası'!$A$2:$A$103,0))*D860/100,"?"))</f>
        <v/>
      </c>
    </row>
    <row r="861">
      <c r="A861" s="21" t="n"/>
      <c r="E861" s="18">
        <f>IF(OR(C861="",D861=""),"",IFERROR(INDEX('Qida bazası'!$D$2:$D$103,MATCH(C861,'Qida bazası'!$A$2:$A$103,0))*D861/100,"?"))</f>
        <v/>
      </c>
      <c r="F861" s="19">
        <f>IF(OR(C861="",D861=""),"",IFERROR(INDEX('Qida bazası'!$E$2:$E$103,MATCH(C861,'Qida bazası'!$A$2:$A$103,0))*D861/100,"?"))</f>
        <v/>
      </c>
      <c r="G861" s="19">
        <f>IF(OR(C861="",D861=""),"",IFERROR(INDEX('Qida bazası'!$F$2:$F$103,MATCH(C861,'Qida bazası'!$A$2:$A$103,0))*D861/100,"?"))</f>
        <v/>
      </c>
      <c r="H861" s="19">
        <f>IF(OR(C861="",D861=""),"",IFERROR(INDEX('Qida bazası'!$G$2:$G$103,MATCH(C861,'Qida bazası'!$A$2:$A$103,0))*D861/100,"?"))</f>
        <v/>
      </c>
    </row>
    <row r="862">
      <c r="A862" s="21" t="n"/>
      <c r="E862" s="18">
        <f>IF(OR(C862="",D862=""),"",IFERROR(INDEX('Qida bazası'!$D$2:$D$103,MATCH(C862,'Qida bazası'!$A$2:$A$103,0))*D862/100,"?"))</f>
        <v/>
      </c>
      <c r="F862" s="19">
        <f>IF(OR(C862="",D862=""),"",IFERROR(INDEX('Qida bazası'!$E$2:$E$103,MATCH(C862,'Qida bazası'!$A$2:$A$103,0))*D862/100,"?"))</f>
        <v/>
      </c>
      <c r="G862" s="19">
        <f>IF(OR(C862="",D862=""),"",IFERROR(INDEX('Qida bazası'!$F$2:$F$103,MATCH(C862,'Qida bazası'!$A$2:$A$103,0))*D862/100,"?"))</f>
        <v/>
      </c>
      <c r="H862" s="19">
        <f>IF(OR(C862="",D862=""),"",IFERROR(INDEX('Qida bazası'!$G$2:$G$103,MATCH(C862,'Qida bazası'!$A$2:$A$103,0))*D862/100,"?"))</f>
        <v/>
      </c>
    </row>
    <row r="863">
      <c r="A863" s="21" t="n"/>
      <c r="E863" s="18">
        <f>IF(OR(C863="",D863=""),"",IFERROR(INDEX('Qida bazası'!$D$2:$D$103,MATCH(C863,'Qida bazası'!$A$2:$A$103,0))*D863/100,"?"))</f>
        <v/>
      </c>
      <c r="F863" s="19">
        <f>IF(OR(C863="",D863=""),"",IFERROR(INDEX('Qida bazası'!$E$2:$E$103,MATCH(C863,'Qida bazası'!$A$2:$A$103,0))*D863/100,"?"))</f>
        <v/>
      </c>
      <c r="G863" s="19">
        <f>IF(OR(C863="",D863=""),"",IFERROR(INDEX('Qida bazası'!$F$2:$F$103,MATCH(C863,'Qida bazası'!$A$2:$A$103,0))*D863/100,"?"))</f>
        <v/>
      </c>
      <c r="H863" s="19">
        <f>IF(OR(C863="",D863=""),"",IFERROR(INDEX('Qida bazası'!$G$2:$G$103,MATCH(C863,'Qida bazası'!$A$2:$A$103,0))*D863/100,"?"))</f>
        <v/>
      </c>
    </row>
    <row r="864">
      <c r="A864" s="21" t="n"/>
      <c r="E864" s="18">
        <f>IF(OR(C864="",D864=""),"",IFERROR(INDEX('Qida bazası'!$D$2:$D$103,MATCH(C864,'Qida bazası'!$A$2:$A$103,0))*D864/100,"?"))</f>
        <v/>
      </c>
      <c r="F864" s="19">
        <f>IF(OR(C864="",D864=""),"",IFERROR(INDEX('Qida bazası'!$E$2:$E$103,MATCH(C864,'Qida bazası'!$A$2:$A$103,0))*D864/100,"?"))</f>
        <v/>
      </c>
      <c r="G864" s="19">
        <f>IF(OR(C864="",D864=""),"",IFERROR(INDEX('Qida bazası'!$F$2:$F$103,MATCH(C864,'Qida bazası'!$A$2:$A$103,0))*D864/100,"?"))</f>
        <v/>
      </c>
      <c r="H864" s="19">
        <f>IF(OR(C864="",D864=""),"",IFERROR(INDEX('Qida bazası'!$G$2:$G$103,MATCH(C864,'Qida bazası'!$A$2:$A$103,0))*D864/100,"?"))</f>
        <v/>
      </c>
    </row>
    <row r="865">
      <c r="A865" s="21" t="n"/>
      <c r="E865" s="18">
        <f>IF(OR(C865="",D865=""),"",IFERROR(INDEX('Qida bazası'!$D$2:$D$103,MATCH(C865,'Qida bazası'!$A$2:$A$103,0))*D865/100,"?"))</f>
        <v/>
      </c>
      <c r="F865" s="19">
        <f>IF(OR(C865="",D865=""),"",IFERROR(INDEX('Qida bazası'!$E$2:$E$103,MATCH(C865,'Qida bazası'!$A$2:$A$103,0))*D865/100,"?"))</f>
        <v/>
      </c>
      <c r="G865" s="19">
        <f>IF(OR(C865="",D865=""),"",IFERROR(INDEX('Qida bazası'!$F$2:$F$103,MATCH(C865,'Qida bazası'!$A$2:$A$103,0))*D865/100,"?"))</f>
        <v/>
      </c>
      <c r="H865" s="19">
        <f>IF(OR(C865="",D865=""),"",IFERROR(INDEX('Qida bazası'!$G$2:$G$103,MATCH(C865,'Qida bazası'!$A$2:$A$103,0))*D865/100,"?"))</f>
        <v/>
      </c>
    </row>
    <row r="866">
      <c r="A866" s="21" t="n"/>
      <c r="E866" s="18">
        <f>IF(OR(C866="",D866=""),"",IFERROR(INDEX('Qida bazası'!$D$2:$D$103,MATCH(C866,'Qida bazası'!$A$2:$A$103,0))*D866/100,"?"))</f>
        <v/>
      </c>
      <c r="F866" s="19">
        <f>IF(OR(C866="",D866=""),"",IFERROR(INDEX('Qida bazası'!$E$2:$E$103,MATCH(C866,'Qida bazası'!$A$2:$A$103,0))*D866/100,"?"))</f>
        <v/>
      </c>
      <c r="G866" s="19">
        <f>IF(OR(C866="",D866=""),"",IFERROR(INDEX('Qida bazası'!$F$2:$F$103,MATCH(C866,'Qida bazası'!$A$2:$A$103,0))*D866/100,"?"))</f>
        <v/>
      </c>
      <c r="H866" s="19">
        <f>IF(OR(C866="",D866=""),"",IFERROR(INDEX('Qida bazası'!$G$2:$G$103,MATCH(C866,'Qida bazası'!$A$2:$A$103,0))*D866/100,"?"))</f>
        <v/>
      </c>
    </row>
    <row r="867">
      <c r="A867" s="21" t="n"/>
      <c r="E867" s="18">
        <f>IF(OR(C867="",D867=""),"",IFERROR(INDEX('Qida bazası'!$D$2:$D$103,MATCH(C867,'Qida bazası'!$A$2:$A$103,0))*D867/100,"?"))</f>
        <v/>
      </c>
      <c r="F867" s="19">
        <f>IF(OR(C867="",D867=""),"",IFERROR(INDEX('Qida bazası'!$E$2:$E$103,MATCH(C867,'Qida bazası'!$A$2:$A$103,0))*D867/100,"?"))</f>
        <v/>
      </c>
      <c r="G867" s="19">
        <f>IF(OR(C867="",D867=""),"",IFERROR(INDEX('Qida bazası'!$F$2:$F$103,MATCH(C867,'Qida bazası'!$A$2:$A$103,0))*D867/100,"?"))</f>
        <v/>
      </c>
      <c r="H867" s="19">
        <f>IF(OR(C867="",D867=""),"",IFERROR(INDEX('Qida bazası'!$G$2:$G$103,MATCH(C867,'Qida bazası'!$A$2:$A$103,0))*D867/100,"?"))</f>
        <v/>
      </c>
    </row>
    <row r="868">
      <c r="A868" s="21" t="n"/>
      <c r="E868" s="18">
        <f>IF(OR(C868="",D868=""),"",IFERROR(INDEX('Qida bazası'!$D$2:$D$103,MATCH(C868,'Qida bazası'!$A$2:$A$103,0))*D868/100,"?"))</f>
        <v/>
      </c>
      <c r="F868" s="19">
        <f>IF(OR(C868="",D868=""),"",IFERROR(INDEX('Qida bazası'!$E$2:$E$103,MATCH(C868,'Qida bazası'!$A$2:$A$103,0))*D868/100,"?"))</f>
        <v/>
      </c>
      <c r="G868" s="19">
        <f>IF(OR(C868="",D868=""),"",IFERROR(INDEX('Qida bazası'!$F$2:$F$103,MATCH(C868,'Qida bazası'!$A$2:$A$103,0))*D868/100,"?"))</f>
        <v/>
      </c>
      <c r="H868" s="19">
        <f>IF(OR(C868="",D868=""),"",IFERROR(INDEX('Qida bazası'!$G$2:$G$103,MATCH(C868,'Qida bazası'!$A$2:$A$103,0))*D868/100,"?"))</f>
        <v/>
      </c>
    </row>
    <row r="869">
      <c r="A869" s="21" t="n"/>
      <c r="E869" s="18">
        <f>IF(OR(C869="",D869=""),"",IFERROR(INDEX('Qida bazası'!$D$2:$D$103,MATCH(C869,'Qida bazası'!$A$2:$A$103,0))*D869/100,"?"))</f>
        <v/>
      </c>
      <c r="F869" s="19">
        <f>IF(OR(C869="",D869=""),"",IFERROR(INDEX('Qida bazası'!$E$2:$E$103,MATCH(C869,'Qida bazası'!$A$2:$A$103,0))*D869/100,"?"))</f>
        <v/>
      </c>
      <c r="G869" s="19">
        <f>IF(OR(C869="",D869=""),"",IFERROR(INDEX('Qida bazası'!$F$2:$F$103,MATCH(C869,'Qida bazası'!$A$2:$A$103,0))*D869/100,"?"))</f>
        <v/>
      </c>
      <c r="H869" s="19">
        <f>IF(OR(C869="",D869=""),"",IFERROR(INDEX('Qida bazası'!$G$2:$G$103,MATCH(C869,'Qida bazası'!$A$2:$A$103,0))*D869/100,"?"))</f>
        <v/>
      </c>
    </row>
    <row r="870">
      <c r="A870" s="21" t="n"/>
      <c r="E870" s="18">
        <f>IF(OR(C870="",D870=""),"",IFERROR(INDEX('Qida bazası'!$D$2:$D$103,MATCH(C870,'Qida bazası'!$A$2:$A$103,0))*D870/100,"?"))</f>
        <v/>
      </c>
      <c r="F870" s="19">
        <f>IF(OR(C870="",D870=""),"",IFERROR(INDEX('Qida bazası'!$E$2:$E$103,MATCH(C870,'Qida bazası'!$A$2:$A$103,0))*D870/100,"?"))</f>
        <v/>
      </c>
      <c r="G870" s="19">
        <f>IF(OR(C870="",D870=""),"",IFERROR(INDEX('Qida bazası'!$F$2:$F$103,MATCH(C870,'Qida bazası'!$A$2:$A$103,0))*D870/100,"?"))</f>
        <v/>
      </c>
      <c r="H870" s="19">
        <f>IF(OR(C870="",D870=""),"",IFERROR(INDEX('Qida bazası'!$G$2:$G$103,MATCH(C870,'Qida bazası'!$A$2:$A$103,0))*D870/100,"?"))</f>
        <v/>
      </c>
    </row>
    <row r="871">
      <c r="A871" s="21" t="n"/>
      <c r="E871" s="18">
        <f>IF(OR(C871="",D871=""),"",IFERROR(INDEX('Qida bazası'!$D$2:$D$103,MATCH(C871,'Qida bazası'!$A$2:$A$103,0))*D871/100,"?"))</f>
        <v/>
      </c>
      <c r="F871" s="19">
        <f>IF(OR(C871="",D871=""),"",IFERROR(INDEX('Qida bazası'!$E$2:$E$103,MATCH(C871,'Qida bazası'!$A$2:$A$103,0))*D871/100,"?"))</f>
        <v/>
      </c>
      <c r="G871" s="19">
        <f>IF(OR(C871="",D871=""),"",IFERROR(INDEX('Qida bazası'!$F$2:$F$103,MATCH(C871,'Qida bazası'!$A$2:$A$103,0))*D871/100,"?"))</f>
        <v/>
      </c>
      <c r="H871" s="19">
        <f>IF(OR(C871="",D871=""),"",IFERROR(INDEX('Qida bazası'!$G$2:$G$103,MATCH(C871,'Qida bazası'!$A$2:$A$103,0))*D871/100,"?"))</f>
        <v/>
      </c>
    </row>
    <row r="872">
      <c r="A872" s="21" t="n"/>
      <c r="E872" s="18">
        <f>IF(OR(C872="",D872=""),"",IFERROR(INDEX('Qida bazası'!$D$2:$D$103,MATCH(C872,'Qida bazası'!$A$2:$A$103,0))*D872/100,"?"))</f>
        <v/>
      </c>
      <c r="F872" s="19">
        <f>IF(OR(C872="",D872=""),"",IFERROR(INDEX('Qida bazası'!$E$2:$E$103,MATCH(C872,'Qida bazası'!$A$2:$A$103,0))*D872/100,"?"))</f>
        <v/>
      </c>
      <c r="G872" s="19">
        <f>IF(OR(C872="",D872=""),"",IFERROR(INDEX('Qida bazası'!$F$2:$F$103,MATCH(C872,'Qida bazası'!$A$2:$A$103,0))*D872/100,"?"))</f>
        <v/>
      </c>
      <c r="H872" s="19">
        <f>IF(OR(C872="",D872=""),"",IFERROR(INDEX('Qida bazası'!$G$2:$G$103,MATCH(C872,'Qida bazası'!$A$2:$A$103,0))*D872/100,"?"))</f>
        <v/>
      </c>
    </row>
    <row r="873">
      <c r="A873" s="21" t="n"/>
      <c r="E873" s="18">
        <f>IF(OR(C873="",D873=""),"",IFERROR(INDEX('Qida bazası'!$D$2:$D$103,MATCH(C873,'Qida bazası'!$A$2:$A$103,0))*D873/100,"?"))</f>
        <v/>
      </c>
      <c r="F873" s="19">
        <f>IF(OR(C873="",D873=""),"",IFERROR(INDEX('Qida bazası'!$E$2:$E$103,MATCH(C873,'Qida bazası'!$A$2:$A$103,0))*D873/100,"?"))</f>
        <v/>
      </c>
      <c r="G873" s="19">
        <f>IF(OR(C873="",D873=""),"",IFERROR(INDEX('Qida bazası'!$F$2:$F$103,MATCH(C873,'Qida bazası'!$A$2:$A$103,0))*D873/100,"?"))</f>
        <v/>
      </c>
      <c r="H873" s="19">
        <f>IF(OR(C873="",D873=""),"",IFERROR(INDEX('Qida bazası'!$G$2:$G$103,MATCH(C873,'Qida bazası'!$A$2:$A$103,0))*D873/100,"?"))</f>
        <v/>
      </c>
    </row>
    <row r="874">
      <c r="A874" s="21" t="n"/>
      <c r="E874" s="18">
        <f>IF(OR(C874="",D874=""),"",IFERROR(INDEX('Qida bazası'!$D$2:$D$103,MATCH(C874,'Qida bazası'!$A$2:$A$103,0))*D874/100,"?"))</f>
        <v/>
      </c>
      <c r="F874" s="19">
        <f>IF(OR(C874="",D874=""),"",IFERROR(INDEX('Qida bazası'!$E$2:$E$103,MATCH(C874,'Qida bazası'!$A$2:$A$103,0))*D874/100,"?"))</f>
        <v/>
      </c>
      <c r="G874" s="19">
        <f>IF(OR(C874="",D874=""),"",IFERROR(INDEX('Qida bazası'!$F$2:$F$103,MATCH(C874,'Qida bazası'!$A$2:$A$103,0))*D874/100,"?"))</f>
        <v/>
      </c>
      <c r="H874" s="19">
        <f>IF(OR(C874="",D874=""),"",IFERROR(INDEX('Qida bazası'!$G$2:$G$103,MATCH(C874,'Qida bazası'!$A$2:$A$103,0))*D874/100,"?"))</f>
        <v/>
      </c>
    </row>
    <row r="875">
      <c r="A875" s="21" t="n"/>
      <c r="E875" s="18">
        <f>IF(OR(C875="",D875=""),"",IFERROR(INDEX('Qida bazası'!$D$2:$D$103,MATCH(C875,'Qida bazası'!$A$2:$A$103,0))*D875/100,"?"))</f>
        <v/>
      </c>
      <c r="F875" s="19">
        <f>IF(OR(C875="",D875=""),"",IFERROR(INDEX('Qida bazası'!$E$2:$E$103,MATCH(C875,'Qida bazası'!$A$2:$A$103,0))*D875/100,"?"))</f>
        <v/>
      </c>
      <c r="G875" s="19">
        <f>IF(OR(C875="",D875=""),"",IFERROR(INDEX('Qida bazası'!$F$2:$F$103,MATCH(C875,'Qida bazası'!$A$2:$A$103,0))*D875/100,"?"))</f>
        <v/>
      </c>
      <c r="H875" s="19">
        <f>IF(OR(C875="",D875=""),"",IFERROR(INDEX('Qida bazası'!$G$2:$G$103,MATCH(C875,'Qida bazası'!$A$2:$A$103,0))*D875/100,"?"))</f>
        <v/>
      </c>
    </row>
    <row r="876">
      <c r="A876" s="21" t="n"/>
      <c r="E876" s="18">
        <f>IF(OR(C876="",D876=""),"",IFERROR(INDEX('Qida bazası'!$D$2:$D$103,MATCH(C876,'Qida bazası'!$A$2:$A$103,0))*D876/100,"?"))</f>
        <v/>
      </c>
      <c r="F876" s="19">
        <f>IF(OR(C876="",D876=""),"",IFERROR(INDEX('Qida bazası'!$E$2:$E$103,MATCH(C876,'Qida bazası'!$A$2:$A$103,0))*D876/100,"?"))</f>
        <v/>
      </c>
      <c r="G876" s="19">
        <f>IF(OR(C876="",D876=""),"",IFERROR(INDEX('Qida bazası'!$F$2:$F$103,MATCH(C876,'Qida bazası'!$A$2:$A$103,0))*D876/100,"?"))</f>
        <v/>
      </c>
      <c r="H876" s="19">
        <f>IF(OR(C876="",D876=""),"",IFERROR(INDEX('Qida bazası'!$G$2:$G$103,MATCH(C876,'Qida bazası'!$A$2:$A$103,0))*D876/100,"?"))</f>
        <v/>
      </c>
    </row>
    <row r="877">
      <c r="A877" s="21" t="n"/>
      <c r="E877" s="18">
        <f>IF(OR(C877="",D877=""),"",IFERROR(INDEX('Qida bazası'!$D$2:$D$103,MATCH(C877,'Qida bazası'!$A$2:$A$103,0))*D877/100,"?"))</f>
        <v/>
      </c>
      <c r="F877" s="19">
        <f>IF(OR(C877="",D877=""),"",IFERROR(INDEX('Qida bazası'!$E$2:$E$103,MATCH(C877,'Qida bazası'!$A$2:$A$103,0))*D877/100,"?"))</f>
        <v/>
      </c>
      <c r="G877" s="19">
        <f>IF(OR(C877="",D877=""),"",IFERROR(INDEX('Qida bazası'!$F$2:$F$103,MATCH(C877,'Qida bazası'!$A$2:$A$103,0))*D877/100,"?"))</f>
        <v/>
      </c>
      <c r="H877" s="19">
        <f>IF(OR(C877="",D877=""),"",IFERROR(INDEX('Qida bazası'!$G$2:$G$103,MATCH(C877,'Qida bazası'!$A$2:$A$103,0))*D877/100,"?"))</f>
        <v/>
      </c>
    </row>
    <row r="878">
      <c r="A878" s="21" t="n"/>
      <c r="E878" s="18">
        <f>IF(OR(C878="",D878=""),"",IFERROR(INDEX('Qida bazası'!$D$2:$D$103,MATCH(C878,'Qida bazası'!$A$2:$A$103,0))*D878/100,"?"))</f>
        <v/>
      </c>
      <c r="F878" s="19">
        <f>IF(OR(C878="",D878=""),"",IFERROR(INDEX('Qida bazası'!$E$2:$E$103,MATCH(C878,'Qida bazası'!$A$2:$A$103,0))*D878/100,"?"))</f>
        <v/>
      </c>
      <c r="G878" s="19">
        <f>IF(OR(C878="",D878=""),"",IFERROR(INDEX('Qida bazası'!$F$2:$F$103,MATCH(C878,'Qida bazası'!$A$2:$A$103,0))*D878/100,"?"))</f>
        <v/>
      </c>
      <c r="H878" s="19">
        <f>IF(OR(C878="",D878=""),"",IFERROR(INDEX('Qida bazası'!$G$2:$G$103,MATCH(C878,'Qida bazası'!$A$2:$A$103,0))*D878/100,"?"))</f>
        <v/>
      </c>
    </row>
    <row r="879">
      <c r="A879" s="21" t="n"/>
      <c r="E879" s="18">
        <f>IF(OR(C879="",D879=""),"",IFERROR(INDEX('Qida bazası'!$D$2:$D$103,MATCH(C879,'Qida bazası'!$A$2:$A$103,0))*D879/100,"?"))</f>
        <v/>
      </c>
      <c r="F879" s="19">
        <f>IF(OR(C879="",D879=""),"",IFERROR(INDEX('Qida bazası'!$E$2:$E$103,MATCH(C879,'Qida bazası'!$A$2:$A$103,0))*D879/100,"?"))</f>
        <v/>
      </c>
      <c r="G879" s="19">
        <f>IF(OR(C879="",D879=""),"",IFERROR(INDEX('Qida bazası'!$F$2:$F$103,MATCH(C879,'Qida bazası'!$A$2:$A$103,0))*D879/100,"?"))</f>
        <v/>
      </c>
      <c r="H879" s="19">
        <f>IF(OR(C879="",D879=""),"",IFERROR(INDEX('Qida bazası'!$G$2:$G$103,MATCH(C879,'Qida bazası'!$A$2:$A$103,0))*D879/100,"?"))</f>
        <v/>
      </c>
    </row>
    <row r="880">
      <c r="A880" s="21" t="n"/>
      <c r="E880" s="18">
        <f>IF(OR(C880="",D880=""),"",IFERROR(INDEX('Qida bazası'!$D$2:$D$103,MATCH(C880,'Qida bazası'!$A$2:$A$103,0))*D880/100,"?"))</f>
        <v/>
      </c>
      <c r="F880" s="19">
        <f>IF(OR(C880="",D880=""),"",IFERROR(INDEX('Qida bazası'!$E$2:$E$103,MATCH(C880,'Qida bazası'!$A$2:$A$103,0))*D880/100,"?"))</f>
        <v/>
      </c>
      <c r="G880" s="19">
        <f>IF(OR(C880="",D880=""),"",IFERROR(INDEX('Qida bazası'!$F$2:$F$103,MATCH(C880,'Qida bazası'!$A$2:$A$103,0))*D880/100,"?"))</f>
        <v/>
      </c>
      <c r="H880" s="19">
        <f>IF(OR(C880="",D880=""),"",IFERROR(INDEX('Qida bazası'!$G$2:$G$103,MATCH(C880,'Qida bazası'!$A$2:$A$103,0))*D880/100,"?"))</f>
        <v/>
      </c>
    </row>
    <row r="881">
      <c r="A881" s="21" t="n"/>
      <c r="E881" s="18">
        <f>IF(OR(C881="",D881=""),"",IFERROR(INDEX('Qida bazası'!$D$2:$D$103,MATCH(C881,'Qida bazası'!$A$2:$A$103,0))*D881/100,"?"))</f>
        <v/>
      </c>
      <c r="F881" s="19">
        <f>IF(OR(C881="",D881=""),"",IFERROR(INDEX('Qida bazası'!$E$2:$E$103,MATCH(C881,'Qida bazası'!$A$2:$A$103,0))*D881/100,"?"))</f>
        <v/>
      </c>
      <c r="G881" s="19">
        <f>IF(OR(C881="",D881=""),"",IFERROR(INDEX('Qida bazası'!$F$2:$F$103,MATCH(C881,'Qida bazası'!$A$2:$A$103,0))*D881/100,"?"))</f>
        <v/>
      </c>
      <c r="H881" s="19">
        <f>IF(OR(C881="",D881=""),"",IFERROR(INDEX('Qida bazası'!$G$2:$G$103,MATCH(C881,'Qida bazası'!$A$2:$A$103,0))*D881/100,"?"))</f>
        <v/>
      </c>
    </row>
    <row r="882">
      <c r="A882" s="21" t="n"/>
      <c r="E882" s="18">
        <f>IF(OR(C882="",D882=""),"",IFERROR(INDEX('Qida bazası'!$D$2:$D$103,MATCH(C882,'Qida bazası'!$A$2:$A$103,0))*D882/100,"?"))</f>
        <v/>
      </c>
      <c r="F882" s="19">
        <f>IF(OR(C882="",D882=""),"",IFERROR(INDEX('Qida bazası'!$E$2:$E$103,MATCH(C882,'Qida bazası'!$A$2:$A$103,0))*D882/100,"?"))</f>
        <v/>
      </c>
      <c r="G882" s="19">
        <f>IF(OR(C882="",D882=""),"",IFERROR(INDEX('Qida bazası'!$F$2:$F$103,MATCH(C882,'Qida bazası'!$A$2:$A$103,0))*D882/100,"?"))</f>
        <v/>
      </c>
      <c r="H882" s="19">
        <f>IF(OR(C882="",D882=""),"",IFERROR(INDEX('Qida bazası'!$G$2:$G$103,MATCH(C882,'Qida bazası'!$A$2:$A$103,0))*D882/100,"?"))</f>
        <v/>
      </c>
    </row>
    <row r="883">
      <c r="A883" s="21" t="n"/>
      <c r="E883" s="18">
        <f>IF(OR(C883="",D883=""),"",IFERROR(INDEX('Qida bazası'!$D$2:$D$103,MATCH(C883,'Qida bazası'!$A$2:$A$103,0))*D883/100,"?"))</f>
        <v/>
      </c>
      <c r="F883" s="19">
        <f>IF(OR(C883="",D883=""),"",IFERROR(INDEX('Qida bazası'!$E$2:$E$103,MATCH(C883,'Qida bazası'!$A$2:$A$103,0))*D883/100,"?"))</f>
        <v/>
      </c>
      <c r="G883" s="19">
        <f>IF(OR(C883="",D883=""),"",IFERROR(INDEX('Qida bazası'!$F$2:$F$103,MATCH(C883,'Qida bazası'!$A$2:$A$103,0))*D883/100,"?"))</f>
        <v/>
      </c>
      <c r="H883" s="19">
        <f>IF(OR(C883="",D883=""),"",IFERROR(INDEX('Qida bazası'!$G$2:$G$103,MATCH(C883,'Qida bazası'!$A$2:$A$103,0))*D883/100,"?"))</f>
        <v/>
      </c>
    </row>
    <row r="884">
      <c r="A884" s="21" t="n"/>
      <c r="E884" s="18">
        <f>IF(OR(C884="",D884=""),"",IFERROR(INDEX('Qida bazası'!$D$2:$D$103,MATCH(C884,'Qida bazası'!$A$2:$A$103,0))*D884/100,"?"))</f>
        <v/>
      </c>
      <c r="F884" s="19">
        <f>IF(OR(C884="",D884=""),"",IFERROR(INDEX('Qida bazası'!$E$2:$E$103,MATCH(C884,'Qida bazası'!$A$2:$A$103,0))*D884/100,"?"))</f>
        <v/>
      </c>
      <c r="G884" s="19">
        <f>IF(OR(C884="",D884=""),"",IFERROR(INDEX('Qida bazası'!$F$2:$F$103,MATCH(C884,'Qida bazası'!$A$2:$A$103,0))*D884/100,"?"))</f>
        <v/>
      </c>
      <c r="H884" s="19">
        <f>IF(OR(C884="",D884=""),"",IFERROR(INDEX('Qida bazası'!$G$2:$G$103,MATCH(C884,'Qida bazası'!$A$2:$A$103,0))*D884/100,"?"))</f>
        <v/>
      </c>
    </row>
    <row r="885">
      <c r="A885" s="21" t="n"/>
      <c r="E885" s="18">
        <f>IF(OR(C885="",D885=""),"",IFERROR(INDEX('Qida bazası'!$D$2:$D$103,MATCH(C885,'Qida bazası'!$A$2:$A$103,0))*D885/100,"?"))</f>
        <v/>
      </c>
      <c r="F885" s="19">
        <f>IF(OR(C885="",D885=""),"",IFERROR(INDEX('Qida bazası'!$E$2:$E$103,MATCH(C885,'Qida bazası'!$A$2:$A$103,0))*D885/100,"?"))</f>
        <v/>
      </c>
      <c r="G885" s="19">
        <f>IF(OR(C885="",D885=""),"",IFERROR(INDEX('Qida bazası'!$F$2:$F$103,MATCH(C885,'Qida bazası'!$A$2:$A$103,0))*D885/100,"?"))</f>
        <v/>
      </c>
      <c r="H885" s="19">
        <f>IF(OR(C885="",D885=""),"",IFERROR(INDEX('Qida bazası'!$G$2:$G$103,MATCH(C885,'Qida bazası'!$A$2:$A$103,0))*D885/100,"?"))</f>
        <v/>
      </c>
    </row>
    <row r="886">
      <c r="A886" s="21" t="n"/>
      <c r="E886" s="18">
        <f>IF(OR(C886="",D886=""),"",IFERROR(INDEX('Qida bazası'!$D$2:$D$103,MATCH(C886,'Qida bazası'!$A$2:$A$103,0))*D886/100,"?"))</f>
        <v/>
      </c>
      <c r="F886" s="19">
        <f>IF(OR(C886="",D886=""),"",IFERROR(INDEX('Qida bazası'!$E$2:$E$103,MATCH(C886,'Qida bazası'!$A$2:$A$103,0))*D886/100,"?"))</f>
        <v/>
      </c>
      <c r="G886" s="19">
        <f>IF(OR(C886="",D886=""),"",IFERROR(INDEX('Qida bazası'!$F$2:$F$103,MATCH(C886,'Qida bazası'!$A$2:$A$103,0))*D886/100,"?"))</f>
        <v/>
      </c>
      <c r="H886" s="19">
        <f>IF(OR(C886="",D886=""),"",IFERROR(INDEX('Qida bazası'!$G$2:$G$103,MATCH(C886,'Qida bazası'!$A$2:$A$103,0))*D886/100,"?"))</f>
        <v/>
      </c>
    </row>
    <row r="887">
      <c r="A887" s="21" t="n"/>
      <c r="E887" s="18">
        <f>IF(OR(C887="",D887=""),"",IFERROR(INDEX('Qida bazası'!$D$2:$D$103,MATCH(C887,'Qida bazası'!$A$2:$A$103,0))*D887/100,"?"))</f>
        <v/>
      </c>
      <c r="F887" s="19">
        <f>IF(OR(C887="",D887=""),"",IFERROR(INDEX('Qida bazası'!$E$2:$E$103,MATCH(C887,'Qida bazası'!$A$2:$A$103,0))*D887/100,"?"))</f>
        <v/>
      </c>
      <c r="G887" s="19">
        <f>IF(OR(C887="",D887=""),"",IFERROR(INDEX('Qida bazası'!$F$2:$F$103,MATCH(C887,'Qida bazası'!$A$2:$A$103,0))*D887/100,"?"))</f>
        <v/>
      </c>
      <c r="H887" s="19">
        <f>IF(OR(C887="",D887=""),"",IFERROR(INDEX('Qida bazası'!$G$2:$G$103,MATCH(C887,'Qida bazası'!$A$2:$A$103,0))*D887/100,"?"))</f>
        <v/>
      </c>
    </row>
    <row r="888">
      <c r="A888" s="21" t="n"/>
      <c r="E888" s="18">
        <f>IF(OR(C888="",D888=""),"",IFERROR(INDEX('Qida bazası'!$D$2:$D$103,MATCH(C888,'Qida bazası'!$A$2:$A$103,0))*D888/100,"?"))</f>
        <v/>
      </c>
      <c r="F888" s="19">
        <f>IF(OR(C888="",D888=""),"",IFERROR(INDEX('Qida bazası'!$E$2:$E$103,MATCH(C888,'Qida bazası'!$A$2:$A$103,0))*D888/100,"?"))</f>
        <v/>
      </c>
      <c r="G888" s="19">
        <f>IF(OR(C888="",D888=""),"",IFERROR(INDEX('Qida bazası'!$F$2:$F$103,MATCH(C888,'Qida bazası'!$A$2:$A$103,0))*D888/100,"?"))</f>
        <v/>
      </c>
      <c r="H888" s="19">
        <f>IF(OR(C888="",D888=""),"",IFERROR(INDEX('Qida bazası'!$G$2:$G$103,MATCH(C888,'Qida bazası'!$A$2:$A$103,0))*D888/100,"?"))</f>
        <v/>
      </c>
    </row>
    <row r="889">
      <c r="A889" s="21" t="n"/>
      <c r="E889" s="18">
        <f>IF(OR(C889="",D889=""),"",IFERROR(INDEX('Qida bazası'!$D$2:$D$103,MATCH(C889,'Qida bazası'!$A$2:$A$103,0))*D889/100,"?"))</f>
        <v/>
      </c>
      <c r="F889" s="19">
        <f>IF(OR(C889="",D889=""),"",IFERROR(INDEX('Qida bazası'!$E$2:$E$103,MATCH(C889,'Qida bazası'!$A$2:$A$103,0))*D889/100,"?"))</f>
        <v/>
      </c>
      <c r="G889" s="19">
        <f>IF(OR(C889="",D889=""),"",IFERROR(INDEX('Qida bazası'!$F$2:$F$103,MATCH(C889,'Qida bazası'!$A$2:$A$103,0))*D889/100,"?"))</f>
        <v/>
      </c>
      <c r="H889" s="19">
        <f>IF(OR(C889="",D889=""),"",IFERROR(INDEX('Qida bazası'!$G$2:$G$103,MATCH(C889,'Qida bazası'!$A$2:$A$103,0))*D889/100,"?"))</f>
        <v/>
      </c>
    </row>
    <row r="890">
      <c r="A890" s="21" t="n"/>
      <c r="E890" s="18">
        <f>IF(OR(C890="",D890=""),"",IFERROR(INDEX('Qida bazası'!$D$2:$D$103,MATCH(C890,'Qida bazası'!$A$2:$A$103,0))*D890/100,"?"))</f>
        <v/>
      </c>
      <c r="F890" s="19">
        <f>IF(OR(C890="",D890=""),"",IFERROR(INDEX('Qida bazası'!$E$2:$E$103,MATCH(C890,'Qida bazası'!$A$2:$A$103,0))*D890/100,"?"))</f>
        <v/>
      </c>
      <c r="G890" s="19">
        <f>IF(OR(C890="",D890=""),"",IFERROR(INDEX('Qida bazası'!$F$2:$F$103,MATCH(C890,'Qida bazası'!$A$2:$A$103,0))*D890/100,"?"))</f>
        <v/>
      </c>
      <c r="H890" s="19">
        <f>IF(OR(C890="",D890=""),"",IFERROR(INDEX('Qida bazası'!$G$2:$G$103,MATCH(C890,'Qida bazası'!$A$2:$A$103,0))*D890/100,"?"))</f>
        <v/>
      </c>
    </row>
    <row r="891">
      <c r="A891" s="21" t="n"/>
      <c r="E891" s="18">
        <f>IF(OR(C891="",D891=""),"",IFERROR(INDEX('Qida bazası'!$D$2:$D$103,MATCH(C891,'Qida bazası'!$A$2:$A$103,0))*D891/100,"?"))</f>
        <v/>
      </c>
      <c r="F891" s="19">
        <f>IF(OR(C891="",D891=""),"",IFERROR(INDEX('Qida bazası'!$E$2:$E$103,MATCH(C891,'Qida bazası'!$A$2:$A$103,0))*D891/100,"?"))</f>
        <v/>
      </c>
      <c r="G891" s="19">
        <f>IF(OR(C891="",D891=""),"",IFERROR(INDEX('Qida bazası'!$F$2:$F$103,MATCH(C891,'Qida bazası'!$A$2:$A$103,0))*D891/100,"?"))</f>
        <v/>
      </c>
      <c r="H891" s="19">
        <f>IF(OR(C891="",D891=""),"",IFERROR(INDEX('Qida bazası'!$G$2:$G$103,MATCH(C891,'Qida bazası'!$A$2:$A$103,0))*D891/100,"?"))</f>
        <v/>
      </c>
    </row>
    <row r="892">
      <c r="A892" s="21" t="n"/>
      <c r="E892" s="18">
        <f>IF(OR(C892="",D892=""),"",IFERROR(INDEX('Qida bazası'!$D$2:$D$103,MATCH(C892,'Qida bazası'!$A$2:$A$103,0))*D892/100,"?"))</f>
        <v/>
      </c>
      <c r="F892" s="19">
        <f>IF(OR(C892="",D892=""),"",IFERROR(INDEX('Qida bazası'!$E$2:$E$103,MATCH(C892,'Qida bazası'!$A$2:$A$103,0))*D892/100,"?"))</f>
        <v/>
      </c>
      <c r="G892" s="19">
        <f>IF(OR(C892="",D892=""),"",IFERROR(INDEX('Qida bazası'!$F$2:$F$103,MATCH(C892,'Qida bazası'!$A$2:$A$103,0))*D892/100,"?"))</f>
        <v/>
      </c>
      <c r="H892" s="19">
        <f>IF(OR(C892="",D892=""),"",IFERROR(INDEX('Qida bazası'!$G$2:$G$103,MATCH(C892,'Qida bazası'!$A$2:$A$103,0))*D892/100,"?"))</f>
        <v/>
      </c>
    </row>
    <row r="893">
      <c r="A893" s="21" t="n"/>
      <c r="E893" s="18">
        <f>IF(OR(C893="",D893=""),"",IFERROR(INDEX('Qida bazası'!$D$2:$D$103,MATCH(C893,'Qida bazası'!$A$2:$A$103,0))*D893/100,"?"))</f>
        <v/>
      </c>
      <c r="F893" s="19">
        <f>IF(OR(C893="",D893=""),"",IFERROR(INDEX('Qida bazası'!$E$2:$E$103,MATCH(C893,'Qida bazası'!$A$2:$A$103,0))*D893/100,"?"))</f>
        <v/>
      </c>
      <c r="G893" s="19">
        <f>IF(OR(C893="",D893=""),"",IFERROR(INDEX('Qida bazası'!$F$2:$F$103,MATCH(C893,'Qida bazası'!$A$2:$A$103,0))*D893/100,"?"))</f>
        <v/>
      </c>
      <c r="H893" s="19">
        <f>IF(OR(C893="",D893=""),"",IFERROR(INDEX('Qida bazası'!$G$2:$G$103,MATCH(C893,'Qida bazası'!$A$2:$A$103,0))*D893/100,"?"))</f>
        <v/>
      </c>
    </row>
    <row r="894">
      <c r="A894" s="21" t="n"/>
      <c r="E894" s="18">
        <f>IF(OR(C894="",D894=""),"",IFERROR(INDEX('Qida bazası'!$D$2:$D$103,MATCH(C894,'Qida bazası'!$A$2:$A$103,0))*D894/100,"?"))</f>
        <v/>
      </c>
      <c r="F894" s="19">
        <f>IF(OR(C894="",D894=""),"",IFERROR(INDEX('Qida bazası'!$E$2:$E$103,MATCH(C894,'Qida bazası'!$A$2:$A$103,0))*D894/100,"?"))</f>
        <v/>
      </c>
      <c r="G894" s="19">
        <f>IF(OR(C894="",D894=""),"",IFERROR(INDEX('Qida bazası'!$F$2:$F$103,MATCH(C894,'Qida bazası'!$A$2:$A$103,0))*D894/100,"?"))</f>
        <v/>
      </c>
      <c r="H894" s="19">
        <f>IF(OR(C894="",D894=""),"",IFERROR(INDEX('Qida bazası'!$G$2:$G$103,MATCH(C894,'Qida bazası'!$A$2:$A$103,0))*D894/100,"?"))</f>
        <v/>
      </c>
    </row>
    <row r="895">
      <c r="A895" s="21" t="n"/>
      <c r="E895" s="18">
        <f>IF(OR(C895="",D895=""),"",IFERROR(INDEX('Qida bazası'!$D$2:$D$103,MATCH(C895,'Qida bazası'!$A$2:$A$103,0))*D895/100,"?"))</f>
        <v/>
      </c>
      <c r="F895" s="19">
        <f>IF(OR(C895="",D895=""),"",IFERROR(INDEX('Qida bazası'!$E$2:$E$103,MATCH(C895,'Qida bazası'!$A$2:$A$103,0))*D895/100,"?"))</f>
        <v/>
      </c>
      <c r="G895" s="19">
        <f>IF(OR(C895="",D895=""),"",IFERROR(INDEX('Qida bazası'!$F$2:$F$103,MATCH(C895,'Qida bazası'!$A$2:$A$103,0))*D895/100,"?"))</f>
        <v/>
      </c>
      <c r="H895" s="19">
        <f>IF(OR(C895="",D895=""),"",IFERROR(INDEX('Qida bazası'!$G$2:$G$103,MATCH(C895,'Qida bazası'!$A$2:$A$103,0))*D895/100,"?"))</f>
        <v/>
      </c>
    </row>
    <row r="896">
      <c r="A896" s="21" t="n"/>
      <c r="E896" s="18">
        <f>IF(OR(C896="",D896=""),"",IFERROR(INDEX('Qida bazası'!$D$2:$D$103,MATCH(C896,'Qida bazası'!$A$2:$A$103,0))*D896/100,"?"))</f>
        <v/>
      </c>
      <c r="F896" s="19">
        <f>IF(OR(C896="",D896=""),"",IFERROR(INDEX('Qida bazası'!$E$2:$E$103,MATCH(C896,'Qida bazası'!$A$2:$A$103,0))*D896/100,"?"))</f>
        <v/>
      </c>
      <c r="G896" s="19">
        <f>IF(OR(C896="",D896=""),"",IFERROR(INDEX('Qida bazası'!$F$2:$F$103,MATCH(C896,'Qida bazası'!$A$2:$A$103,0))*D896/100,"?"))</f>
        <v/>
      </c>
      <c r="H896" s="19">
        <f>IF(OR(C896="",D896=""),"",IFERROR(INDEX('Qida bazası'!$G$2:$G$103,MATCH(C896,'Qida bazası'!$A$2:$A$103,0))*D896/100,"?"))</f>
        <v/>
      </c>
    </row>
    <row r="897">
      <c r="A897" s="21" t="n"/>
      <c r="E897" s="18">
        <f>IF(OR(C897="",D897=""),"",IFERROR(INDEX('Qida bazası'!$D$2:$D$103,MATCH(C897,'Qida bazası'!$A$2:$A$103,0))*D897/100,"?"))</f>
        <v/>
      </c>
      <c r="F897" s="19">
        <f>IF(OR(C897="",D897=""),"",IFERROR(INDEX('Qida bazası'!$E$2:$E$103,MATCH(C897,'Qida bazası'!$A$2:$A$103,0))*D897/100,"?"))</f>
        <v/>
      </c>
      <c r="G897" s="19">
        <f>IF(OR(C897="",D897=""),"",IFERROR(INDEX('Qida bazası'!$F$2:$F$103,MATCH(C897,'Qida bazası'!$A$2:$A$103,0))*D897/100,"?"))</f>
        <v/>
      </c>
      <c r="H897" s="19">
        <f>IF(OR(C897="",D897=""),"",IFERROR(INDEX('Qida bazası'!$G$2:$G$103,MATCH(C897,'Qida bazası'!$A$2:$A$103,0))*D897/100,"?"))</f>
        <v/>
      </c>
    </row>
    <row r="898">
      <c r="A898" s="21" t="n"/>
      <c r="E898" s="18">
        <f>IF(OR(C898="",D898=""),"",IFERROR(INDEX('Qida bazası'!$D$2:$D$103,MATCH(C898,'Qida bazası'!$A$2:$A$103,0))*D898/100,"?"))</f>
        <v/>
      </c>
      <c r="F898" s="19">
        <f>IF(OR(C898="",D898=""),"",IFERROR(INDEX('Qida bazası'!$E$2:$E$103,MATCH(C898,'Qida bazası'!$A$2:$A$103,0))*D898/100,"?"))</f>
        <v/>
      </c>
      <c r="G898" s="19">
        <f>IF(OR(C898="",D898=""),"",IFERROR(INDEX('Qida bazası'!$F$2:$F$103,MATCH(C898,'Qida bazası'!$A$2:$A$103,0))*D898/100,"?"))</f>
        <v/>
      </c>
      <c r="H898" s="19">
        <f>IF(OR(C898="",D898=""),"",IFERROR(INDEX('Qida bazası'!$G$2:$G$103,MATCH(C898,'Qida bazası'!$A$2:$A$103,0))*D898/100,"?"))</f>
        <v/>
      </c>
    </row>
    <row r="899">
      <c r="A899" s="21" t="n"/>
      <c r="E899" s="18">
        <f>IF(OR(C899="",D899=""),"",IFERROR(INDEX('Qida bazası'!$D$2:$D$103,MATCH(C899,'Qida bazası'!$A$2:$A$103,0))*D899/100,"?"))</f>
        <v/>
      </c>
      <c r="F899" s="19">
        <f>IF(OR(C899="",D899=""),"",IFERROR(INDEX('Qida bazası'!$E$2:$E$103,MATCH(C899,'Qida bazası'!$A$2:$A$103,0))*D899/100,"?"))</f>
        <v/>
      </c>
      <c r="G899" s="19">
        <f>IF(OR(C899="",D899=""),"",IFERROR(INDEX('Qida bazası'!$F$2:$F$103,MATCH(C899,'Qida bazası'!$A$2:$A$103,0))*D899/100,"?"))</f>
        <v/>
      </c>
      <c r="H899" s="19">
        <f>IF(OR(C899="",D899=""),"",IFERROR(INDEX('Qida bazası'!$G$2:$G$103,MATCH(C899,'Qida bazası'!$A$2:$A$103,0))*D899/100,"?"))</f>
        <v/>
      </c>
    </row>
    <row r="900">
      <c r="A900" s="21" t="n"/>
      <c r="E900" s="18">
        <f>IF(OR(C900="",D900=""),"",IFERROR(INDEX('Qida bazası'!$D$2:$D$103,MATCH(C900,'Qida bazası'!$A$2:$A$103,0))*D900/100,"?"))</f>
        <v/>
      </c>
      <c r="F900" s="19">
        <f>IF(OR(C900="",D900=""),"",IFERROR(INDEX('Qida bazası'!$E$2:$E$103,MATCH(C900,'Qida bazası'!$A$2:$A$103,0))*D900/100,"?"))</f>
        <v/>
      </c>
      <c r="G900" s="19">
        <f>IF(OR(C900="",D900=""),"",IFERROR(INDEX('Qida bazası'!$F$2:$F$103,MATCH(C900,'Qida bazası'!$A$2:$A$103,0))*D900/100,"?"))</f>
        <v/>
      </c>
      <c r="H900" s="19">
        <f>IF(OR(C900="",D900=""),"",IFERROR(INDEX('Qida bazası'!$G$2:$G$103,MATCH(C900,'Qida bazası'!$A$2:$A$103,0))*D900/100,"?"))</f>
        <v/>
      </c>
    </row>
    <row r="901">
      <c r="A901" s="21" t="n"/>
      <c r="E901" s="18">
        <f>IF(OR(C901="",D901=""),"",IFERROR(INDEX('Qida bazası'!$D$2:$D$103,MATCH(C901,'Qida bazası'!$A$2:$A$103,0))*D901/100,"?"))</f>
        <v/>
      </c>
      <c r="F901" s="19">
        <f>IF(OR(C901="",D901=""),"",IFERROR(INDEX('Qida bazası'!$E$2:$E$103,MATCH(C901,'Qida bazası'!$A$2:$A$103,0))*D901/100,"?"))</f>
        <v/>
      </c>
      <c r="G901" s="19">
        <f>IF(OR(C901="",D901=""),"",IFERROR(INDEX('Qida bazası'!$F$2:$F$103,MATCH(C901,'Qida bazası'!$A$2:$A$103,0))*D901/100,"?"))</f>
        <v/>
      </c>
      <c r="H901" s="19">
        <f>IF(OR(C901="",D901=""),"",IFERROR(INDEX('Qida bazası'!$G$2:$G$103,MATCH(C901,'Qida bazası'!$A$2:$A$103,0))*D901/100,"?"))</f>
        <v/>
      </c>
    </row>
    <row r="902">
      <c r="A902" s="21" t="n"/>
      <c r="E902" s="18">
        <f>IF(OR(C902="",D902=""),"",IFERROR(INDEX('Qida bazası'!$D$2:$D$103,MATCH(C902,'Qida bazası'!$A$2:$A$103,0))*D902/100,"?"))</f>
        <v/>
      </c>
      <c r="F902" s="19">
        <f>IF(OR(C902="",D902=""),"",IFERROR(INDEX('Qida bazası'!$E$2:$E$103,MATCH(C902,'Qida bazası'!$A$2:$A$103,0))*D902/100,"?"))</f>
        <v/>
      </c>
      <c r="G902" s="19">
        <f>IF(OR(C902="",D902=""),"",IFERROR(INDEX('Qida bazası'!$F$2:$F$103,MATCH(C902,'Qida bazası'!$A$2:$A$103,0))*D902/100,"?"))</f>
        <v/>
      </c>
      <c r="H902" s="19">
        <f>IF(OR(C902="",D902=""),"",IFERROR(INDEX('Qida bazası'!$G$2:$G$103,MATCH(C902,'Qida bazası'!$A$2:$A$103,0))*D902/100,"?"))</f>
        <v/>
      </c>
    </row>
    <row r="903">
      <c r="A903" s="21" t="n"/>
      <c r="E903" s="18">
        <f>IF(OR(C903="",D903=""),"",IFERROR(INDEX('Qida bazası'!$D$2:$D$103,MATCH(C903,'Qida bazası'!$A$2:$A$103,0))*D903/100,"?"))</f>
        <v/>
      </c>
      <c r="F903" s="19">
        <f>IF(OR(C903="",D903=""),"",IFERROR(INDEX('Qida bazası'!$E$2:$E$103,MATCH(C903,'Qida bazası'!$A$2:$A$103,0))*D903/100,"?"))</f>
        <v/>
      </c>
      <c r="G903" s="19">
        <f>IF(OR(C903="",D903=""),"",IFERROR(INDEX('Qida bazası'!$F$2:$F$103,MATCH(C903,'Qida bazası'!$A$2:$A$103,0))*D903/100,"?"))</f>
        <v/>
      </c>
      <c r="H903" s="19">
        <f>IF(OR(C903="",D903=""),"",IFERROR(INDEX('Qida bazası'!$G$2:$G$103,MATCH(C903,'Qida bazası'!$A$2:$A$103,0))*D903/100,"?"))</f>
        <v/>
      </c>
    </row>
    <row r="904">
      <c r="A904" s="21" t="n"/>
      <c r="E904" s="18">
        <f>IF(OR(C904="",D904=""),"",IFERROR(INDEX('Qida bazası'!$D$2:$D$103,MATCH(C904,'Qida bazası'!$A$2:$A$103,0))*D904/100,"?"))</f>
        <v/>
      </c>
      <c r="F904" s="19">
        <f>IF(OR(C904="",D904=""),"",IFERROR(INDEX('Qida bazası'!$E$2:$E$103,MATCH(C904,'Qida bazası'!$A$2:$A$103,0))*D904/100,"?"))</f>
        <v/>
      </c>
      <c r="G904" s="19">
        <f>IF(OR(C904="",D904=""),"",IFERROR(INDEX('Qida bazası'!$F$2:$F$103,MATCH(C904,'Qida bazası'!$A$2:$A$103,0))*D904/100,"?"))</f>
        <v/>
      </c>
      <c r="H904" s="19">
        <f>IF(OR(C904="",D904=""),"",IFERROR(INDEX('Qida bazası'!$G$2:$G$103,MATCH(C904,'Qida bazası'!$A$2:$A$103,0))*D904/100,"?"))</f>
        <v/>
      </c>
    </row>
    <row r="905">
      <c r="A905" s="21" t="n"/>
      <c r="E905" s="18">
        <f>IF(OR(C905="",D905=""),"",IFERROR(INDEX('Qida bazası'!$D$2:$D$103,MATCH(C905,'Qida bazası'!$A$2:$A$103,0))*D905/100,"?"))</f>
        <v/>
      </c>
      <c r="F905" s="19">
        <f>IF(OR(C905="",D905=""),"",IFERROR(INDEX('Qida bazası'!$E$2:$E$103,MATCH(C905,'Qida bazası'!$A$2:$A$103,0))*D905/100,"?"))</f>
        <v/>
      </c>
      <c r="G905" s="19">
        <f>IF(OR(C905="",D905=""),"",IFERROR(INDEX('Qida bazası'!$F$2:$F$103,MATCH(C905,'Qida bazası'!$A$2:$A$103,0))*D905/100,"?"))</f>
        <v/>
      </c>
      <c r="H905" s="19">
        <f>IF(OR(C905="",D905=""),"",IFERROR(INDEX('Qida bazası'!$G$2:$G$103,MATCH(C905,'Qida bazası'!$A$2:$A$103,0))*D905/100,"?"))</f>
        <v/>
      </c>
    </row>
    <row r="906">
      <c r="A906" s="21" t="n"/>
      <c r="E906" s="18">
        <f>IF(OR(C906="",D906=""),"",IFERROR(INDEX('Qida bazası'!$D$2:$D$103,MATCH(C906,'Qida bazası'!$A$2:$A$103,0))*D906/100,"?"))</f>
        <v/>
      </c>
      <c r="F906" s="19">
        <f>IF(OR(C906="",D906=""),"",IFERROR(INDEX('Qida bazası'!$E$2:$E$103,MATCH(C906,'Qida bazası'!$A$2:$A$103,0))*D906/100,"?"))</f>
        <v/>
      </c>
      <c r="G906" s="19">
        <f>IF(OR(C906="",D906=""),"",IFERROR(INDEX('Qida bazası'!$F$2:$F$103,MATCH(C906,'Qida bazası'!$A$2:$A$103,0))*D906/100,"?"))</f>
        <v/>
      </c>
      <c r="H906" s="19">
        <f>IF(OR(C906="",D906=""),"",IFERROR(INDEX('Qida bazası'!$G$2:$G$103,MATCH(C906,'Qida bazası'!$A$2:$A$103,0))*D906/100,"?"))</f>
        <v/>
      </c>
    </row>
    <row r="907">
      <c r="A907" s="21" t="n"/>
      <c r="E907" s="18">
        <f>IF(OR(C907="",D907=""),"",IFERROR(INDEX('Qida bazası'!$D$2:$D$103,MATCH(C907,'Qida bazası'!$A$2:$A$103,0))*D907/100,"?"))</f>
        <v/>
      </c>
      <c r="F907" s="19">
        <f>IF(OR(C907="",D907=""),"",IFERROR(INDEX('Qida bazası'!$E$2:$E$103,MATCH(C907,'Qida bazası'!$A$2:$A$103,0))*D907/100,"?"))</f>
        <v/>
      </c>
      <c r="G907" s="19">
        <f>IF(OR(C907="",D907=""),"",IFERROR(INDEX('Qida bazası'!$F$2:$F$103,MATCH(C907,'Qida bazası'!$A$2:$A$103,0))*D907/100,"?"))</f>
        <v/>
      </c>
      <c r="H907" s="19">
        <f>IF(OR(C907="",D907=""),"",IFERROR(INDEX('Qida bazası'!$G$2:$G$103,MATCH(C907,'Qida bazası'!$A$2:$A$103,0))*D907/100,"?"))</f>
        <v/>
      </c>
    </row>
    <row r="908">
      <c r="A908" s="21" t="n"/>
      <c r="E908" s="18">
        <f>IF(OR(C908="",D908=""),"",IFERROR(INDEX('Qida bazası'!$D$2:$D$103,MATCH(C908,'Qida bazası'!$A$2:$A$103,0))*D908/100,"?"))</f>
        <v/>
      </c>
      <c r="F908" s="19">
        <f>IF(OR(C908="",D908=""),"",IFERROR(INDEX('Qida bazası'!$E$2:$E$103,MATCH(C908,'Qida bazası'!$A$2:$A$103,0))*D908/100,"?"))</f>
        <v/>
      </c>
      <c r="G908" s="19">
        <f>IF(OR(C908="",D908=""),"",IFERROR(INDEX('Qida bazası'!$F$2:$F$103,MATCH(C908,'Qida bazası'!$A$2:$A$103,0))*D908/100,"?"))</f>
        <v/>
      </c>
      <c r="H908" s="19">
        <f>IF(OR(C908="",D908=""),"",IFERROR(INDEX('Qida bazası'!$G$2:$G$103,MATCH(C908,'Qida bazası'!$A$2:$A$103,0))*D908/100,"?"))</f>
        <v/>
      </c>
    </row>
    <row r="909">
      <c r="A909" s="21" t="n"/>
      <c r="E909" s="18">
        <f>IF(OR(C909="",D909=""),"",IFERROR(INDEX('Qida bazası'!$D$2:$D$103,MATCH(C909,'Qida bazası'!$A$2:$A$103,0))*D909/100,"?"))</f>
        <v/>
      </c>
      <c r="F909" s="19">
        <f>IF(OR(C909="",D909=""),"",IFERROR(INDEX('Qida bazası'!$E$2:$E$103,MATCH(C909,'Qida bazası'!$A$2:$A$103,0))*D909/100,"?"))</f>
        <v/>
      </c>
      <c r="G909" s="19">
        <f>IF(OR(C909="",D909=""),"",IFERROR(INDEX('Qida bazası'!$F$2:$F$103,MATCH(C909,'Qida bazası'!$A$2:$A$103,0))*D909/100,"?"))</f>
        <v/>
      </c>
      <c r="H909" s="19">
        <f>IF(OR(C909="",D909=""),"",IFERROR(INDEX('Qida bazası'!$G$2:$G$103,MATCH(C909,'Qida bazası'!$A$2:$A$103,0))*D909/100,"?"))</f>
        <v/>
      </c>
    </row>
    <row r="910">
      <c r="A910" s="21" t="n"/>
      <c r="E910" s="18">
        <f>IF(OR(C910="",D910=""),"",IFERROR(INDEX('Qida bazası'!$D$2:$D$103,MATCH(C910,'Qida bazası'!$A$2:$A$103,0))*D910/100,"?"))</f>
        <v/>
      </c>
      <c r="F910" s="19">
        <f>IF(OR(C910="",D910=""),"",IFERROR(INDEX('Qida bazası'!$E$2:$E$103,MATCH(C910,'Qida bazası'!$A$2:$A$103,0))*D910/100,"?"))</f>
        <v/>
      </c>
      <c r="G910" s="19">
        <f>IF(OR(C910="",D910=""),"",IFERROR(INDEX('Qida bazası'!$F$2:$F$103,MATCH(C910,'Qida bazası'!$A$2:$A$103,0))*D910/100,"?"))</f>
        <v/>
      </c>
      <c r="H910" s="19">
        <f>IF(OR(C910="",D910=""),"",IFERROR(INDEX('Qida bazası'!$G$2:$G$103,MATCH(C910,'Qida bazası'!$A$2:$A$103,0))*D910/100,"?"))</f>
        <v/>
      </c>
    </row>
    <row r="911">
      <c r="A911" s="21" t="n"/>
      <c r="E911" s="18">
        <f>IF(OR(C911="",D911=""),"",IFERROR(INDEX('Qida bazası'!$D$2:$D$103,MATCH(C911,'Qida bazası'!$A$2:$A$103,0))*D911/100,"?"))</f>
        <v/>
      </c>
      <c r="F911" s="19">
        <f>IF(OR(C911="",D911=""),"",IFERROR(INDEX('Qida bazası'!$E$2:$E$103,MATCH(C911,'Qida bazası'!$A$2:$A$103,0))*D911/100,"?"))</f>
        <v/>
      </c>
      <c r="G911" s="19">
        <f>IF(OR(C911="",D911=""),"",IFERROR(INDEX('Qida bazası'!$F$2:$F$103,MATCH(C911,'Qida bazası'!$A$2:$A$103,0))*D911/100,"?"))</f>
        <v/>
      </c>
      <c r="H911" s="19">
        <f>IF(OR(C911="",D911=""),"",IFERROR(INDEX('Qida bazası'!$G$2:$G$103,MATCH(C911,'Qida bazası'!$A$2:$A$103,0))*D911/100,"?"))</f>
        <v/>
      </c>
    </row>
    <row r="912">
      <c r="A912" s="21" t="n"/>
      <c r="E912" s="18">
        <f>IF(OR(C912="",D912=""),"",IFERROR(INDEX('Qida bazası'!$D$2:$D$103,MATCH(C912,'Qida bazası'!$A$2:$A$103,0))*D912/100,"?"))</f>
        <v/>
      </c>
      <c r="F912" s="19">
        <f>IF(OR(C912="",D912=""),"",IFERROR(INDEX('Qida bazası'!$E$2:$E$103,MATCH(C912,'Qida bazası'!$A$2:$A$103,0))*D912/100,"?"))</f>
        <v/>
      </c>
      <c r="G912" s="19">
        <f>IF(OR(C912="",D912=""),"",IFERROR(INDEX('Qida bazası'!$F$2:$F$103,MATCH(C912,'Qida bazası'!$A$2:$A$103,0))*D912/100,"?"))</f>
        <v/>
      </c>
      <c r="H912" s="19">
        <f>IF(OR(C912="",D912=""),"",IFERROR(INDEX('Qida bazası'!$G$2:$G$103,MATCH(C912,'Qida bazası'!$A$2:$A$103,0))*D912/100,"?"))</f>
        <v/>
      </c>
    </row>
    <row r="913">
      <c r="A913" s="21" t="n"/>
      <c r="E913" s="18">
        <f>IF(OR(C913="",D913=""),"",IFERROR(INDEX('Qida bazası'!$D$2:$D$103,MATCH(C913,'Qida bazası'!$A$2:$A$103,0))*D913/100,"?"))</f>
        <v/>
      </c>
      <c r="F913" s="19">
        <f>IF(OR(C913="",D913=""),"",IFERROR(INDEX('Qida bazası'!$E$2:$E$103,MATCH(C913,'Qida bazası'!$A$2:$A$103,0))*D913/100,"?"))</f>
        <v/>
      </c>
      <c r="G913" s="19">
        <f>IF(OR(C913="",D913=""),"",IFERROR(INDEX('Qida bazası'!$F$2:$F$103,MATCH(C913,'Qida bazası'!$A$2:$A$103,0))*D913/100,"?"))</f>
        <v/>
      </c>
      <c r="H913" s="19">
        <f>IF(OR(C913="",D913=""),"",IFERROR(INDEX('Qida bazası'!$G$2:$G$103,MATCH(C913,'Qida bazası'!$A$2:$A$103,0))*D913/100,"?"))</f>
        <v/>
      </c>
    </row>
    <row r="914">
      <c r="A914" s="21" t="n"/>
      <c r="E914" s="18">
        <f>IF(OR(C914="",D914=""),"",IFERROR(INDEX('Qida bazası'!$D$2:$D$103,MATCH(C914,'Qida bazası'!$A$2:$A$103,0))*D914/100,"?"))</f>
        <v/>
      </c>
      <c r="F914" s="19">
        <f>IF(OR(C914="",D914=""),"",IFERROR(INDEX('Qida bazası'!$E$2:$E$103,MATCH(C914,'Qida bazası'!$A$2:$A$103,0))*D914/100,"?"))</f>
        <v/>
      </c>
      <c r="G914" s="19">
        <f>IF(OR(C914="",D914=""),"",IFERROR(INDEX('Qida bazası'!$F$2:$F$103,MATCH(C914,'Qida bazası'!$A$2:$A$103,0))*D914/100,"?"))</f>
        <v/>
      </c>
      <c r="H914" s="19">
        <f>IF(OR(C914="",D914=""),"",IFERROR(INDEX('Qida bazası'!$G$2:$G$103,MATCH(C914,'Qida bazası'!$A$2:$A$103,0))*D914/100,"?"))</f>
        <v/>
      </c>
    </row>
    <row r="915">
      <c r="A915" s="21" t="n"/>
      <c r="E915" s="18">
        <f>IF(OR(C915="",D915=""),"",IFERROR(INDEX('Qida bazası'!$D$2:$D$103,MATCH(C915,'Qida bazası'!$A$2:$A$103,0))*D915/100,"?"))</f>
        <v/>
      </c>
      <c r="F915" s="19">
        <f>IF(OR(C915="",D915=""),"",IFERROR(INDEX('Qida bazası'!$E$2:$E$103,MATCH(C915,'Qida bazası'!$A$2:$A$103,0))*D915/100,"?"))</f>
        <v/>
      </c>
      <c r="G915" s="19">
        <f>IF(OR(C915="",D915=""),"",IFERROR(INDEX('Qida bazası'!$F$2:$F$103,MATCH(C915,'Qida bazası'!$A$2:$A$103,0))*D915/100,"?"))</f>
        <v/>
      </c>
      <c r="H915" s="19">
        <f>IF(OR(C915="",D915=""),"",IFERROR(INDEX('Qida bazası'!$G$2:$G$103,MATCH(C915,'Qida bazası'!$A$2:$A$103,0))*D915/100,"?"))</f>
        <v/>
      </c>
    </row>
    <row r="916">
      <c r="A916" s="21" t="n"/>
      <c r="E916" s="18">
        <f>IF(OR(C916="",D916=""),"",IFERROR(INDEX('Qida bazası'!$D$2:$D$103,MATCH(C916,'Qida bazası'!$A$2:$A$103,0))*D916/100,"?"))</f>
        <v/>
      </c>
      <c r="F916" s="19">
        <f>IF(OR(C916="",D916=""),"",IFERROR(INDEX('Qida bazası'!$E$2:$E$103,MATCH(C916,'Qida bazası'!$A$2:$A$103,0))*D916/100,"?"))</f>
        <v/>
      </c>
      <c r="G916" s="19">
        <f>IF(OR(C916="",D916=""),"",IFERROR(INDEX('Qida bazası'!$F$2:$F$103,MATCH(C916,'Qida bazası'!$A$2:$A$103,0))*D916/100,"?"))</f>
        <v/>
      </c>
      <c r="H916" s="19">
        <f>IF(OR(C916="",D916=""),"",IFERROR(INDEX('Qida bazası'!$G$2:$G$103,MATCH(C916,'Qida bazası'!$A$2:$A$103,0))*D916/100,"?"))</f>
        <v/>
      </c>
    </row>
    <row r="917">
      <c r="A917" s="21" t="n"/>
      <c r="E917" s="18">
        <f>IF(OR(C917="",D917=""),"",IFERROR(INDEX('Qida bazası'!$D$2:$D$103,MATCH(C917,'Qida bazası'!$A$2:$A$103,0))*D917/100,"?"))</f>
        <v/>
      </c>
      <c r="F917" s="19">
        <f>IF(OR(C917="",D917=""),"",IFERROR(INDEX('Qida bazası'!$E$2:$E$103,MATCH(C917,'Qida bazası'!$A$2:$A$103,0))*D917/100,"?"))</f>
        <v/>
      </c>
      <c r="G917" s="19">
        <f>IF(OR(C917="",D917=""),"",IFERROR(INDEX('Qida bazası'!$F$2:$F$103,MATCH(C917,'Qida bazası'!$A$2:$A$103,0))*D917/100,"?"))</f>
        <v/>
      </c>
      <c r="H917" s="19">
        <f>IF(OR(C917="",D917=""),"",IFERROR(INDEX('Qida bazası'!$G$2:$G$103,MATCH(C917,'Qida bazası'!$A$2:$A$103,0))*D917/100,"?"))</f>
        <v/>
      </c>
    </row>
    <row r="918">
      <c r="A918" s="21" t="n"/>
      <c r="E918" s="18">
        <f>IF(OR(C918="",D918=""),"",IFERROR(INDEX('Qida bazası'!$D$2:$D$103,MATCH(C918,'Qida bazası'!$A$2:$A$103,0))*D918/100,"?"))</f>
        <v/>
      </c>
      <c r="F918" s="19">
        <f>IF(OR(C918="",D918=""),"",IFERROR(INDEX('Qida bazası'!$E$2:$E$103,MATCH(C918,'Qida bazası'!$A$2:$A$103,0))*D918/100,"?"))</f>
        <v/>
      </c>
      <c r="G918" s="19">
        <f>IF(OR(C918="",D918=""),"",IFERROR(INDEX('Qida bazası'!$F$2:$F$103,MATCH(C918,'Qida bazası'!$A$2:$A$103,0))*D918/100,"?"))</f>
        <v/>
      </c>
      <c r="H918" s="19">
        <f>IF(OR(C918="",D918=""),"",IFERROR(INDEX('Qida bazası'!$G$2:$G$103,MATCH(C918,'Qida bazası'!$A$2:$A$103,0))*D918/100,"?"))</f>
        <v/>
      </c>
    </row>
    <row r="919">
      <c r="A919" s="21" t="n"/>
      <c r="E919" s="18">
        <f>IF(OR(C919="",D919=""),"",IFERROR(INDEX('Qida bazası'!$D$2:$D$103,MATCH(C919,'Qida bazası'!$A$2:$A$103,0))*D919/100,"?"))</f>
        <v/>
      </c>
      <c r="F919" s="19">
        <f>IF(OR(C919="",D919=""),"",IFERROR(INDEX('Qida bazası'!$E$2:$E$103,MATCH(C919,'Qida bazası'!$A$2:$A$103,0))*D919/100,"?"))</f>
        <v/>
      </c>
      <c r="G919" s="19">
        <f>IF(OR(C919="",D919=""),"",IFERROR(INDEX('Qida bazası'!$F$2:$F$103,MATCH(C919,'Qida bazası'!$A$2:$A$103,0))*D919/100,"?"))</f>
        <v/>
      </c>
      <c r="H919" s="19">
        <f>IF(OR(C919="",D919=""),"",IFERROR(INDEX('Qida bazası'!$G$2:$G$103,MATCH(C919,'Qida bazası'!$A$2:$A$103,0))*D919/100,"?"))</f>
        <v/>
      </c>
    </row>
    <row r="920">
      <c r="A920" s="21" t="n"/>
      <c r="E920" s="18">
        <f>IF(OR(C920="",D920=""),"",IFERROR(INDEX('Qida bazası'!$D$2:$D$103,MATCH(C920,'Qida bazası'!$A$2:$A$103,0))*D920/100,"?"))</f>
        <v/>
      </c>
      <c r="F920" s="19">
        <f>IF(OR(C920="",D920=""),"",IFERROR(INDEX('Qida bazası'!$E$2:$E$103,MATCH(C920,'Qida bazası'!$A$2:$A$103,0))*D920/100,"?"))</f>
        <v/>
      </c>
      <c r="G920" s="19">
        <f>IF(OR(C920="",D920=""),"",IFERROR(INDEX('Qida bazası'!$F$2:$F$103,MATCH(C920,'Qida bazası'!$A$2:$A$103,0))*D920/100,"?"))</f>
        <v/>
      </c>
      <c r="H920" s="19">
        <f>IF(OR(C920="",D920=""),"",IFERROR(INDEX('Qida bazası'!$G$2:$G$103,MATCH(C920,'Qida bazası'!$A$2:$A$103,0))*D920/100,"?"))</f>
        <v/>
      </c>
    </row>
    <row r="921">
      <c r="A921" s="21" t="n"/>
      <c r="E921" s="18">
        <f>IF(OR(C921="",D921=""),"",IFERROR(INDEX('Qida bazası'!$D$2:$D$103,MATCH(C921,'Qida bazası'!$A$2:$A$103,0))*D921/100,"?"))</f>
        <v/>
      </c>
      <c r="F921" s="19">
        <f>IF(OR(C921="",D921=""),"",IFERROR(INDEX('Qida bazası'!$E$2:$E$103,MATCH(C921,'Qida bazası'!$A$2:$A$103,0))*D921/100,"?"))</f>
        <v/>
      </c>
      <c r="G921" s="19">
        <f>IF(OR(C921="",D921=""),"",IFERROR(INDEX('Qida bazası'!$F$2:$F$103,MATCH(C921,'Qida bazası'!$A$2:$A$103,0))*D921/100,"?"))</f>
        <v/>
      </c>
      <c r="H921" s="19">
        <f>IF(OR(C921="",D921=""),"",IFERROR(INDEX('Qida bazası'!$G$2:$G$103,MATCH(C921,'Qida bazası'!$A$2:$A$103,0))*D921/100,"?"))</f>
        <v/>
      </c>
    </row>
    <row r="922">
      <c r="A922" s="21" t="n"/>
      <c r="E922" s="18">
        <f>IF(OR(C922="",D922=""),"",IFERROR(INDEX('Qida bazası'!$D$2:$D$103,MATCH(C922,'Qida bazası'!$A$2:$A$103,0))*D922/100,"?"))</f>
        <v/>
      </c>
      <c r="F922" s="19">
        <f>IF(OR(C922="",D922=""),"",IFERROR(INDEX('Qida bazası'!$E$2:$E$103,MATCH(C922,'Qida bazası'!$A$2:$A$103,0))*D922/100,"?"))</f>
        <v/>
      </c>
      <c r="G922" s="19">
        <f>IF(OR(C922="",D922=""),"",IFERROR(INDEX('Qida bazası'!$F$2:$F$103,MATCH(C922,'Qida bazası'!$A$2:$A$103,0))*D922/100,"?"))</f>
        <v/>
      </c>
      <c r="H922" s="19">
        <f>IF(OR(C922="",D922=""),"",IFERROR(INDEX('Qida bazası'!$G$2:$G$103,MATCH(C922,'Qida bazası'!$A$2:$A$103,0))*D922/100,"?"))</f>
        <v/>
      </c>
    </row>
    <row r="923">
      <c r="A923" s="21" t="n"/>
      <c r="E923" s="18">
        <f>IF(OR(C923="",D923=""),"",IFERROR(INDEX('Qida bazası'!$D$2:$D$103,MATCH(C923,'Qida bazası'!$A$2:$A$103,0))*D923/100,"?"))</f>
        <v/>
      </c>
      <c r="F923" s="19">
        <f>IF(OR(C923="",D923=""),"",IFERROR(INDEX('Qida bazası'!$E$2:$E$103,MATCH(C923,'Qida bazası'!$A$2:$A$103,0))*D923/100,"?"))</f>
        <v/>
      </c>
      <c r="G923" s="19">
        <f>IF(OR(C923="",D923=""),"",IFERROR(INDEX('Qida bazası'!$F$2:$F$103,MATCH(C923,'Qida bazası'!$A$2:$A$103,0))*D923/100,"?"))</f>
        <v/>
      </c>
      <c r="H923" s="19">
        <f>IF(OR(C923="",D923=""),"",IFERROR(INDEX('Qida bazası'!$G$2:$G$103,MATCH(C923,'Qida bazası'!$A$2:$A$103,0))*D923/100,"?"))</f>
        <v/>
      </c>
    </row>
    <row r="924">
      <c r="A924" s="21" t="n"/>
      <c r="E924" s="18">
        <f>IF(OR(C924="",D924=""),"",IFERROR(INDEX('Qida bazası'!$D$2:$D$103,MATCH(C924,'Qida bazası'!$A$2:$A$103,0))*D924/100,"?"))</f>
        <v/>
      </c>
      <c r="F924" s="19">
        <f>IF(OR(C924="",D924=""),"",IFERROR(INDEX('Qida bazası'!$E$2:$E$103,MATCH(C924,'Qida bazası'!$A$2:$A$103,0))*D924/100,"?"))</f>
        <v/>
      </c>
      <c r="G924" s="19">
        <f>IF(OR(C924="",D924=""),"",IFERROR(INDEX('Qida bazası'!$F$2:$F$103,MATCH(C924,'Qida bazası'!$A$2:$A$103,0))*D924/100,"?"))</f>
        <v/>
      </c>
      <c r="H924" s="19">
        <f>IF(OR(C924="",D924=""),"",IFERROR(INDEX('Qida bazası'!$G$2:$G$103,MATCH(C924,'Qida bazası'!$A$2:$A$103,0))*D924/100,"?"))</f>
        <v/>
      </c>
    </row>
    <row r="925">
      <c r="A925" s="21" t="n"/>
      <c r="E925" s="18">
        <f>IF(OR(C925="",D925=""),"",IFERROR(INDEX('Qida bazası'!$D$2:$D$103,MATCH(C925,'Qida bazası'!$A$2:$A$103,0))*D925/100,"?"))</f>
        <v/>
      </c>
      <c r="F925" s="19">
        <f>IF(OR(C925="",D925=""),"",IFERROR(INDEX('Qida bazası'!$E$2:$E$103,MATCH(C925,'Qida bazası'!$A$2:$A$103,0))*D925/100,"?"))</f>
        <v/>
      </c>
      <c r="G925" s="19">
        <f>IF(OR(C925="",D925=""),"",IFERROR(INDEX('Qida bazası'!$F$2:$F$103,MATCH(C925,'Qida bazası'!$A$2:$A$103,0))*D925/100,"?"))</f>
        <v/>
      </c>
      <c r="H925" s="19">
        <f>IF(OR(C925="",D925=""),"",IFERROR(INDEX('Qida bazası'!$G$2:$G$103,MATCH(C925,'Qida bazası'!$A$2:$A$103,0))*D925/100,"?"))</f>
        <v/>
      </c>
    </row>
    <row r="926">
      <c r="A926" s="21" t="n"/>
      <c r="E926" s="18">
        <f>IF(OR(C926="",D926=""),"",IFERROR(INDEX('Qida bazası'!$D$2:$D$103,MATCH(C926,'Qida bazası'!$A$2:$A$103,0))*D926/100,"?"))</f>
        <v/>
      </c>
      <c r="F926" s="19">
        <f>IF(OR(C926="",D926=""),"",IFERROR(INDEX('Qida bazası'!$E$2:$E$103,MATCH(C926,'Qida bazası'!$A$2:$A$103,0))*D926/100,"?"))</f>
        <v/>
      </c>
      <c r="G926" s="19">
        <f>IF(OR(C926="",D926=""),"",IFERROR(INDEX('Qida bazası'!$F$2:$F$103,MATCH(C926,'Qida bazası'!$A$2:$A$103,0))*D926/100,"?"))</f>
        <v/>
      </c>
      <c r="H926" s="19">
        <f>IF(OR(C926="",D926=""),"",IFERROR(INDEX('Qida bazası'!$G$2:$G$103,MATCH(C926,'Qida bazası'!$A$2:$A$103,0))*D926/100,"?"))</f>
        <v/>
      </c>
    </row>
    <row r="927">
      <c r="A927" s="21" t="n"/>
      <c r="E927" s="18">
        <f>IF(OR(C927="",D927=""),"",IFERROR(INDEX('Qida bazası'!$D$2:$D$103,MATCH(C927,'Qida bazası'!$A$2:$A$103,0))*D927/100,"?"))</f>
        <v/>
      </c>
      <c r="F927" s="19">
        <f>IF(OR(C927="",D927=""),"",IFERROR(INDEX('Qida bazası'!$E$2:$E$103,MATCH(C927,'Qida bazası'!$A$2:$A$103,0))*D927/100,"?"))</f>
        <v/>
      </c>
      <c r="G927" s="19">
        <f>IF(OR(C927="",D927=""),"",IFERROR(INDEX('Qida bazası'!$F$2:$F$103,MATCH(C927,'Qida bazası'!$A$2:$A$103,0))*D927/100,"?"))</f>
        <v/>
      </c>
      <c r="H927" s="19">
        <f>IF(OR(C927="",D927=""),"",IFERROR(INDEX('Qida bazası'!$G$2:$G$103,MATCH(C927,'Qida bazası'!$A$2:$A$103,0))*D927/100,"?"))</f>
        <v/>
      </c>
    </row>
    <row r="928">
      <c r="A928" s="21" t="n"/>
      <c r="E928" s="18">
        <f>IF(OR(C928="",D928=""),"",IFERROR(INDEX('Qida bazası'!$D$2:$D$103,MATCH(C928,'Qida bazası'!$A$2:$A$103,0))*D928/100,"?"))</f>
        <v/>
      </c>
      <c r="F928" s="19">
        <f>IF(OR(C928="",D928=""),"",IFERROR(INDEX('Qida bazası'!$E$2:$E$103,MATCH(C928,'Qida bazası'!$A$2:$A$103,0))*D928/100,"?"))</f>
        <v/>
      </c>
      <c r="G928" s="19">
        <f>IF(OR(C928="",D928=""),"",IFERROR(INDEX('Qida bazası'!$F$2:$F$103,MATCH(C928,'Qida bazası'!$A$2:$A$103,0))*D928/100,"?"))</f>
        <v/>
      </c>
      <c r="H928" s="19">
        <f>IF(OR(C928="",D928=""),"",IFERROR(INDEX('Qida bazası'!$G$2:$G$103,MATCH(C928,'Qida bazası'!$A$2:$A$103,0))*D928/100,"?"))</f>
        <v/>
      </c>
    </row>
    <row r="929">
      <c r="A929" s="21" t="n"/>
      <c r="E929" s="18">
        <f>IF(OR(C929="",D929=""),"",IFERROR(INDEX('Qida bazası'!$D$2:$D$103,MATCH(C929,'Qida bazası'!$A$2:$A$103,0))*D929/100,"?"))</f>
        <v/>
      </c>
      <c r="F929" s="19">
        <f>IF(OR(C929="",D929=""),"",IFERROR(INDEX('Qida bazası'!$E$2:$E$103,MATCH(C929,'Qida bazası'!$A$2:$A$103,0))*D929/100,"?"))</f>
        <v/>
      </c>
      <c r="G929" s="19">
        <f>IF(OR(C929="",D929=""),"",IFERROR(INDEX('Qida bazası'!$F$2:$F$103,MATCH(C929,'Qida bazası'!$A$2:$A$103,0))*D929/100,"?"))</f>
        <v/>
      </c>
      <c r="H929" s="19">
        <f>IF(OR(C929="",D929=""),"",IFERROR(INDEX('Qida bazası'!$G$2:$G$103,MATCH(C929,'Qida bazası'!$A$2:$A$103,0))*D929/100,"?"))</f>
        <v/>
      </c>
    </row>
    <row r="930">
      <c r="A930" s="21" t="n"/>
      <c r="E930" s="18">
        <f>IF(OR(C930="",D930=""),"",IFERROR(INDEX('Qida bazası'!$D$2:$D$103,MATCH(C930,'Qida bazası'!$A$2:$A$103,0))*D930/100,"?"))</f>
        <v/>
      </c>
      <c r="F930" s="19">
        <f>IF(OR(C930="",D930=""),"",IFERROR(INDEX('Qida bazası'!$E$2:$E$103,MATCH(C930,'Qida bazası'!$A$2:$A$103,0))*D930/100,"?"))</f>
        <v/>
      </c>
      <c r="G930" s="19">
        <f>IF(OR(C930="",D930=""),"",IFERROR(INDEX('Qida bazası'!$F$2:$F$103,MATCH(C930,'Qida bazası'!$A$2:$A$103,0))*D930/100,"?"))</f>
        <v/>
      </c>
      <c r="H930" s="19">
        <f>IF(OR(C930="",D930=""),"",IFERROR(INDEX('Qida bazası'!$G$2:$G$103,MATCH(C930,'Qida bazası'!$A$2:$A$103,0))*D930/100,"?"))</f>
        <v/>
      </c>
    </row>
    <row r="931">
      <c r="A931" s="21" t="n"/>
      <c r="E931" s="18">
        <f>IF(OR(C931="",D931=""),"",IFERROR(INDEX('Qida bazası'!$D$2:$D$103,MATCH(C931,'Qida bazası'!$A$2:$A$103,0))*D931/100,"?"))</f>
        <v/>
      </c>
      <c r="F931" s="19">
        <f>IF(OR(C931="",D931=""),"",IFERROR(INDEX('Qida bazası'!$E$2:$E$103,MATCH(C931,'Qida bazası'!$A$2:$A$103,0))*D931/100,"?"))</f>
        <v/>
      </c>
      <c r="G931" s="19">
        <f>IF(OR(C931="",D931=""),"",IFERROR(INDEX('Qida bazası'!$F$2:$F$103,MATCH(C931,'Qida bazası'!$A$2:$A$103,0))*D931/100,"?"))</f>
        <v/>
      </c>
      <c r="H931" s="19">
        <f>IF(OR(C931="",D931=""),"",IFERROR(INDEX('Qida bazası'!$G$2:$G$103,MATCH(C931,'Qida bazası'!$A$2:$A$103,0))*D931/100,"?"))</f>
        <v/>
      </c>
    </row>
    <row r="932">
      <c r="A932" s="21" t="n"/>
      <c r="E932" s="18">
        <f>IF(OR(C932="",D932=""),"",IFERROR(INDEX('Qida bazası'!$D$2:$D$103,MATCH(C932,'Qida bazası'!$A$2:$A$103,0))*D932/100,"?"))</f>
        <v/>
      </c>
      <c r="F932" s="19">
        <f>IF(OR(C932="",D932=""),"",IFERROR(INDEX('Qida bazası'!$E$2:$E$103,MATCH(C932,'Qida bazası'!$A$2:$A$103,0))*D932/100,"?"))</f>
        <v/>
      </c>
      <c r="G932" s="19">
        <f>IF(OR(C932="",D932=""),"",IFERROR(INDEX('Qida bazası'!$F$2:$F$103,MATCH(C932,'Qida bazası'!$A$2:$A$103,0))*D932/100,"?"))</f>
        <v/>
      </c>
      <c r="H932" s="19">
        <f>IF(OR(C932="",D932=""),"",IFERROR(INDEX('Qida bazası'!$G$2:$G$103,MATCH(C932,'Qida bazası'!$A$2:$A$103,0))*D932/100,"?"))</f>
        <v/>
      </c>
    </row>
    <row r="933">
      <c r="A933" s="21" t="n"/>
      <c r="E933" s="18">
        <f>IF(OR(C933="",D933=""),"",IFERROR(INDEX('Qida bazası'!$D$2:$D$103,MATCH(C933,'Qida bazası'!$A$2:$A$103,0))*D933/100,"?"))</f>
        <v/>
      </c>
      <c r="F933" s="19">
        <f>IF(OR(C933="",D933=""),"",IFERROR(INDEX('Qida bazası'!$E$2:$E$103,MATCH(C933,'Qida bazası'!$A$2:$A$103,0))*D933/100,"?"))</f>
        <v/>
      </c>
      <c r="G933" s="19">
        <f>IF(OR(C933="",D933=""),"",IFERROR(INDEX('Qida bazası'!$F$2:$F$103,MATCH(C933,'Qida bazası'!$A$2:$A$103,0))*D933/100,"?"))</f>
        <v/>
      </c>
      <c r="H933" s="19">
        <f>IF(OR(C933="",D933=""),"",IFERROR(INDEX('Qida bazası'!$G$2:$G$103,MATCH(C933,'Qida bazası'!$A$2:$A$103,0))*D933/100,"?"))</f>
        <v/>
      </c>
    </row>
    <row r="934">
      <c r="A934" s="21" t="n"/>
      <c r="E934" s="18">
        <f>IF(OR(C934="",D934=""),"",IFERROR(INDEX('Qida bazası'!$D$2:$D$103,MATCH(C934,'Qida bazası'!$A$2:$A$103,0))*D934/100,"?"))</f>
        <v/>
      </c>
      <c r="F934" s="19">
        <f>IF(OR(C934="",D934=""),"",IFERROR(INDEX('Qida bazası'!$E$2:$E$103,MATCH(C934,'Qida bazası'!$A$2:$A$103,0))*D934/100,"?"))</f>
        <v/>
      </c>
      <c r="G934" s="19">
        <f>IF(OR(C934="",D934=""),"",IFERROR(INDEX('Qida bazası'!$F$2:$F$103,MATCH(C934,'Qida bazası'!$A$2:$A$103,0))*D934/100,"?"))</f>
        <v/>
      </c>
      <c r="H934" s="19">
        <f>IF(OR(C934="",D934=""),"",IFERROR(INDEX('Qida bazası'!$G$2:$G$103,MATCH(C934,'Qida bazası'!$A$2:$A$103,0))*D934/100,"?"))</f>
        <v/>
      </c>
    </row>
    <row r="935">
      <c r="A935" s="21" t="n"/>
      <c r="E935" s="18">
        <f>IF(OR(C935="",D935=""),"",IFERROR(INDEX('Qida bazası'!$D$2:$D$103,MATCH(C935,'Qida bazası'!$A$2:$A$103,0))*D935/100,"?"))</f>
        <v/>
      </c>
      <c r="F935" s="19">
        <f>IF(OR(C935="",D935=""),"",IFERROR(INDEX('Qida bazası'!$E$2:$E$103,MATCH(C935,'Qida bazası'!$A$2:$A$103,0))*D935/100,"?"))</f>
        <v/>
      </c>
      <c r="G935" s="19">
        <f>IF(OR(C935="",D935=""),"",IFERROR(INDEX('Qida bazası'!$F$2:$F$103,MATCH(C935,'Qida bazası'!$A$2:$A$103,0))*D935/100,"?"))</f>
        <v/>
      </c>
      <c r="H935" s="19">
        <f>IF(OR(C935="",D935=""),"",IFERROR(INDEX('Qida bazası'!$G$2:$G$103,MATCH(C935,'Qida bazası'!$A$2:$A$103,0))*D935/100,"?"))</f>
        <v/>
      </c>
    </row>
    <row r="936">
      <c r="A936" s="21" t="n"/>
      <c r="E936" s="18">
        <f>IF(OR(C936="",D936=""),"",IFERROR(INDEX('Qida bazası'!$D$2:$D$103,MATCH(C936,'Qida bazası'!$A$2:$A$103,0))*D936/100,"?"))</f>
        <v/>
      </c>
      <c r="F936" s="19">
        <f>IF(OR(C936="",D936=""),"",IFERROR(INDEX('Qida bazası'!$E$2:$E$103,MATCH(C936,'Qida bazası'!$A$2:$A$103,0))*D936/100,"?"))</f>
        <v/>
      </c>
      <c r="G936" s="19">
        <f>IF(OR(C936="",D936=""),"",IFERROR(INDEX('Qida bazası'!$F$2:$F$103,MATCH(C936,'Qida bazası'!$A$2:$A$103,0))*D936/100,"?"))</f>
        <v/>
      </c>
      <c r="H936" s="19">
        <f>IF(OR(C936="",D936=""),"",IFERROR(INDEX('Qida bazası'!$G$2:$G$103,MATCH(C936,'Qida bazası'!$A$2:$A$103,0))*D936/100,"?"))</f>
        <v/>
      </c>
    </row>
    <row r="937">
      <c r="A937" s="21" t="n"/>
      <c r="E937" s="18">
        <f>IF(OR(C937="",D937=""),"",IFERROR(INDEX('Qida bazası'!$D$2:$D$103,MATCH(C937,'Qida bazası'!$A$2:$A$103,0))*D937/100,"?"))</f>
        <v/>
      </c>
      <c r="F937" s="19">
        <f>IF(OR(C937="",D937=""),"",IFERROR(INDEX('Qida bazası'!$E$2:$E$103,MATCH(C937,'Qida bazası'!$A$2:$A$103,0))*D937/100,"?"))</f>
        <v/>
      </c>
      <c r="G937" s="19">
        <f>IF(OR(C937="",D937=""),"",IFERROR(INDEX('Qida bazası'!$F$2:$F$103,MATCH(C937,'Qida bazası'!$A$2:$A$103,0))*D937/100,"?"))</f>
        <v/>
      </c>
      <c r="H937" s="19">
        <f>IF(OR(C937="",D937=""),"",IFERROR(INDEX('Qida bazası'!$G$2:$G$103,MATCH(C937,'Qida bazası'!$A$2:$A$103,0))*D937/100,"?"))</f>
        <v/>
      </c>
    </row>
    <row r="938">
      <c r="A938" s="21" t="n"/>
      <c r="E938" s="18">
        <f>IF(OR(C938="",D938=""),"",IFERROR(INDEX('Qida bazası'!$D$2:$D$103,MATCH(C938,'Qida bazası'!$A$2:$A$103,0))*D938/100,"?"))</f>
        <v/>
      </c>
      <c r="F938" s="19">
        <f>IF(OR(C938="",D938=""),"",IFERROR(INDEX('Qida bazası'!$E$2:$E$103,MATCH(C938,'Qida bazası'!$A$2:$A$103,0))*D938/100,"?"))</f>
        <v/>
      </c>
      <c r="G938" s="19">
        <f>IF(OR(C938="",D938=""),"",IFERROR(INDEX('Qida bazası'!$F$2:$F$103,MATCH(C938,'Qida bazası'!$A$2:$A$103,0))*D938/100,"?"))</f>
        <v/>
      </c>
      <c r="H938" s="19">
        <f>IF(OR(C938="",D938=""),"",IFERROR(INDEX('Qida bazası'!$G$2:$G$103,MATCH(C938,'Qida bazası'!$A$2:$A$103,0))*D938/100,"?"))</f>
        <v/>
      </c>
    </row>
    <row r="939">
      <c r="A939" s="21" t="n"/>
      <c r="E939" s="18">
        <f>IF(OR(C939="",D939=""),"",IFERROR(INDEX('Qida bazası'!$D$2:$D$103,MATCH(C939,'Qida bazası'!$A$2:$A$103,0))*D939/100,"?"))</f>
        <v/>
      </c>
      <c r="F939" s="19">
        <f>IF(OR(C939="",D939=""),"",IFERROR(INDEX('Qida bazası'!$E$2:$E$103,MATCH(C939,'Qida bazası'!$A$2:$A$103,0))*D939/100,"?"))</f>
        <v/>
      </c>
      <c r="G939" s="19">
        <f>IF(OR(C939="",D939=""),"",IFERROR(INDEX('Qida bazası'!$F$2:$F$103,MATCH(C939,'Qida bazası'!$A$2:$A$103,0))*D939/100,"?"))</f>
        <v/>
      </c>
      <c r="H939" s="19">
        <f>IF(OR(C939="",D939=""),"",IFERROR(INDEX('Qida bazası'!$G$2:$G$103,MATCH(C939,'Qida bazası'!$A$2:$A$103,0))*D939/100,"?"))</f>
        <v/>
      </c>
    </row>
    <row r="940">
      <c r="A940" s="21" t="n"/>
      <c r="E940" s="18">
        <f>IF(OR(C940="",D940=""),"",IFERROR(INDEX('Qida bazası'!$D$2:$D$103,MATCH(C940,'Qida bazası'!$A$2:$A$103,0))*D940/100,"?"))</f>
        <v/>
      </c>
      <c r="F940" s="19">
        <f>IF(OR(C940="",D940=""),"",IFERROR(INDEX('Qida bazası'!$E$2:$E$103,MATCH(C940,'Qida bazası'!$A$2:$A$103,0))*D940/100,"?"))</f>
        <v/>
      </c>
      <c r="G940" s="19">
        <f>IF(OR(C940="",D940=""),"",IFERROR(INDEX('Qida bazası'!$F$2:$F$103,MATCH(C940,'Qida bazası'!$A$2:$A$103,0))*D940/100,"?"))</f>
        <v/>
      </c>
      <c r="H940" s="19">
        <f>IF(OR(C940="",D940=""),"",IFERROR(INDEX('Qida bazası'!$G$2:$G$103,MATCH(C940,'Qida bazası'!$A$2:$A$103,0))*D940/100,"?"))</f>
        <v/>
      </c>
    </row>
    <row r="941">
      <c r="A941" s="21" t="n"/>
      <c r="E941" s="18">
        <f>IF(OR(C941="",D941=""),"",IFERROR(INDEX('Qida bazası'!$D$2:$D$103,MATCH(C941,'Qida bazası'!$A$2:$A$103,0))*D941/100,"?"))</f>
        <v/>
      </c>
      <c r="F941" s="19">
        <f>IF(OR(C941="",D941=""),"",IFERROR(INDEX('Qida bazası'!$E$2:$E$103,MATCH(C941,'Qida bazası'!$A$2:$A$103,0))*D941/100,"?"))</f>
        <v/>
      </c>
      <c r="G941" s="19">
        <f>IF(OR(C941="",D941=""),"",IFERROR(INDEX('Qida bazası'!$F$2:$F$103,MATCH(C941,'Qida bazası'!$A$2:$A$103,0))*D941/100,"?"))</f>
        <v/>
      </c>
      <c r="H941" s="19">
        <f>IF(OR(C941="",D941=""),"",IFERROR(INDEX('Qida bazası'!$G$2:$G$103,MATCH(C941,'Qida bazası'!$A$2:$A$103,0))*D941/100,"?"))</f>
        <v/>
      </c>
    </row>
    <row r="942">
      <c r="A942" s="21" t="n"/>
      <c r="E942" s="18">
        <f>IF(OR(C942="",D942=""),"",IFERROR(INDEX('Qida bazası'!$D$2:$D$103,MATCH(C942,'Qida bazası'!$A$2:$A$103,0))*D942/100,"?"))</f>
        <v/>
      </c>
      <c r="F942" s="19">
        <f>IF(OR(C942="",D942=""),"",IFERROR(INDEX('Qida bazası'!$E$2:$E$103,MATCH(C942,'Qida bazası'!$A$2:$A$103,0))*D942/100,"?"))</f>
        <v/>
      </c>
      <c r="G942" s="19">
        <f>IF(OR(C942="",D942=""),"",IFERROR(INDEX('Qida bazası'!$F$2:$F$103,MATCH(C942,'Qida bazası'!$A$2:$A$103,0))*D942/100,"?"))</f>
        <v/>
      </c>
      <c r="H942" s="19">
        <f>IF(OR(C942="",D942=""),"",IFERROR(INDEX('Qida bazası'!$G$2:$G$103,MATCH(C942,'Qida bazası'!$A$2:$A$103,0))*D942/100,"?"))</f>
        <v/>
      </c>
    </row>
    <row r="943">
      <c r="A943" s="21" t="n"/>
      <c r="E943" s="18">
        <f>IF(OR(C943="",D943=""),"",IFERROR(INDEX('Qida bazası'!$D$2:$D$103,MATCH(C943,'Qida bazası'!$A$2:$A$103,0))*D943/100,"?"))</f>
        <v/>
      </c>
      <c r="F943" s="19">
        <f>IF(OR(C943="",D943=""),"",IFERROR(INDEX('Qida bazası'!$E$2:$E$103,MATCH(C943,'Qida bazası'!$A$2:$A$103,0))*D943/100,"?"))</f>
        <v/>
      </c>
      <c r="G943" s="19">
        <f>IF(OR(C943="",D943=""),"",IFERROR(INDEX('Qida bazası'!$F$2:$F$103,MATCH(C943,'Qida bazası'!$A$2:$A$103,0))*D943/100,"?"))</f>
        <v/>
      </c>
      <c r="H943" s="19">
        <f>IF(OR(C943="",D943=""),"",IFERROR(INDEX('Qida bazası'!$G$2:$G$103,MATCH(C943,'Qida bazası'!$A$2:$A$103,0))*D943/100,"?"))</f>
        <v/>
      </c>
    </row>
    <row r="944">
      <c r="A944" s="21" t="n"/>
      <c r="E944" s="18">
        <f>IF(OR(C944="",D944=""),"",IFERROR(INDEX('Qida bazası'!$D$2:$D$103,MATCH(C944,'Qida bazası'!$A$2:$A$103,0))*D944/100,"?"))</f>
        <v/>
      </c>
      <c r="F944" s="19">
        <f>IF(OR(C944="",D944=""),"",IFERROR(INDEX('Qida bazası'!$E$2:$E$103,MATCH(C944,'Qida bazası'!$A$2:$A$103,0))*D944/100,"?"))</f>
        <v/>
      </c>
      <c r="G944" s="19">
        <f>IF(OR(C944="",D944=""),"",IFERROR(INDEX('Qida bazası'!$F$2:$F$103,MATCH(C944,'Qida bazası'!$A$2:$A$103,0))*D944/100,"?"))</f>
        <v/>
      </c>
      <c r="H944" s="19">
        <f>IF(OR(C944="",D944=""),"",IFERROR(INDEX('Qida bazası'!$G$2:$G$103,MATCH(C944,'Qida bazası'!$A$2:$A$103,0))*D944/100,"?"))</f>
        <v/>
      </c>
    </row>
    <row r="945">
      <c r="A945" s="21" t="n"/>
      <c r="E945" s="18">
        <f>IF(OR(C945="",D945=""),"",IFERROR(INDEX('Qida bazası'!$D$2:$D$103,MATCH(C945,'Qida bazası'!$A$2:$A$103,0))*D945/100,"?"))</f>
        <v/>
      </c>
      <c r="F945" s="19">
        <f>IF(OR(C945="",D945=""),"",IFERROR(INDEX('Qida bazası'!$E$2:$E$103,MATCH(C945,'Qida bazası'!$A$2:$A$103,0))*D945/100,"?"))</f>
        <v/>
      </c>
      <c r="G945" s="19">
        <f>IF(OR(C945="",D945=""),"",IFERROR(INDEX('Qida bazası'!$F$2:$F$103,MATCH(C945,'Qida bazası'!$A$2:$A$103,0))*D945/100,"?"))</f>
        <v/>
      </c>
      <c r="H945" s="19">
        <f>IF(OR(C945="",D945=""),"",IFERROR(INDEX('Qida bazası'!$G$2:$G$103,MATCH(C945,'Qida bazası'!$A$2:$A$103,0))*D945/100,"?"))</f>
        <v/>
      </c>
    </row>
    <row r="946">
      <c r="A946" s="21" t="n"/>
      <c r="E946" s="18">
        <f>IF(OR(C946="",D946=""),"",IFERROR(INDEX('Qida bazası'!$D$2:$D$103,MATCH(C946,'Qida bazası'!$A$2:$A$103,0))*D946/100,"?"))</f>
        <v/>
      </c>
      <c r="F946" s="19">
        <f>IF(OR(C946="",D946=""),"",IFERROR(INDEX('Qida bazası'!$E$2:$E$103,MATCH(C946,'Qida bazası'!$A$2:$A$103,0))*D946/100,"?"))</f>
        <v/>
      </c>
      <c r="G946" s="19">
        <f>IF(OR(C946="",D946=""),"",IFERROR(INDEX('Qida bazası'!$F$2:$F$103,MATCH(C946,'Qida bazası'!$A$2:$A$103,0))*D946/100,"?"))</f>
        <v/>
      </c>
      <c r="H946" s="19">
        <f>IF(OR(C946="",D946=""),"",IFERROR(INDEX('Qida bazası'!$G$2:$G$103,MATCH(C946,'Qida bazası'!$A$2:$A$103,0))*D946/100,"?"))</f>
        <v/>
      </c>
    </row>
    <row r="947">
      <c r="A947" s="21" t="n"/>
      <c r="E947" s="18">
        <f>IF(OR(C947="",D947=""),"",IFERROR(INDEX('Qida bazası'!$D$2:$D$103,MATCH(C947,'Qida bazası'!$A$2:$A$103,0))*D947/100,"?"))</f>
        <v/>
      </c>
      <c r="F947" s="19">
        <f>IF(OR(C947="",D947=""),"",IFERROR(INDEX('Qida bazası'!$E$2:$E$103,MATCH(C947,'Qida bazası'!$A$2:$A$103,0))*D947/100,"?"))</f>
        <v/>
      </c>
      <c r="G947" s="19">
        <f>IF(OR(C947="",D947=""),"",IFERROR(INDEX('Qida bazası'!$F$2:$F$103,MATCH(C947,'Qida bazası'!$A$2:$A$103,0))*D947/100,"?"))</f>
        <v/>
      </c>
      <c r="H947" s="19">
        <f>IF(OR(C947="",D947=""),"",IFERROR(INDEX('Qida bazası'!$G$2:$G$103,MATCH(C947,'Qida bazası'!$A$2:$A$103,0))*D947/100,"?"))</f>
        <v/>
      </c>
    </row>
    <row r="948">
      <c r="A948" s="21" t="n"/>
      <c r="E948" s="18">
        <f>IF(OR(C948="",D948=""),"",IFERROR(INDEX('Qida bazası'!$D$2:$D$103,MATCH(C948,'Qida bazası'!$A$2:$A$103,0))*D948/100,"?"))</f>
        <v/>
      </c>
      <c r="F948" s="19">
        <f>IF(OR(C948="",D948=""),"",IFERROR(INDEX('Qida bazası'!$E$2:$E$103,MATCH(C948,'Qida bazası'!$A$2:$A$103,0))*D948/100,"?"))</f>
        <v/>
      </c>
      <c r="G948" s="19">
        <f>IF(OR(C948="",D948=""),"",IFERROR(INDEX('Qida bazası'!$F$2:$F$103,MATCH(C948,'Qida bazası'!$A$2:$A$103,0))*D948/100,"?"))</f>
        <v/>
      </c>
      <c r="H948" s="19">
        <f>IF(OR(C948="",D948=""),"",IFERROR(INDEX('Qida bazası'!$G$2:$G$103,MATCH(C948,'Qida bazası'!$A$2:$A$103,0))*D948/100,"?"))</f>
        <v/>
      </c>
    </row>
    <row r="949">
      <c r="A949" s="21" t="n"/>
      <c r="E949" s="18">
        <f>IF(OR(C949="",D949=""),"",IFERROR(INDEX('Qida bazası'!$D$2:$D$103,MATCH(C949,'Qida bazası'!$A$2:$A$103,0))*D949/100,"?"))</f>
        <v/>
      </c>
      <c r="F949" s="19">
        <f>IF(OR(C949="",D949=""),"",IFERROR(INDEX('Qida bazası'!$E$2:$E$103,MATCH(C949,'Qida bazası'!$A$2:$A$103,0))*D949/100,"?"))</f>
        <v/>
      </c>
      <c r="G949" s="19">
        <f>IF(OR(C949="",D949=""),"",IFERROR(INDEX('Qida bazası'!$F$2:$F$103,MATCH(C949,'Qida bazası'!$A$2:$A$103,0))*D949/100,"?"))</f>
        <v/>
      </c>
      <c r="H949" s="19">
        <f>IF(OR(C949="",D949=""),"",IFERROR(INDEX('Qida bazası'!$G$2:$G$103,MATCH(C949,'Qida bazası'!$A$2:$A$103,0))*D949/100,"?"))</f>
        <v/>
      </c>
    </row>
    <row r="950">
      <c r="A950" s="21" t="n"/>
      <c r="E950" s="18">
        <f>IF(OR(C950="",D950=""),"",IFERROR(INDEX('Qida bazası'!$D$2:$D$103,MATCH(C950,'Qida bazası'!$A$2:$A$103,0))*D950/100,"?"))</f>
        <v/>
      </c>
      <c r="F950" s="19">
        <f>IF(OR(C950="",D950=""),"",IFERROR(INDEX('Qida bazası'!$E$2:$E$103,MATCH(C950,'Qida bazası'!$A$2:$A$103,0))*D950/100,"?"))</f>
        <v/>
      </c>
      <c r="G950" s="19">
        <f>IF(OR(C950="",D950=""),"",IFERROR(INDEX('Qida bazası'!$F$2:$F$103,MATCH(C950,'Qida bazası'!$A$2:$A$103,0))*D950/100,"?"))</f>
        <v/>
      </c>
      <c r="H950" s="19">
        <f>IF(OR(C950="",D950=""),"",IFERROR(INDEX('Qida bazası'!$G$2:$G$103,MATCH(C950,'Qida bazası'!$A$2:$A$103,0))*D950/100,"?"))</f>
        <v/>
      </c>
    </row>
    <row r="951">
      <c r="A951" s="21" t="n"/>
      <c r="E951" s="18">
        <f>IF(OR(C951="",D951=""),"",IFERROR(INDEX('Qida bazası'!$D$2:$D$103,MATCH(C951,'Qida bazası'!$A$2:$A$103,0))*D951/100,"?"))</f>
        <v/>
      </c>
      <c r="F951" s="19">
        <f>IF(OR(C951="",D951=""),"",IFERROR(INDEX('Qida bazası'!$E$2:$E$103,MATCH(C951,'Qida bazası'!$A$2:$A$103,0))*D951/100,"?"))</f>
        <v/>
      </c>
      <c r="G951" s="19">
        <f>IF(OR(C951="",D951=""),"",IFERROR(INDEX('Qida bazası'!$F$2:$F$103,MATCH(C951,'Qida bazası'!$A$2:$A$103,0))*D951/100,"?"))</f>
        <v/>
      </c>
      <c r="H951" s="19">
        <f>IF(OR(C951="",D951=""),"",IFERROR(INDEX('Qida bazası'!$G$2:$G$103,MATCH(C951,'Qida bazası'!$A$2:$A$103,0))*D951/100,"?"))</f>
        <v/>
      </c>
    </row>
    <row r="952">
      <c r="A952" s="21" t="n"/>
      <c r="E952" s="18">
        <f>IF(OR(C952="",D952=""),"",IFERROR(INDEX('Qida bazası'!$D$2:$D$103,MATCH(C952,'Qida bazası'!$A$2:$A$103,0))*D952/100,"?"))</f>
        <v/>
      </c>
      <c r="F952" s="19">
        <f>IF(OR(C952="",D952=""),"",IFERROR(INDEX('Qida bazası'!$E$2:$E$103,MATCH(C952,'Qida bazası'!$A$2:$A$103,0))*D952/100,"?"))</f>
        <v/>
      </c>
      <c r="G952" s="19">
        <f>IF(OR(C952="",D952=""),"",IFERROR(INDEX('Qida bazası'!$F$2:$F$103,MATCH(C952,'Qida bazası'!$A$2:$A$103,0))*D952/100,"?"))</f>
        <v/>
      </c>
      <c r="H952" s="19">
        <f>IF(OR(C952="",D952=""),"",IFERROR(INDEX('Qida bazası'!$G$2:$G$103,MATCH(C952,'Qida bazası'!$A$2:$A$103,0))*D952/100,"?"))</f>
        <v/>
      </c>
    </row>
    <row r="953">
      <c r="A953" s="21" t="n"/>
      <c r="E953" s="18">
        <f>IF(OR(C953="",D953=""),"",IFERROR(INDEX('Qida bazası'!$D$2:$D$103,MATCH(C953,'Qida bazası'!$A$2:$A$103,0))*D953/100,"?"))</f>
        <v/>
      </c>
      <c r="F953" s="19">
        <f>IF(OR(C953="",D953=""),"",IFERROR(INDEX('Qida bazası'!$E$2:$E$103,MATCH(C953,'Qida bazası'!$A$2:$A$103,0))*D953/100,"?"))</f>
        <v/>
      </c>
      <c r="G953" s="19">
        <f>IF(OR(C953="",D953=""),"",IFERROR(INDEX('Qida bazası'!$F$2:$F$103,MATCH(C953,'Qida bazası'!$A$2:$A$103,0))*D953/100,"?"))</f>
        <v/>
      </c>
      <c r="H953" s="19">
        <f>IF(OR(C953="",D953=""),"",IFERROR(INDEX('Qida bazası'!$G$2:$G$103,MATCH(C953,'Qida bazası'!$A$2:$A$103,0))*D953/100,"?"))</f>
        <v/>
      </c>
    </row>
    <row r="954">
      <c r="A954" s="21" t="n"/>
      <c r="E954" s="18">
        <f>IF(OR(C954="",D954=""),"",IFERROR(INDEX('Qida bazası'!$D$2:$D$103,MATCH(C954,'Qida bazası'!$A$2:$A$103,0))*D954/100,"?"))</f>
        <v/>
      </c>
      <c r="F954" s="19">
        <f>IF(OR(C954="",D954=""),"",IFERROR(INDEX('Qida bazası'!$E$2:$E$103,MATCH(C954,'Qida bazası'!$A$2:$A$103,0))*D954/100,"?"))</f>
        <v/>
      </c>
      <c r="G954" s="19">
        <f>IF(OR(C954="",D954=""),"",IFERROR(INDEX('Qida bazası'!$F$2:$F$103,MATCH(C954,'Qida bazası'!$A$2:$A$103,0))*D954/100,"?"))</f>
        <v/>
      </c>
      <c r="H954" s="19">
        <f>IF(OR(C954="",D954=""),"",IFERROR(INDEX('Qida bazası'!$G$2:$G$103,MATCH(C954,'Qida bazası'!$A$2:$A$103,0))*D954/100,"?"))</f>
        <v/>
      </c>
    </row>
    <row r="955">
      <c r="A955" s="21" t="n"/>
      <c r="E955" s="18">
        <f>IF(OR(C955="",D955=""),"",IFERROR(INDEX('Qida bazası'!$D$2:$D$103,MATCH(C955,'Qida bazası'!$A$2:$A$103,0))*D955/100,"?"))</f>
        <v/>
      </c>
      <c r="F955" s="19">
        <f>IF(OR(C955="",D955=""),"",IFERROR(INDEX('Qida bazası'!$E$2:$E$103,MATCH(C955,'Qida bazası'!$A$2:$A$103,0))*D955/100,"?"))</f>
        <v/>
      </c>
      <c r="G955" s="19">
        <f>IF(OR(C955="",D955=""),"",IFERROR(INDEX('Qida bazası'!$F$2:$F$103,MATCH(C955,'Qida bazası'!$A$2:$A$103,0))*D955/100,"?"))</f>
        <v/>
      </c>
      <c r="H955" s="19">
        <f>IF(OR(C955="",D955=""),"",IFERROR(INDEX('Qida bazası'!$G$2:$G$103,MATCH(C955,'Qida bazası'!$A$2:$A$103,0))*D955/100,"?"))</f>
        <v/>
      </c>
    </row>
    <row r="956">
      <c r="A956" s="21" t="n"/>
      <c r="E956" s="18">
        <f>IF(OR(C956="",D956=""),"",IFERROR(INDEX('Qida bazası'!$D$2:$D$103,MATCH(C956,'Qida bazası'!$A$2:$A$103,0))*D956/100,"?"))</f>
        <v/>
      </c>
      <c r="F956" s="19">
        <f>IF(OR(C956="",D956=""),"",IFERROR(INDEX('Qida bazası'!$E$2:$E$103,MATCH(C956,'Qida bazası'!$A$2:$A$103,0))*D956/100,"?"))</f>
        <v/>
      </c>
      <c r="G956" s="19">
        <f>IF(OR(C956="",D956=""),"",IFERROR(INDEX('Qida bazası'!$F$2:$F$103,MATCH(C956,'Qida bazası'!$A$2:$A$103,0))*D956/100,"?"))</f>
        <v/>
      </c>
      <c r="H956" s="19">
        <f>IF(OR(C956="",D956=""),"",IFERROR(INDEX('Qida bazası'!$G$2:$G$103,MATCH(C956,'Qida bazası'!$A$2:$A$103,0))*D956/100,"?"))</f>
        <v/>
      </c>
    </row>
    <row r="957">
      <c r="A957" s="21" t="n"/>
      <c r="E957" s="18">
        <f>IF(OR(C957="",D957=""),"",IFERROR(INDEX('Qida bazası'!$D$2:$D$103,MATCH(C957,'Qida bazası'!$A$2:$A$103,0))*D957/100,"?"))</f>
        <v/>
      </c>
      <c r="F957" s="19">
        <f>IF(OR(C957="",D957=""),"",IFERROR(INDEX('Qida bazası'!$E$2:$E$103,MATCH(C957,'Qida bazası'!$A$2:$A$103,0))*D957/100,"?"))</f>
        <v/>
      </c>
      <c r="G957" s="19">
        <f>IF(OR(C957="",D957=""),"",IFERROR(INDEX('Qida bazası'!$F$2:$F$103,MATCH(C957,'Qida bazası'!$A$2:$A$103,0))*D957/100,"?"))</f>
        <v/>
      </c>
      <c r="H957" s="19">
        <f>IF(OR(C957="",D957=""),"",IFERROR(INDEX('Qida bazası'!$G$2:$G$103,MATCH(C957,'Qida bazası'!$A$2:$A$103,0))*D957/100,"?"))</f>
        <v/>
      </c>
    </row>
    <row r="958">
      <c r="A958" s="21" t="n"/>
      <c r="E958" s="18">
        <f>IF(OR(C958="",D958=""),"",IFERROR(INDEX('Qida bazası'!$D$2:$D$103,MATCH(C958,'Qida bazası'!$A$2:$A$103,0))*D958/100,"?"))</f>
        <v/>
      </c>
      <c r="F958" s="19">
        <f>IF(OR(C958="",D958=""),"",IFERROR(INDEX('Qida bazası'!$E$2:$E$103,MATCH(C958,'Qida bazası'!$A$2:$A$103,0))*D958/100,"?"))</f>
        <v/>
      </c>
      <c r="G958" s="19">
        <f>IF(OR(C958="",D958=""),"",IFERROR(INDEX('Qida bazası'!$F$2:$F$103,MATCH(C958,'Qida bazası'!$A$2:$A$103,0))*D958/100,"?"))</f>
        <v/>
      </c>
      <c r="H958" s="19">
        <f>IF(OR(C958="",D958=""),"",IFERROR(INDEX('Qida bazası'!$G$2:$G$103,MATCH(C958,'Qida bazası'!$A$2:$A$103,0))*D958/100,"?"))</f>
        <v/>
      </c>
    </row>
    <row r="959">
      <c r="A959" s="21" t="n"/>
      <c r="E959" s="18">
        <f>IF(OR(C959="",D959=""),"",IFERROR(INDEX('Qida bazası'!$D$2:$D$103,MATCH(C959,'Qida bazası'!$A$2:$A$103,0))*D959/100,"?"))</f>
        <v/>
      </c>
      <c r="F959" s="19">
        <f>IF(OR(C959="",D959=""),"",IFERROR(INDEX('Qida bazası'!$E$2:$E$103,MATCH(C959,'Qida bazası'!$A$2:$A$103,0))*D959/100,"?"))</f>
        <v/>
      </c>
      <c r="G959" s="19">
        <f>IF(OR(C959="",D959=""),"",IFERROR(INDEX('Qida bazası'!$F$2:$F$103,MATCH(C959,'Qida bazası'!$A$2:$A$103,0))*D959/100,"?"))</f>
        <v/>
      </c>
      <c r="H959" s="19">
        <f>IF(OR(C959="",D959=""),"",IFERROR(INDEX('Qida bazası'!$G$2:$G$103,MATCH(C959,'Qida bazası'!$A$2:$A$103,0))*D959/100,"?"))</f>
        <v/>
      </c>
    </row>
    <row r="960">
      <c r="A960" s="21" t="n"/>
      <c r="E960" s="18">
        <f>IF(OR(C960="",D960=""),"",IFERROR(INDEX('Qida bazası'!$D$2:$D$103,MATCH(C960,'Qida bazası'!$A$2:$A$103,0))*D960/100,"?"))</f>
        <v/>
      </c>
      <c r="F960" s="19">
        <f>IF(OR(C960="",D960=""),"",IFERROR(INDEX('Qida bazası'!$E$2:$E$103,MATCH(C960,'Qida bazası'!$A$2:$A$103,0))*D960/100,"?"))</f>
        <v/>
      </c>
      <c r="G960" s="19">
        <f>IF(OR(C960="",D960=""),"",IFERROR(INDEX('Qida bazası'!$F$2:$F$103,MATCH(C960,'Qida bazası'!$A$2:$A$103,0))*D960/100,"?"))</f>
        <v/>
      </c>
      <c r="H960" s="19">
        <f>IF(OR(C960="",D960=""),"",IFERROR(INDEX('Qida bazası'!$G$2:$G$103,MATCH(C960,'Qida bazası'!$A$2:$A$103,0))*D960/100,"?"))</f>
        <v/>
      </c>
    </row>
    <row r="961">
      <c r="A961" s="21" t="n"/>
      <c r="E961" s="18">
        <f>IF(OR(C961="",D961=""),"",IFERROR(INDEX('Qida bazası'!$D$2:$D$103,MATCH(C961,'Qida bazası'!$A$2:$A$103,0))*D961/100,"?"))</f>
        <v/>
      </c>
      <c r="F961" s="19">
        <f>IF(OR(C961="",D961=""),"",IFERROR(INDEX('Qida bazası'!$E$2:$E$103,MATCH(C961,'Qida bazası'!$A$2:$A$103,0))*D961/100,"?"))</f>
        <v/>
      </c>
      <c r="G961" s="19">
        <f>IF(OR(C961="",D961=""),"",IFERROR(INDEX('Qida bazası'!$F$2:$F$103,MATCH(C961,'Qida bazası'!$A$2:$A$103,0))*D961/100,"?"))</f>
        <v/>
      </c>
      <c r="H961" s="19">
        <f>IF(OR(C961="",D961=""),"",IFERROR(INDEX('Qida bazası'!$G$2:$G$103,MATCH(C961,'Qida bazası'!$A$2:$A$103,0))*D961/100,"?"))</f>
        <v/>
      </c>
    </row>
    <row r="962">
      <c r="A962" s="21" t="n"/>
      <c r="E962" s="18">
        <f>IF(OR(C962="",D962=""),"",IFERROR(INDEX('Qida bazası'!$D$2:$D$103,MATCH(C962,'Qida bazası'!$A$2:$A$103,0))*D962/100,"?"))</f>
        <v/>
      </c>
      <c r="F962" s="19">
        <f>IF(OR(C962="",D962=""),"",IFERROR(INDEX('Qida bazası'!$E$2:$E$103,MATCH(C962,'Qida bazası'!$A$2:$A$103,0))*D962/100,"?"))</f>
        <v/>
      </c>
      <c r="G962" s="19">
        <f>IF(OR(C962="",D962=""),"",IFERROR(INDEX('Qida bazası'!$F$2:$F$103,MATCH(C962,'Qida bazası'!$A$2:$A$103,0))*D962/100,"?"))</f>
        <v/>
      </c>
      <c r="H962" s="19">
        <f>IF(OR(C962="",D962=""),"",IFERROR(INDEX('Qida bazası'!$G$2:$G$103,MATCH(C962,'Qida bazası'!$A$2:$A$103,0))*D962/100,"?"))</f>
        <v/>
      </c>
    </row>
    <row r="963">
      <c r="A963" s="21" t="n"/>
      <c r="E963" s="18">
        <f>IF(OR(C963="",D963=""),"",IFERROR(INDEX('Qida bazası'!$D$2:$D$103,MATCH(C963,'Qida bazası'!$A$2:$A$103,0))*D963/100,"?"))</f>
        <v/>
      </c>
      <c r="F963" s="19">
        <f>IF(OR(C963="",D963=""),"",IFERROR(INDEX('Qida bazası'!$E$2:$E$103,MATCH(C963,'Qida bazası'!$A$2:$A$103,0))*D963/100,"?"))</f>
        <v/>
      </c>
      <c r="G963" s="19">
        <f>IF(OR(C963="",D963=""),"",IFERROR(INDEX('Qida bazası'!$F$2:$F$103,MATCH(C963,'Qida bazası'!$A$2:$A$103,0))*D963/100,"?"))</f>
        <v/>
      </c>
      <c r="H963" s="19">
        <f>IF(OR(C963="",D963=""),"",IFERROR(INDEX('Qida bazası'!$G$2:$G$103,MATCH(C963,'Qida bazası'!$A$2:$A$103,0))*D963/100,"?"))</f>
        <v/>
      </c>
    </row>
    <row r="964">
      <c r="A964" s="21" t="n"/>
      <c r="E964" s="18">
        <f>IF(OR(C964="",D964=""),"",IFERROR(INDEX('Qida bazası'!$D$2:$D$103,MATCH(C964,'Qida bazası'!$A$2:$A$103,0))*D964/100,"?"))</f>
        <v/>
      </c>
      <c r="F964" s="19">
        <f>IF(OR(C964="",D964=""),"",IFERROR(INDEX('Qida bazası'!$E$2:$E$103,MATCH(C964,'Qida bazası'!$A$2:$A$103,0))*D964/100,"?"))</f>
        <v/>
      </c>
      <c r="G964" s="19">
        <f>IF(OR(C964="",D964=""),"",IFERROR(INDEX('Qida bazası'!$F$2:$F$103,MATCH(C964,'Qida bazası'!$A$2:$A$103,0))*D964/100,"?"))</f>
        <v/>
      </c>
      <c r="H964" s="19">
        <f>IF(OR(C964="",D964=""),"",IFERROR(INDEX('Qida bazası'!$G$2:$G$103,MATCH(C964,'Qida bazası'!$A$2:$A$103,0))*D964/100,"?"))</f>
        <v/>
      </c>
    </row>
    <row r="965">
      <c r="A965" s="21" t="n"/>
      <c r="E965" s="18">
        <f>IF(OR(C965="",D965=""),"",IFERROR(INDEX('Qida bazası'!$D$2:$D$103,MATCH(C965,'Qida bazası'!$A$2:$A$103,0))*D965/100,"?"))</f>
        <v/>
      </c>
      <c r="F965" s="19">
        <f>IF(OR(C965="",D965=""),"",IFERROR(INDEX('Qida bazası'!$E$2:$E$103,MATCH(C965,'Qida bazası'!$A$2:$A$103,0))*D965/100,"?"))</f>
        <v/>
      </c>
      <c r="G965" s="19">
        <f>IF(OR(C965="",D965=""),"",IFERROR(INDEX('Qida bazası'!$F$2:$F$103,MATCH(C965,'Qida bazası'!$A$2:$A$103,0))*D965/100,"?"))</f>
        <v/>
      </c>
      <c r="H965" s="19">
        <f>IF(OR(C965="",D965=""),"",IFERROR(INDEX('Qida bazası'!$G$2:$G$103,MATCH(C965,'Qida bazası'!$A$2:$A$103,0))*D965/100,"?"))</f>
        <v/>
      </c>
    </row>
    <row r="966">
      <c r="A966" s="21" t="n"/>
      <c r="E966" s="18">
        <f>IF(OR(C966="",D966=""),"",IFERROR(INDEX('Qida bazası'!$D$2:$D$103,MATCH(C966,'Qida bazası'!$A$2:$A$103,0))*D966/100,"?"))</f>
        <v/>
      </c>
      <c r="F966" s="19">
        <f>IF(OR(C966="",D966=""),"",IFERROR(INDEX('Qida bazası'!$E$2:$E$103,MATCH(C966,'Qida bazası'!$A$2:$A$103,0))*D966/100,"?"))</f>
        <v/>
      </c>
      <c r="G966" s="19">
        <f>IF(OR(C966="",D966=""),"",IFERROR(INDEX('Qida bazası'!$F$2:$F$103,MATCH(C966,'Qida bazası'!$A$2:$A$103,0))*D966/100,"?"))</f>
        <v/>
      </c>
      <c r="H966" s="19">
        <f>IF(OR(C966="",D966=""),"",IFERROR(INDEX('Qida bazası'!$G$2:$G$103,MATCH(C966,'Qida bazası'!$A$2:$A$103,0))*D966/100,"?"))</f>
        <v/>
      </c>
    </row>
    <row r="967">
      <c r="A967" s="21" t="n"/>
      <c r="E967" s="18">
        <f>IF(OR(C967="",D967=""),"",IFERROR(INDEX('Qida bazası'!$D$2:$D$103,MATCH(C967,'Qida bazası'!$A$2:$A$103,0))*D967/100,"?"))</f>
        <v/>
      </c>
      <c r="F967" s="19">
        <f>IF(OR(C967="",D967=""),"",IFERROR(INDEX('Qida bazası'!$E$2:$E$103,MATCH(C967,'Qida bazası'!$A$2:$A$103,0))*D967/100,"?"))</f>
        <v/>
      </c>
      <c r="G967" s="19">
        <f>IF(OR(C967="",D967=""),"",IFERROR(INDEX('Qida bazası'!$F$2:$F$103,MATCH(C967,'Qida bazası'!$A$2:$A$103,0))*D967/100,"?"))</f>
        <v/>
      </c>
      <c r="H967" s="19">
        <f>IF(OR(C967="",D967=""),"",IFERROR(INDEX('Qida bazası'!$G$2:$G$103,MATCH(C967,'Qida bazası'!$A$2:$A$103,0))*D967/100,"?"))</f>
        <v/>
      </c>
    </row>
    <row r="968">
      <c r="A968" s="21" t="n"/>
      <c r="E968" s="18">
        <f>IF(OR(C968="",D968=""),"",IFERROR(INDEX('Qida bazası'!$D$2:$D$103,MATCH(C968,'Qida bazası'!$A$2:$A$103,0))*D968/100,"?"))</f>
        <v/>
      </c>
      <c r="F968" s="19">
        <f>IF(OR(C968="",D968=""),"",IFERROR(INDEX('Qida bazası'!$E$2:$E$103,MATCH(C968,'Qida bazası'!$A$2:$A$103,0))*D968/100,"?"))</f>
        <v/>
      </c>
      <c r="G968" s="19">
        <f>IF(OR(C968="",D968=""),"",IFERROR(INDEX('Qida bazası'!$F$2:$F$103,MATCH(C968,'Qida bazası'!$A$2:$A$103,0))*D968/100,"?"))</f>
        <v/>
      </c>
      <c r="H968" s="19">
        <f>IF(OR(C968="",D968=""),"",IFERROR(INDEX('Qida bazası'!$G$2:$G$103,MATCH(C968,'Qida bazası'!$A$2:$A$103,0))*D968/100,"?"))</f>
        <v/>
      </c>
    </row>
    <row r="969">
      <c r="A969" s="21" t="n"/>
      <c r="E969" s="18">
        <f>IF(OR(C969="",D969=""),"",IFERROR(INDEX('Qida bazası'!$D$2:$D$103,MATCH(C969,'Qida bazası'!$A$2:$A$103,0))*D969/100,"?"))</f>
        <v/>
      </c>
      <c r="F969" s="19">
        <f>IF(OR(C969="",D969=""),"",IFERROR(INDEX('Qida bazası'!$E$2:$E$103,MATCH(C969,'Qida bazası'!$A$2:$A$103,0))*D969/100,"?"))</f>
        <v/>
      </c>
      <c r="G969" s="19">
        <f>IF(OR(C969="",D969=""),"",IFERROR(INDEX('Qida bazası'!$F$2:$F$103,MATCH(C969,'Qida bazası'!$A$2:$A$103,0))*D969/100,"?"))</f>
        <v/>
      </c>
      <c r="H969" s="19">
        <f>IF(OR(C969="",D969=""),"",IFERROR(INDEX('Qida bazası'!$G$2:$G$103,MATCH(C969,'Qida bazası'!$A$2:$A$103,0))*D969/100,"?"))</f>
        <v/>
      </c>
    </row>
    <row r="970">
      <c r="A970" s="21" t="n"/>
      <c r="E970" s="18">
        <f>IF(OR(C970="",D970=""),"",IFERROR(INDEX('Qida bazası'!$D$2:$D$103,MATCH(C970,'Qida bazası'!$A$2:$A$103,0))*D970/100,"?"))</f>
        <v/>
      </c>
      <c r="F970" s="19">
        <f>IF(OR(C970="",D970=""),"",IFERROR(INDEX('Qida bazası'!$E$2:$E$103,MATCH(C970,'Qida bazası'!$A$2:$A$103,0))*D970/100,"?"))</f>
        <v/>
      </c>
      <c r="G970" s="19">
        <f>IF(OR(C970="",D970=""),"",IFERROR(INDEX('Qida bazası'!$F$2:$F$103,MATCH(C970,'Qida bazası'!$A$2:$A$103,0))*D970/100,"?"))</f>
        <v/>
      </c>
      <c r="H970" s="19">
        <f>IF(OR(C970="",D970=""),"",IFERROR(INDEX('Qida bazası'!$G$2:$G$103,MATCH(C970,'Qida bazası'!$A$2:$A$103,0))*D970/100,"?"))</f>
        <v/>
      </c>
    </row>
    <row r="971">
      <c r="A971" s="21" t="n"/>
      <c r="E971" s="18">
        <f>IF(OR(C971="",D971=""),"",IFERROR(INDEX('Qida bazası'!$D$2:$D$103,MATCH(C971,'Qida bazası'!$A$2:$A$103,0))*D971/100,"?"))</f>
        <v/>
      </c>
      <c r="F971" s="19">
        <f>IF(OR(C971="",D971=""),"",IFERROR(INDEX('Qida bazası'!$E$2:$E$103,MATCH(C971,'Qida bazası'!$A$2:$A$103,0))*D971/100,"?"))</f>
        <v/>
      </c>
      <c r="G971" s="19">
        <f>IF(OR(C971="",D971=""),"",IFERROR(INDEX('Qida bazası'!$F$2:$F$103,MATCH(C971,'Qida bazası'!$A$2:$A$103,0))*D971/100,"?"))</f>
        <v/>
      </c>
      <c r="H971" s="19">
        <f>IF(OR(C971="",D971=""),"",IFERROR(INDEX('Qida bazası'!$G$2:$G$103,MATCH(C971,'Qida bazası'!$A$2:$A$103,0))*D971/100,"?"))</f>
        <v/>
      </c>
    </row>
    <row r="972">
      <c r="A972" s="21" t="n"/>
      <c r="E972" s="18">
        <f>IF(OR(C972="",D972=""),"",IFERROR(INDEX('Qida bazası'!$D$2:$D$103,MATCH(C972,'Qida bazası'!$A$2:$A$103,0))*D972/100,"?"))</f>
        <v/>
      </c>
      <c r="F972" s="19">
        <f>IF(OR(C972="",D972=""),"",IFERROR(INDEX('Qida bazası'!$E$2:$E$103,MATCH(C972,'Qida bazası'!$A$2:$A$103,0))*D972/100,"?"))</f>
        <v/>
      </c>
      <c r="G972" s="19">
        <f>IF(OR(C972="",D972=""),"",IFERROR(INDEX('Qida bazası'!$F$2:$F$103,MATCH(C972,'Qida bazası'!$A$2:$A$103,0))*D972/100,"?"))</f>
        <v/>
      </c>
      <c r="H972" s="19">
        <f>IF(OR(C972="",D972=""),"",IFERROR(INDEX('Qida bazası'!$G$2:$G$103,MATCH(C972,'Qida bazası'!$A$2:$A$103,0))*D972/100,"?"))</f>
        <v/>
      </c>
    </row>
    <row r="973">
      <c r="A973" s="21" t="n"/>
      <c r="E973" s="18">
        <f>IF(OR(C973="",D973=""),"",IFERROR(INDEX('Qida bazası'!$D$2:$D$103,MATCH(C973,'Qida bazası'!$A$2:$A$103,0))*D973/100,"?"))</f>
        <v/>
      </c>
      <c r="F973" s="19">
        <f>IF(OR(C973="",D973=""),"",IFERROR(INDEX('Qida bazası'!$E$2:$E$103,MATCH(C973,'Qida bazası'!$A$2:$A$103,0))*D973/100,"?"))</f>
        <v/>
      </c>
      <c r="G973" s="19">
        <f>IF(OR(C973="",D973=""),"",IFERROR(INDEX('Qida bazası'!$F$2:$F$103,MATCH(C973,'Qida bazası'!$A$2:$A$103,0))*D973/100,"?"))</f>
        <v/>
      </c>
      <c r="H973" s="19">
        <f>IF(OR(C973="",D973=""),"",IFERROR(INDEX('Qida bazası'!$G$2:$G$103,MATCH(C973,'Qida bazası'!$A$2:$A$103,0))*D973/100,"?"))</f>
        <v/>
      </c>
    </row>
    <row r="974">
      <c r="A974" s="21" t="n"/>
      <c r="E974" s="18">
        <f>IF(OR(C974="",D974=""),"",IFERROR(INDEX('Qida bazası'!$D$2:$D$103,MATCH(C974,'Qida bazası'!$A$2:$A$103,0))*D974/100,"?"))</f>
        <v/>
      </c>
      <c r="F974" s="19">
        <f>IF(OR(C974="",D974=""),"",IFERROR(INDEX('Qida bazası'!$E$2:$E$103,MATCH(C974,'Qida bazası'!$A$2:$A$103,0))*D974/100,"?"))</f>
        <v/>
      </c>
      <c r="G974" s="19">
        <f>IF(OR(C974="",D974=""),"",IFERROR(INDEX('Qida bazası'!$F$2:$F$103,MATCH(C974,'Qida bazası'!$A$2:$A$103,0))*D974/100,"?"))</f>
        <v/>
      </c>
      <c r="H974" s="19">
        <f>IF(OR(C974="",D974=""),"",IFERROR(INDEX('Qida bazası'!$G$2:$G$103,MATCH(C974,'Qida bazası'!$A$2:$A$103,0))*D974/100,"?"))</f>
        <v/>
      </c>
    </row>
    <row r="975">
      <c r="A975" s="21" t="n"/>
      <c r="E975" s="18">
        <f>IF(OR(C975="",D975=""),"",IFERROR(INDEX('Qida bazası'!$D$2:$D$103,MATCH(C975,'Qida bazası'!$A$2:$A$103,0))*D975/100,"?"))</f>
        <v/>
      </c>
      <c r="F975" s="19">
        <f>IF(OR(C975="",D975=""),"",IFERROR(INDEX('Qida bazası'!$E$2:$E$103,MATCH(C975,'Qida bazası'!$A$2:$A$103,0))*D975/100,"?"))</f>
        <v/>
      </c>
      <c r="G975" s="19">
        <f>IF(OR(C975="",D975=""),"",IFERROR(INDEX('Qida bazası'!$F$2:$F$103,MATCH(C975,'Qida bazası'!$A$2:$A$103,0))*D975/100,"?"))</f>
        <v/>
      </c>
      <c r="H975" s="19">
        <f>IF(OR(C975="",D975=""),"",IFERROR(INDEX('Qida bazası'!$G$2:$G$103,MATCH(C975,'Qida bazası'!$A$2:$A$103,0))*D975/100,"?"))</f>
        <v/>
      </c>
    </row>
    <row r="976">
      <c r="A976" s="21" t="n"/>
      <c r="E976" s="18">
        <f>IF(OR(C976="",D976=""),"",IFERROR(INDEX('Qida bazası'!$D$2:$D$103,MATCH(C976,'Qida bazası'!$A$2:$A$103,0))*D976/100,"?"))</f>
        <v/>
      </c>
      <c r="F976" s="19">
        <f>IF(OR(C976="",D976=""),"",IFERROR(INDEX('Qida bazası'!$E$2:$E$103,MATCH(C976,'Qida bazası'!$A$2:$A$103,0))*D976/100,"?"))</f>
        <v/>
      </c>
      <c r="G976" s="19">
        <f>IF(OR(C976="",D976=""),"",IFERROR(INDEX('Qida bazası'!$F$2:$F$103,MATCH(C976,'Qida bazası'!$A$2:$A$103,0))*D976/100,"?"))</f>
        <v/>
      </c>
      <c r="H976" s="19">
        <f>IF(OR(C976="",D976=""),"",IFERROR(INDEX('Qida bazası'!$G$2:$G$103,MATCH(C976,'Qida bazası'!$A$2:$A$103,0))*D976/100,"?"))</f>
        <v/>
      </c>
    </row>
    <row r="977">
      <c r="A977" s="21" t="n"/>
      <c r="E977" s="18">
        <f>IF(OR(C977="",D977=""),"",IFERROR(INDEX('Qida bazası'!$D$2:$D$103,MATCH(C977,'Qida bazası'!$A$2:$A$103,0))*D977/100,"?"))</f>
        <v/>
      </c>
      <c r="F977" s="19">
        <f>IF(OR(C977="",D977=""),"",IFERROR(INDEX('Qida bazası'!$E$2:$E$103,MATCH(C977,'Qida bazası'!$A$2:$A$103,0))*D977/100,"?"))</f>
        <v/>
      </c>
      <c r="G977" s="19">
        <f>IF(OR(C977="",D977=""),"",IFERROR(INDEX('Qida bazası'!$F$2:$F$103,MATCH(C977,'Qida bazası'!$A$2:$A$103,0))*D977/100,"?"))</f>
        <v/>
      </c>
      <c r="H977" s="19">
        <f>IF(OR(C977="",D977=""),"",IFERROR(INDEX('Qida bazası'!$G$2:$G$103,MATCH(C977,'Qida bazası'!$A$2:$A$103,0))*D977/100,"?"))</f>
        <v/>
      </c>
    </row>
    <row r="978">
      <c r="A978" s="21" t="n"/>
      <c r="E978" s="18">
        <f>IF(OR(C978="",D978=""),"",IFERROR(INDEX('Qida bazası'!$D$2:$D$103,MATCH(C978,'Qida bazası'!$A$2:$A$103,0))*D978/100,"?"))</f>
        <v/>
      </c>
      <c r="F978" s="19">
        <f>IF(OR(C978="",D978=""),"",IFERROR(INDEX('Qida bazası'!$E$2:$E$103,MATCH(C978,'Qida bazası'!$A$2:$A$103,0))*D978/100,"?"))</f>
        <v/>
      </c>
      <c r="G978" s="19">
        <f>IF(OR(C978="",D978=""),"",IFERROR(INDEX('Qida bazası'!$F$2:$F$103,MATCH(C978,'Qida bazası'!$A$2:$A$103,0))*D978/100,"?"))</f>
        <v/>
      </c>
      <c r="H978" s="19">
        <f>IF(OR(C978="",D978=""),"",IFERROR(INDEX('Qida bazası'!$G$2:$G$103,MATCH(C978,'Qida bazası'!$A$2:$A$103,0))*D978/100,"?"))</f>
        <v/>
      </c>
    </row>
    <row r="979">
      <c r="A979" s="21" t="n"/>
      <c r="E979" s="18">
        <f>IF(OR(C979="",D979=""),"",IFERROR(INDEX('Qida bazası'!$D$2:$D$103,MATCH(C979,'Qida bazası'!$A$2:$A$103,0))*D979/100,"?"))</f>
        <v/>
      </c>
      <c r="F979" s="19">
        <f>IF(OR(C979="",D979=""),"",IFERROR(INDEX('Qida bazası'!$E$2:$E$103,MATCH(C979,'Qida bazası'!$A$2:$A$103,0))*D979/100,"?"))</f>
        <v/>
      </c>
      <c r="G979" s="19">
        <f>IF(OR(C979="",D979=""),"",IFERROR(INDEX('Qida bazası'!$F$2:$F$103,MATCH(C979,'Qida bazası'!$A$2:$A$103,0))*D979/100,"?"))</f>
        <v/>
      </c>
      <c r="H979" s="19">
        <f>IF(OR(C979="",D979=""),"",IFERROR(INDEX('Qida bazası'!$G$2:$G$103,MATCH(C979,'Qida bazası'!$A$2:$A$103,0))*D979/100,"?"))</f>
        <v/>
      </c>
    </row>
    <row r="980">
      <c r="A980" s="21" t="n"/>
      <c r="E980" s="18">
        <f>IF(OR(C980="",D980=""),"",IFERROR(INDEX('Qida bazası'!$D$2:$D$103,MATCH(C980,'Qida bazası'!$A$2:$A$103,0))*D980/100,"?"))</f>
        <v/>
      </c>
      <c r="F980" s="19">
        <f>IF(OR(C980="",D980=""),"",IFERROR(INDEX('Qida bazası'!$E$2:$E$103,MATCH(C980,'Qida bazası'!$A$2:$A$103,0))*D980/100,"?"))</f>
        <v/>
      </c>
      <c r="G980" s="19">
        <f>IF(OR(C980="",D980=""),"",IFERROR(INDEX('Qida bazası'!$F$2:$F$103,MATCH(C980,'Qida bazası'!$A$2:$A$103,0))*D980/100,"?"))</f>
        <v/>
      </c>
      <c r="H980" s="19">
        <f>IF(OR(C980="",D980=""),"",IFERROR(INDEX('Qida bazası'!$G$2:$G$103,MATCH(C980,'Qida bazası'!$A$2:$A$103,0))*D980/100,"?"))</f>
        <v/>
      </c>
    </row>
    <row r="981">
      <c r="A981" s="21" t="n"/>
      <c r="E981" s="18">
        <f>IF(OR(C981="",D981=""),"",IFERROR(INDEX('Qida bazası'!$D$2:$D$103,MATCH(C981,'Qida bazası'!$A$2:$A$103,0))*D981/100,"?"))</f>
        <v/>
      </c>
      <c r="F981" s="19">
        <f>IF(OR(C981="",D981=""),"",IFERROR(INDEX('Qida bazası'!$E$2:$E$103,MATCH(C981,'Qida bazası'!$A$2:$A$103,0))*D981/100,"?"))</f>
        <v/>
      </c>
      <c r="G981" s="19">
        <f>IF(OR(C981="",D981=""),"",IFERROR(INDEX('Qida bazası'!$F$2:$F$103,MATCH(C981,'Qida bazası'!$A$2:$A$103,0))*D981/100,"?"))</f>
        <v/>
      </c>
      <c r="H981" s="19">
        <f>IF(OR(C981="",D981=""),"",IFERROR(INDEX('Qida bazası'!$G$2:$G$103,MATCH(C981,'Qida bazası'!$A$2:$A$103,0))*D981/100,"?"))</f>
        <v/>
      </c>
    </row>
    <row r="982">
      <c r="A982" s="21" t="n"/>
      <c r="E982" s="18">
        <f>IF(OR(C982="",D982=""),"",IFERROR(INDEX('Qida bazası'!$D$2:$D$103,MATCH(C982,'Qida bazası'!$A$2:$A$103,0))*D982/100,"?"))</f>
        <v/>
      </c>
      <c r="F982" s="19">
        <f>IF(OR(C982="",D982=""),"",IFERROR(INDEX('Qida bazası'!$E$2:$E$103,MATCH(C982,'Qida bazası'!$A$2:$A$103,0))*D982/100,"?"))</f>
        <v/>
      </c>
      <c r="G982" s="19">
        <f>IF(OR(C982="",D982=""),"",IFERROR(INDEX('Qida bazası'!$F$2:$F$103,MATCH(C982,'Qida bazası'!$A$2:$A$103,0))*D982/100,"?"))</f>
        <v/>
      </c>
      <c r="H982" s="19">
        <f>IF(OR(C982="",D982=""),"",IFERROR(INDEX('Qida bazası'!$G$2:$G$103,MATCH(C982,'Qida bazası'!$A$2:$A$103,0))*D982/100,"?"))</f>
        <v/>
      </c>
    </row>
    <row r="983">
      <c r="A983" s="21" t="n"/>
      <c r="E983" s="18">
        <f>IF(OR(C983="",D983=""),"",IFERROR(INDEX('Qida bazası'!$D$2:$D$103,MATCH(C983,'Qida bazası'!$A$2:$A$103,0))*D983/100,"?"))</f>
        <v/>
      </c>
      <c r="F983" s="19">
        <f>IF(OR(C983="",D983=""),"",IFERROR(INDEX('Qida bazası'!$E$2:$E$103,MATCH(C983,'Qida bazası'!$A$2:$A$103,0))*D983/100,"?"))</f>
        <v/>
      </c>
      <c r="G983" s="19">
        <f>IF(OR(C983="",D983=""),"",IFERROR(INDEX('Qida bazası'!$F$2:$F$103,MATCH(C983,'Qida bazası'!$A$2:$A$103,0))*D983/100,"?"))</f>
        <v/>
      </c>
      <c r="H983" s="19">
        <f>IF(OR(C983="",D983=""),"",IFERROR(INDEX('Qida bazası'!$G$2:$G$103,MATCH(C983,'Qida bazası'!$A$2:$A$103,0))*D983/100,"?"))</f>
        <v/>
      </c>
    </row>
    <row r="984">
      <c r="A984" s="21" t="n"/>
      <c r="E984" s="18">
        <f>IF(OR(C984="",D984=""),"",IFERROR(INDEX('Qida bazası'!$D$2:$D$103,MATCH(C984,'Qida bazası'!$A$2:$A$103,0))*D984/100,"?"))</f>
        <v/>
      </c>
      <c r="F984" s="19">
        <f>IF(OR(C984="",D984=""),"",IFERROR(INDEX('Qida bazası'!$E$2:$E$103,MATCH(C984,'Qida bazası'!$A$2:$A$103,0))*D984/100,"?"))</f>
        <v/>
      </c>
      <c r="G984" s="19">
        <f>IF(OR(C984="",D984=""),"",IFERROR(INDEX('Qida bazası'!$F$2:$F$103,MATCH(C984,'Qida bazası'!$A$2:$A$103,0))*D984/100,"?"))</f>
        <v/>
      </c>
      <c r="H984" s="19">
        <f>IF(OR(C984="",D984=""),"",IFERROR(INDEX('Qida bazası'!$G$2:$G$103,MATCH(C984,'Qida bazası'!$A$2:$A$103,0))*D984/100,"?"))</f>
        <v/>
      </c>
    </row>
    <row r="985">
      <c r="A985" s="21" t="n"/>
      <c r="E985" s="18">
        <f>IF(OR(C985="",D985=""),"",IFERROR(INDEX('Qida bazası'!$D$2:$D$103,MATCH(C985,'Qida bazası'!$A$2:$A$103,0))*D985/100,"?"))</f>
        <v/>
      </c>
      <c r="F985" s="19">
        <f>IF(OR(C985="",D985=""),"",IFERROR(INDEX('Qida bazası'!$E$2:$E$103,MATCH(C985,'Qida bazası'!$A$2:$A$103,0))*D985/100,"?"))</f>
        <v/>
      </c>
      <c r="G985" s="19">
        <f>IF(OR(C985="",D985=""),"",IFERROR(INDEX('Qida bazası'!$F$2:$F$103,MATCH(C985,'Qida bazası'!$A$2:$A$103,0))*D985/100,"?"))</f>
        <v/>
      </c>
      <c r="H985" s="19">
        <f>IF(OR(C985="",D985=""),"",IFERROR(INDEX('Qida bazası'!$G$2:$G$103,MATCH(C985,'Qida bazası'!$A$2:$A$103,0))*D985/100,"?"))</f>
        <v/>
      </c>
    </row>
    <row r="986">
      <c r="A986" s="21" t="n"/>
      <c r="E986" s="18">
        <f>IF(OR(C986="",D986=""),"",IFERROR(INDEX('Qida bazası'!$D$2:$D$103,MATCH(C986,'Qida bazası'!$A$2:$A$103,0))*D986/100,"?"))</f>
        <v/>
      </c>
      <c r="F986" s="19">
        <f>IF(OR(C986="",D986=""),"",IFERROR(INDEX('Qida bazası'!$E$2:$E$103,MATCH(C986,'Qida bazası'!$A$2:$A$103,0))*D986/100,"?"))</f>
        <v/>
      </c>
      <c r="G986" s="19">
        <f>IF(OR(C986="",D986=""),"",IFERROR(INDEX('Qida bazası'!$F$2:$F$103,MATCH(C986,'Qida bazası'!$A$2:$A$103,0))*D986/100,"?"))</f>
        <v/>
      </c>
      <c r="H986" s="19">
        <f>IF(OR(C986="",D986=""),"",IFERROR(INDEX('Qida bazası'!$G$2:$G$103,MATCH(C986,'Qida bazası'!$A$2:$A$103,0))*D986/100,"?"))</f>
        <v/>
      </c>
    </row>
    <row r="987">
      <c r="A987" s="21" t="n"/>
      <c r="E987" s="18">
        <f>IF(OR(C987="",D987=""),"",IFERROR(INDEX('Qida bazası'!$D$2:$D$103,MATCH(C987,'Qida bazası'!$A$2:$A$103,0))*D987/100,"?"))</f>
        <v/>
      </c>
      <c r="F987" s="19">
        <f>IF(OR(C987="",D987=""),"",IFERROR(INDEX('Qida bazası'!$E$2:$E$103,MATCH(C987,'Qida bazası'!$A$2:$A$103,0))*D987/100,"?"))</f>
        <v/>
      </c>
      <c r="G987" s="19">
        <f>IF(OR(C987="",D987=""),"",IFERROR(INDEX('Qida bazası'!$F$2:$F$103,MATCH(C987,'Qida bazası'!$A$2:$A$103,0))*D987/100,"?"))</f>
        <v/>
      </c>
      <c r="H987" s="19">
        <f>IF(OR(C987="",D987=""),"",IFERROR(INDEX('Qida bazası'!$G$2:$G$103,MATCH(C987,'Qida bazası'!$A$2:$A$103,0))*D987/100,"?"))</f>
        <v/>
      </c>
    </row>
    <row r="988">
      <c r="A988" s="21" t="n"/>
      <c r="E988" s="18">
        <f>IF(OR(C988="",D988=""),"",IFERROR(INDEX('Qida bazası'!$D$2:$D$103,MATCH(C988,'Qida bazası'!$A$2:$A$103,0))*D988/100,"?"))</f>
        <v/>
      </c>
      <c r="F988" s="19">
        <f>IF(OR(C988="",D988=""),"",IFERROR(INDEX('Qida bazası'!$E$2:$E$103,MATCH(C988,'Qida bazası'!$A$2:$A$103,0))*D988/100,"?"))</f>
        <v/>
      </c>
      <c r="G988" s="19">
        <f>IF(OR(C988="",D988=""),"",IFERROR(INDEX('Qida bazası'!$F$2:$F$103,MATCH(C988,'Qida bazası'!$A$2:$A$103,0))*D988/100,"?"))</f>
        <v/>
      </c>
      <c r="H988" s="19">
        <f>IF(OR(C988="",D988=""),"",IFERROR(INDEX('Qida bazası'!$G$2:$G$103,MATCH(C988,'Qida bazası'!$A$2:$A$103,0))*D988/100,"?"))</f>
        <v/>
      </c>
    </row>
    <row r="989">
      <c r="A989" s="21" t="n"/>
      <c r="E989" s="18">
        <f>IF(OR(C989="",D989=""),"",IFERROR(INDEX('Qida bazası'!$D$2:$D$103,MATCH(C989,'Qida bazası'!$A$2:$A$103,0))*D989/100,"?"))</f>
        <v/>
      </c>
      <c r="F989" s="19">
        <f>IF(OR(C989="",D989=""),"",IFERROR(INDEX('Qida bazası'!$E$2:$E$103,MATCH(C989,'Qida bazası'!$A$2:$A$103,0))*D989/100,"?"))</f>
        <v/>
      </c>
      <c r="G989" s="19">
        <f>IF(OR(C989="",D989=""),"",IFERROR(INDEX('Qida bazası'!$F$2:$F$103,MATCH(C989,'Qida bazası'!$A$2:$A$103,0))*D989/100,"?"))</f>
        <v/>
      </c>
      <c r="H989" s="19">
        <f>IF(OR(C989="",D989=""),"",IFERROR(INDEX('Qida bazası'!$G$2:$G$103,MATCH(C989,'Qida bazası'!$A$2:$A$103,0))*D989/100,"?"))</f>
        <v/>
      </c>
    </row>
    <row r="990">
      <c r="A990" s="21" t="n"/>
      <c r="E990" s="18">
        <f>IF(OR(C990="",D990=""),"",IFERROR(INDEX('Qida bazası'!$D$2:$D$103,MATCH(C990,'Qida bazası'!$A$2:$A$103,0))*D990/100,"?"))</f>
        <v/>
      </c>
      <c r="F990" s="19">
        <f>IF(OR(C990="",D990=""),"",IFERROR(INDEX('Qida bazası'!$E$2:$E$103,MATCH(C990,'Qida bazası'!$A$2:$A$103,0))*D990/100,"?"))</f>
        <v/>
      </c>
      <c r="G990" s="19">
        <f>IF(OR(C990="",D990=""),"",IFERROR(INDEX('Qida bazası'!$F$2:$F$103,MATCH(C990,'Qida bazası'!$A$2:$A$103,0))*D990/100,"?"))</f>
        <v/>
      </c>
      <c r="H990" s="19">
        <f>IF(OR(C990="",D990=""),"",IFERROR(INDEX('Qida bazası'!$G$2:$G$103,MATCH(C990,'Qida bazası'!$A$2:$A$103,0))*D990/100,"?"))</f>
        <v/>
      </c>
    </row>
    <row r="991">
      <c r="A991" s="21" t="n"/>
      <c r="E991" s="18">
        <f>IF(OR(C991="",D991=""),"",IFERROR(INDEX('Qida bazası'!$D$2:$D$103,MATCH(C991,'Qida bazası'!$A$2:$A$103,0))*D991/100,"?"))</f>
        <v/>
      </c>
      <c r="F991" s="19">
        <f>IF(OR(C991="",D991=""),"",IFERROR(INDEX('Qida bazası'!$E$2:$E$103,MATCH(C991,'Qida bazası'!$A$2:$A$103,0))*D991/100,"?"))</f>
        <v/>
      </c>
      <c r="G991" s="19">
        <f>IF(OR(C991="",D991=""),"",IFERROR(INDEX('Qida bazası'!$F$2:$F$103,MATCH(C991,'Qida bazası'!$A$2:$A$103,0))*D991/100,"?"))</f>
        <v/>
      </c>
      <c r="H991" s="19">
        <f>IF(OR(C991="",D991=""),"",IFERROR(INDEX('Qida bazası'!$G$2:$G$103,MATCH(C991,'Qida bazası'!$A$2:$A$103,0))*D991/100,"?"))</f>
        <v/>
      </c>
    </row>
    <row r="992">
      <c r="A992" s="21" t="n"/>
      <c r="E992" s="18">
        <f>IF(OR(C992="",D992=""),"",IFERROR(INDEX('Qida bazası'!$D$2:$D$103,MATCH(C992,'Qida bazası'!$A$2:$A$103,0))*D992/100,"?"))</f>
        <v/>
      </c>
      <c r="F992" s="19">
        <f>IF(OR(C992="",D992=""),"",IFERROR(INDEX('Qida bazası'!$E$2:$E$103,MATCH(C992,'Qida bazası'!$A$2:$A$103,0))*D992/100,"?"))</f>
        <v/>
      </c>
      <c r="G992" s="19">
        <f>IF(OR(C992="",D992=""),"",IFERROR(INDEX('Qida bazası'!$F$2:$F$103,MATCH(C992,'Qida bazası'!$A$2:$A$103,0))*D992/100,"?"))</f>
        <v/>
      </c>
      <c r="H992" s="19">
        <f>IF(OR(C992="",D992=""),"",IFERROR(INDEX('Qida bazası'!$G$2:$G$103,MATCH(C992,'Qida bazası'!$A$2:$A$103,0))*D992/100,"?"))</f>
        <v/>
      </c>
    </row>
    <row r="993">
      <c r="A993" s="21" t="n"/>
      <c r="E993" s="18">
        <f>IF(OR(C993="",D993=""),"",IFERROR(INDEX('Qida bazası'!$D$2:$D$103,MATCH(C993,'Qida bazası'!$A$2:$A$103,0))*D993/100,"?"))</f>
        <v/>
      </c>
      <c r="F993" s="19">
        <f>IF(OR(C993="",D993=""),"",IFERROR(INDEX('Qida bazası'!$E$2:$E$103,MATCH(C993,'Qida bazası'!$A$2:$A$103,0))*D993/100,"?"))</f>
        <v/>
      </c>
      <c r="G993" s="19">
        <f>IF(OR(C993="",D993=""),"",IFERROR(INDEX('Qida bazası'!$F$2:$F$103,MATCH(C993,'Qida bazası'!$A$2:$A$103,0))*D993/100,"?"))</f>
        <v/>
      </c>
      <c r="H993" s="19">
        <f>IF(OR(C993="",D993=""),"",IFERROR(INDEX('Qida bazası'!$G$2:$G$103,MATCH(C993,'Qida bazası'!$A$2:$A$103,0))*D993/100,"?"))</f>
        <v/>
      </c>
    </row>
    <row r="994">
      <c r="A994" s="21" t="n"/>
      <c r="E994" s="18">
        <f>IF(OR(C994="",D994=""),"",IFERROR(INDEX('Qida bazası'!$D$2:$D$103,MATCH(C994,'Qida bazası'!$A$2:$A$103,0))*D994/100,"?"))</f>
        <v/>
      </c>
      <c r="F994" s="19">
        <f>IF(OR(C994="",D994=""),"",IFERROR(INDEX('Qida bazası'!$E$2:$E$103,MATCH(C994,'Qida bazası'!$A$2:$A$103,0))*D994/100,"?"))</f>
        <v/>
      </c>
      <c r="G994" s="19">
        <f>IF(OR(C994="",D994=""),"",IFERROR(INDEX('Qida bazası'!$F$2:$F$103,MATCH(C994,'Qida bazası'!$A$2:$A$103,0))*D994/100,"?"))</f>
        <v/>
      </c>
      <c r="H994" s="19">
        <f>IF(OR(C994="",D994=""),"",IFERROR(INDEX('Qida bazası'!$G$2:$G$103,MATCH(C994,'Qida bazası'!$A$2:$A$103,0))*D994/100,"?"))</f>
        <v/>
      </c>
    </row>
    <row r="995">
      <c r="A995" s="21" t="n"/>
      <c r="E995" s="18">
        <f>IF(OR(C995="",D995=""),"",IFERROR(INDEX('Qida bazası'!$D$2:$D$103,MATCH(C995,'Qida bazası'!$A$2:$A$103,0))*D995/100,"?"))</f>
        <v/>
      </c>
      <c r="F995" s="19">
        <f>IF(OR(C995="",D995=""),"",IFERROR(INDEX('Qida bazası'!$E$2:$E$103,MATCH(C995,'Qida bazası'!$A$2:$A$103,0))*D995/100,"?"))</f>
        <v/>
      </c>
      <c r="G995" s="19">
        <f>IF(OR(C995="",D995=""),"",IFERROR(INDEX('Qida bazası'!$F$2:$F$103,MATCH(C995,'Qida bazası'!$A$2:$A$103,0))*D995/100,"?"))</f>
        <v/>
      </c>
      <c r="H995" s="19">
        <f>IF(OR(C995="",D995=""),"",IFERROR(INDEX('Qida bazası'!$G$2:$G$103,MATCH(C995,'Qida bazası'!$A$2:$A$103,0))*D995/100,"?"))</f>
        <v/>
      </c>
    </row>
    <row r="996">
      <c r="A996" s="21" t="n"/>
      <c r="E996" s="18">
        <f>IF(OR(C996="",D996=""),"",IFERROR(INDEX('Qida bazası'!$D$2:$D$103,MATCH(C996,'Qida bazası'!$A$2:$A$103,0))*D996/100,"?"))</f>
        <v/>
      </c>
      <c r="F996" s="19">
        <f>IF(OR(C996="",D996=""),"",IFERROR(INDEX('Qida bazası'!$E$2:$E$103,MATCH(C996,'Qida bazası'!$A$2:$A$103,0))*D996/100,"?"))</f>
        <v/>
      </c>
      <c r="G996" s="19">
        <f>IF(OR(C996="",D996=""),"",IFERROR(INDEX('Qida bazası'!$F$2:$F$103,MATCH(C996,'Qida bazası'!$A$2:$A$103,0))*D996/100,"?"))</f>
        <v/>
      </c>
      <c r="H996" s="19">
        <f>IF(OR(C996="",D996=""),"",IFERROR(INDEX('Qida bazası'!$G$2:$G$103,MATCH(C996,'Qida bazası'!$A$2:$A$103,0))*D996/100,"?"))</f>
        <v/>
      </c>
    </row>
    <row r="997">
      <c r="A997" s="21" t="n"/>
      <c r="E997" s="18">
        <f>IF(OR(C997="",D997=""),"",IFERROR(INDEX('Qida bazası'!$D$2:$D$103,MATCH(C997,'Qida bazası'!$A$2:$A$103,0))*D997/100,"?"))</f>
        <v/>
      </c>
      <c r="F997" s="19">
        <f>IF(OR(C997="",D997=""),"",IFERROR(INDEX('Qida bazası'!$E$2:$E$103,MATCH(C997,'Qida bazası'!$A$2:$A$103,0))*D997/100,"?"))</f>
        <v/>
      </c>
      <c r="G997" s="19">
        <f>IF(OR(C997="",D997=""),"",IFERROR(INDEX('Qida bazası'!$F$2:$F$103,MATCH(C997,'Qida bazası'!$A$2:$A$103,0))*D997/100,"?"))</f>
        <v/>
      </c>
      <c r="H997" s="19">
        <f>IF(OR(C997="",D997=""),"",IFERROR(INDEX('Qida bazası'!$G$2:$G$103,MATCH(C997,'Qida bazası'!$A$2:$A$103,0))*D997/100,"?"))</f>
        <v/>
      </c>
    </row>
    <row r="998">
      <c r="A998" s="21" t="n"/>
      <c r="E998" s="18">
        <f>IF(OR(C998="",D998=""),"",IFERROR(INDEX('Qida bazası'!$D$2:$D$103,MATCH(C998,'Qida bazası'!$A$2:$A$103,0))*D998/100,"?"))</f>
        <v/>
      </c>
      <c r="F998" s="19">
        <f>IF(OR(C998="",D998=""),"",IFERROR(INDEX('Qida bazası'!$E$2:$E$103,MATCH(C998,'Qida bazası'!$A$2:$A$103,0))*D998/100,"?"))</f>
        <v/>
      </c>
      <c r="G998" s="19">
        <f>IF(OR(C998="",D998=""),"",IFERROR(INDEX('Qida bazası'!$F$2:$F$103,MATCH(C998,'Qida bazası'!$A$2:$A$103,0))*D998/100,"?"))</f>
        <v/>
      </c>
      <c r="H998" s="19">
        <f>IF(OR(C998="",D998=""),"",IFERROR(INDEX('Qida bazası'!$G$2:$G$103,MATCH(C998,'Qida bazası'!$A$2:$A$103,0))*D998/100,"?"))</f>
        <v/>
      </c>
    </row>
    <row r="999">
      <c r="A999" s="21" t="n"/>
      <c r="E999" s="18">
        <f>IF(OR(C999="",D999=""),"",IFERROR(INDEX('Qida bazası'!$D$2:$D$103,MATCH(C999,'Qida bazası'!$A$2:$A$103,0))*D999/100,"?"))</f>
        <v/>
      </c>
      <c r="F999" s="19">
        <f>IF(OR(C999="",D999=""),"",IFERROR(INDEX('Qida bazası'!$E$2:$E$103,MATCH(C999,'Qida bazası'!$A$2:$A$103,0))*D999/100,"?"))</f>
        <v/>
      </c>
      <c r="G999" s="19">
        <f>IF(OR(C999="",D999=""),"",IFERROR(INDEX('Qida bazası'!$F$2:$F$103,MATCH(C999,'Qida bazası'!$A$2:$A$103,0))*D999/100,"?"))</f>
        <v/>
      </c>
      <c r="H999" s="19">
        <f>IF(OR(C999="",D999=""),"",IFERROR(INDEX('Qida bazası'!$G$2:$G$103,MATCH(C999,'Qida bazası'!$A$2:$A$103,0))*D999/100,"?"))</f>
        <v/>
      </c>
    </row>
    <row r="1000">
      <c r="A1000" s="21" t="n"/>
      <c r="E1000" s="18">
        <f>IF(OR(C1000="",D1000=""),"",IFERROR(INDEX('Qida bazası'!$D$2:$D$103,MATCH(C1000,'Qida bazası'!$A$2:$A$103,0))*D1000/100,"?"))</f>
        <v/>
      </c>
      <c r="F1000" s="19">
        <f>IF(OR(C1000="",D1000=""),"",IFERROR(INDEX('Qida bazası'!$E$2:$E$103,MATCH(C1000,'Qida bazası'!$A$2:$A$103,0))*D1000/100,"?"))</f>
        <v/>
      </c>
      <c r="G1000" s="19">
        <f>IF(OR(C1000="",D1000=""),"",IFERROR(INDEX('Qida bazası'!$F$2:$F$103,MATCH(C1000,'Qida bazası'!$A$2:$A$103,0))*D1000/100,"?"))</f>
        <v/>
      </c>
      <c r="H1000" s="19">
        <f>IF(OR(C1000="",D1000=""),"",IFERROR(INDEX('Qida bazası'!$G$2:$G$103,MATCH(C1000,'Qida bazası'!$A$2:$A$103,0))*D1000/100,"?"))</f>
        <v/>
      </c>
    </row>
    <row r="1001">
      <c r="A1001" s="21" t="n"/>
      <c r="E1001" s="18">
        <f>IF(OR(C1001="",D1001=""),"",IFERROR(INDEX('Qida bazası'!$D$2:$D$103,MATCH(C1001,'Qida bazası'!$A$2:$A$103,0))*D1001/100,"?"))</f>
        <v/>
      </c>
      <c r="F1001" s="19">
        <f>IF(OR(C1001="",D1001=""),"",IFERROR(INDEX('Qida bazası'!$E$2:$E$103,MATCH(C1001,'Qida bazası'!$A$2:$A$103,0))*D1001/100,"?"))</f>
        <v/>
      </c>
      <c r="G1001" s="19">
        <f>IF(OR(C1001="",D1001=""),"",IFERROR(INDEX('Qida bazası'!$F$2:$F$103,MATCH(C1001,'Qida bazası'!$A$2:$A$103,0))*D1001/100,"?"))</f>
        <v/>
      </c>
      <c r="H1001" s="19">
        <f>IF(OR(C1001="",D1001=""),"",IFERROR(INDEX('Qida bazası'!$G$2:$G$103,MATCH(C1001,'Qida bazası'!$A$2:$A$103,0))*D1001/100,"?"))</f>
        <v/>
      </c>
    </row>
    <row r="1002">
      <c r="A1002" s="21" t="n"/>
      <c r="E1002" s="18">
        <f>IF(OR(C1002="",D1002=""),"",IFERROR(INDEX('Qida bazası'!$D$2:$D$103,MATCH(C1002,'Qida bazası'!$A$2:$A$103,0))*D1002/100,"?"))</f>
        <v/>
      </c>
      <c r="F1002" s="19">
        <f>IF(OR(C1002="",D1002=""),"",IFERROR(INDEX('Qida bazası'!$E$2:$E$103,MATCH(C1002,'Qida bazası'!$A$2:$A$103,0))*D1002/100,"?"))</f>
        <v/>
      </c>
      <c r="G1002" s="19">
        <f>IF(OR(C1002="",D1002=""),"",IFERROR(INDEX('Qida bazası'!$F$2:$F$103,MATCH(C1002,'Qida bazası'!$A$2:$A$103,0))*D1002/100,"?"))</f>
        <v/>
      </c>
      <c r="H1002" s="19">
        <f>IF(OR(C1002="",D1002=""),"",IFERROR(INDEX('Qida bazası'!$G$2:$G$103,MATCH(C1002,'Qida bazası'!$A$2:$A$103,0))*D1002/100,"?"))</f>
        <v/>
      </c>
    </row>
    <row r="1003">
      <c r="A1003" s="21" t="n"/>
      <c r="E1003" s="18">
        <f>IF(OR(C1003="",D1003=""),"",IFERROR(INDEX('Qida bazası'!$D$2:$D$103,MATCH(C1003,'Qida bazası'!$A$2:$A$103,0))*D1003/100,"?"))</f>
        <v/>
      </c>
      <c r="F1003" s="19">
        <f>IF(OR(C1003="",D1003=""),"",IFERROR(INDEX('Qida bazası'!$E$2:$E$103,MATCH(C1003,'Qida bazası'!$A$2:$A$103,0))*D1003/100,"?"))</f>
        <v/>
      </c>
      <c r="G1003" s="19">
        <f>IF(OR(C1003="",D1003=""),"",IFERROR(INDEX('Qida bazası'!$F$2:$F$103,MATCH(C1003,'Qida bazası'!$A$2:$A$103,0))*D1003/100,"?"))</f>
        <v/>
      </c>
      <c r="H1003" s="19">
        <f>IF(OR(C1003="",D1003=""),"",IFERROR(INDEX('Qida bazası'!$G$2:$G$103,MATCH(C1003,'Qida bazası'!$A$2:$A$103,0))*D1003/100,"?"))</f>
        <v/>
      </c>
    </row>
    <row r="1004">
      <c r="A1004" s="21" t="n"/>
      <c r="E1004" s="18">
        <f>IF(OR(C1004="",D1004=""),"",IFERROR(INDEX('Qida bazası'!$D$2:$D$103,MATCH(C1004,'Qida bazası'!$A$2:$A$103,0))*D1004/100,"?"))</f>
        <v/>
      </c>
      <c r="F1004" s="19">
        <f>IF(OR(C1004="",D1004=""),"",IFERROR(INDEX('Qida bazası'!$E$2:$E$103,MATCH(C1004,'Qida bazası'!$A$2:$A$103,0))*D1004/100,"?"))</f>
        <v/>
      </c>
      <c r="G1004" s="19">
        <f>IF(OR(C1004="",D1004=""),"",IFERROR(INDEX('Qida bazası'!$F$2:$F$103,MATCH(C1004,'Qida bazası'!$A$2:$A$103,0))*D1004/100,"?"))</f>
        <v/>
      </c>
      <c r="H1004" s="19">
        <f>IF(OR(C1004="",D1004=""),"",IFERROR(INDEX('Qida bazası'!$G$2:$G$103,MATCH(C1004,'Qida bazası'!$A$2:$A$103,0))*D1004/100,"?"))</f>
        <v/>
      </c>
    </row>
    <row r="1005">
      <c r="A1005" s="21" t="n"/>
      <c r="E1005" s="18">
        <f>IF(OR(C1005="",D1005=""),"",IFERROR(INDEX('Qida bazası'!$D$2:$D$103,MATCH(C1005,'Qida bazası'!$A$2:$A$103,0))*D1005/100,"?"))</f>
        <v/>
      </c>
      <c r="F1005" s="19">
        <f>IF(OR(C1005="",D1005=""),"",IFERROR(INDEX('Qida bazası'!$E$2:$E$103,MATCH(C1005,'Qida bazası'!$A$2:$A$103,0))*D1005/100,"?"))</f>
        <v/>
      </c>
      <c r="G1005" s="19">
        <f>IF(OR(C1005="",D1005=""),"",IFERROR(INDEX('Qida bazası'!$F$2:$F$103,MATCH(C1005,'Qida bazası'!$A$2:$A$103,0))*D1005/100,"?"))</f>
        <v/>
      </c>
      <c r="H1005" s="19">
        <f>IF(OR(C1005="",D1005=""),"",IFERROR(INDEX('Qida bazası'!$G$2:$G$103,MATCH(C1005,'Qida bazası'!$A$2:$A$103,0))*D1005/100,"?"))</f>
        <v/>
      </c>
    </row>
    <row r="1006">
      <c r="A1006" s="21" t="n"/>
      <c r="E1006" s="18">
        <f>IF(OR(C1006="",D1006=""),"",IFERROR(INDEX('Qida bazası'!$D$2:$D$103,MATCH(C1006,'Qida bazası'!$A$2:$A$103,0))*D1006/100,"?"))</f>
        <v/>
      </c>
      <c r="F1006" s="19">
        <f>IF(OR(C1006="",D1006=""),"",IFERROR(INDEX('Qida bazası'!$E$2:$E$103,MATCH(C1006,'Qida bazası'!$A$2:$A$103,0))*D1006/100,"?"))</f>
        <v/>
      </c>
      <c r="G1006" s="19">
        <f>IF(OR(C1006="",D1006=""),"",IFERROR(INDEX('Qida bazası'!$F$2:$F$103,MATCH(C1006,'Qida bazası'!$A$2:$A$103,0))*D1006/100,"?"))</f>
        <v/>
      </c>
      <c r="H1006" s="19">
        <f>IF(OR(C1006="",D1006=""),"",IFERROR(INDEX('Qida bazası'!$G$2:$G$103,MATCH(C1006,'Qida bazası'!$A$2:$A$103,0))*D1006/100,"?"))</f>
        <v/>
      </c>
    </row>
    <row r="1007">
      <c r="A1007" s="21" t="n"/>
      <c r="E1007" s="18">
        <f>IF(OR(C1007="",D1007=""),"",IFERROR(INDEX('Qida bazası'!$D$2:$D$103,MATCH(C1007,'Qida bazası'!$A$2:$A$103,0))*D1007/100,"?"))</f>
        <v/>
      </c>
      <c r="F1007" s="19">
        <f>IF(OR(C1007="",D1007=""),"",IFERROR(INDEX('Qida bazası'!$E$2:$E$103,MATCH(C1007,'Qida bazası'!$A$2:$A$103,0))*D1007/100,"?"))</f>
        <v/>
      </c>
      <c r="G1007" s="19">
        <f>IF(OR(C1007="",D1007=""),"",IFERROR(INDEX('Qida bazası'!$F$2:$F$103,MATCH(C1007,'Qida bazası'!$A$2:$A$103,0))*D1007/100,"?"))</f>
        <v/>
      </c>
      <c r="H1007" s="19">
        <f>IF(OR(C1007="",D1007=""),"",IFERROR(INDEX('Qida bazası'!$G$2:$G$103,MATCH(C1007,'Qida bazası'!$A$2:$A$103,0))*D1007/100,"?"))</f>
        <v/>
      </c>
    </row>
    <row r="1008">
      <c r="A1008" s="21" t="n"/>
      <c r="E1008" s="18">
        <f>IF(OR(C1008="",D1008=""),"",IFERROR(INDEX('Qida bazası'!$D$2:$D$103,MATCH(C1008,'Qida bazası'!$A$2:$A$103,0))*D1008/100,"?"))</f>
        <v/>
      </c>
      <c r="F1008" s="19">
        <f>IF(OR(C1008="",D1008=""),"",IFERROR(INDEX('Qida bazası'!$E$2:$E$103,MATCH(C1008,'Qida bazası'!$A$2:$A$103,0))*D1008/100,"?"))</f>
        <v/>
      </c>
      <c r="G1008" s="19">
        <f>IF(OR(C1008="",D1008=""),"",IFERROR(INDEX('Qida bazası'!$F$2:$F$103,MATCH(C1008,'Qida bazası'!$A$2:$A$103,0))*D1008/100,"?"))</f>
        <v/>
      </c>
      <c r="H1008" s="19">
        <f>IF(OR(C1008="",D1008=""),"",IFERROR(INDEX('Qida bazası'!$G$2:$G$103,MATCH(C1008,'Qida bazası'!$A$2:$A$103,0))*D1008/100,"?"))</f>
        <v/>
      </c>
    </row>
    <row r="1009">
      <c r="A1009" s="21" t="n"/>
      <c r="E1009" s="18">
        <f>IF(OR(C1009="",D1009=""),"",IFERROR(INDEX('Qida bazası'!$D$2:$D$103,MATCH(C1009,'Qida bazası'!$A$2:$A$103,0))*D1009/100,"?"))</f>
        <v/>
      </c>
      <c r="F1009" s="19">
        <f>IF(OR(C1009="",D1009=""),"",IFERROR(INDEX('Qida bazası'!$E$2:$E$103,MATCH(C1009,'Qida bazası'!$A$2:$A$103,0))*D1009/100,"?"))</f>
        <v/>
      </c>
      <c r="G1009" s="19">
        <f>IF(OR(C1009="",D1009=""),"",IFERROR(INDEX('Qida bazası'!$F$2:$F$103,MATCH(C1009,'Qida bazası'!$A$2:$A$103,0))*D1009/100,"?"))</f>
        <v/>
      </c>
      <c r="H1009" s="19">
        <f>IF(OR(C1009="",D1009=""),"",IFERROR(INDEX('Qida bazası'!$G$2:$G$103,MATCH(C1009,'Qida bazası'!$A$2:$A$103,0))*D1009/100,"?"))</f>
        <v/>
      </c>
    </row>
    <row r="1010">
      <c r="A1010" s="21" t="n"/>
      <c r="E1010" s="18">
        <f>IF(OR(C1010="",D1010=""),"",IFERROR(INDEX('Qida bazası'!$D$2:$D$103,MATCH(C1010,'Qida bazası'!$A$2:$A$103,0))*D1010/100,"?"))</f>
        <v/>
      </c>
      <c r="F1010" s="19">
        <f>IF(OR(C1010="",D1010=""),"",IFERROR(INDEX('Qida bazası'!$E$2:$E$103,MATCH(C1010,'Qida bazası'!$A$2:$A$103,0))*D1010/100,"?"))</f>
        <v/>
      </c>
      <c r="G1010" s="19">
        <f>IF(OR(C1010="",D1010=""),"",IFERROR(INDEX('Qida bazası'!$F$2:$F$103,MATCH(C1010,'Qida bazası'!$A$2:$A$103,0))*D1010/100,"?"))</f>
        <v/>
      </c>
      <c r="H1010" s="19">
        <f>IF(OR(C1010="",D1010=""),"",IFERROR(INDEX('Qida bazası'!$G$2:$G$103,MATCH(C1010,'Qida bazası'!$A$2:$A$103,0))*D1010/100,"?"))</f>
        <v/>
      </c>
    </row>
    <row r="1011">
      <c r="A1011" s="21" t="n"/>
      <c r="E1011" s="18">
        <f>IF(OR(C1011="",D1011=""),"",IFERROR(INDEX('Qida bazası'!$D$2:$D$103,MATCH(C1011,'Qida bazası'!$A$2:$A$103,0))*D1011/100,"?"))</f>
        <v/>
      </c>
      <c r="F1011" s="19">
        <f>IF(OR(C1011="",D1011=""),"",IFERROR(INDEX('Qida bazası'!$E$2:$E$103,MATCH(C1011,'Qida bazası'!$A$2:$A$103,0))*D1011/100,"?"))</f>
        <v/>
      </c>
      <c r="G1011" s="19">
        <f>IF(OR(C1011="",D1011=""),"",IFERROR(INDEX('Qida bazası'!$F$2:$F$103,MATCH(C1011,'Qida bazası'!$A$2:$A$103,0))*D1011/100,"?"))</f>
        <v/>
      </c>
      <c r="H1011" s="19">
        <f>IF(OR(C1011="",D1011=""),"",IFERROR(INDEX('Qida bazası'!$G$2:$G$103,MATCH(C1011,'Qida bazası'!$A$2:$A$103,0))*D1011/100,"?"))</f>
        <v/>
      </c>
    </row>
    <row r="1012">
      <c r="A1012" s="21" t="n"/>
      <c r="E1012" s="18">
        <f>IF(OR(C1012="",D1012=""),"",IFERROR(INDEX('Qida bazası'!$D$2:$D$103,MATCH(C1012,'Qida bazası'!$A$2:$A$103,0))*D1012/100,"?"))</f>
        <v/>
      </c>
      <c r="F1012" s="19">
        <f>IF(OR(C1012="",D1012=""),"",IFERROR(INDEX('Qida bazası'!$E$2:$E$103,MATCH(C1012,'Qida bazası'!$A$2:$A$103,0))*D1012/100,"?"))</f>
        <v/>
      </c>
      <c r="G1012" s="19">
        <f>IF(OR(C1012="",D1012=""),"",IFERROR(INDEX('Qida bazası'!$F$2:$F$103,MATCH(C1012,'Qida bazası'!$A$2:$A$103,0))*D1012/100,"?"))</f>
        <v/>
      </c>
      <c r="H1012" s="19">
        <f>IF(OR(C1012="",D1012=""),"",IFERROR(INDEX('Qida bazası'!$G$2:$G$103,MATCH(C1012,'Qida bazası'!$A$2:$A$103,0))*D1012/100,"?"))</f>
        <v/>
      </c>
    </row>
    <row r="1013">
      <c r="A1013" s="21" t="n"/>
      <c r="E1013" s="18">
        <f>IF(OR(C1013="",D1013=""),"",IFERROR(INDEX('Qida bazası'!$D$2:$D$103,MATCH(C1013,'Qida bazası'!$A$2:$A$103,0))*D1013/100,"?"))</f>
        <v/>
      </c>
      <c r="F1013" s="19">
        <f>IF(OR(C1013="",D1013=""),"",IFERROR(INDEX('Qida bazası'!$E$2:$E$103,MATCH(C1013,'Qida bazası'!$A$2:$A$103,0))*D1013/100,"?"))</f>
        <v/>
      </c>
      <c r="G1013" s="19">
        <f>IF(OR(C1013="",D1013=""),"",IFERROR(INDEX('Qida bazası'!$F$2:$F$103,MATCH(C1013,'Qida bazası'!$A$2:$A$103,0))*D1013/100,"?"))</f>
        <v/>
      </c>
      <c r="H1013" s="19">
        <f>IF(OR(C1013="",D1013=""),"",IFERROR(INDEX('Qida bazası'!$G$2:$G$103,MATCH(C1013,'Qida bazası'!$A$2:$A$103,0))*D1013/100,"?"))</f>
        <v/>
      </c>
    </row>
    <row r="1014">
      <c r="A1014" s="21" t="n"/>
      <c r="E1014" s="18">
        <f>IF(OR(C1014="",D1014=""),"",IFERROR(INDEX('Qida bazası'!$D$2:$D$103,MATCH(C1014,'Qida bazası'!$A$2:$A$103,0))*D1014/100,"?"))</f>
        <v/>
      </c>
      <c r="F1014" s="19">
        <f>IF(OR(C1014="",D1014=""),"",IFERROR(INDEX('Qida bazası'!$E$2:$E$103,MATCH(C1014,'Qida bazası'!$A$2:$A$103,0))*D1014/100,"?"))</f>
        <v/>
      </c>
      <c r="G1014" s="19">
        <f>IF(OR(C1014="",D1014=""),"",IFERROR(INDEX('Qida bazası'!$F$2:$F$103,MATCH(C1014,'Qida bazası'!$A$2:$A$103,0))*D1014/100,"?"))</f>
        <v/>
      </c>
      <c r="H1014" s="19">
        <f>IF(OR(C1014="",D1014=""),"",IFERROR(INDEX('Qida bazası'!$G$2:$G$103,MATCH(C1014,'Qida bazası'!$A$2:$A$103,0))*D1014/100,"?"))</f>
        <v/>
      </c>
    </row>
    <row r="1015">
      <c r="A1015" s="21" t="n"/>
      <c r="E1015" s="18">
        <f>IF(OR(C1015="",D1015=""),"",IFERROR(INDEX('Qida bazası'!$D$2:$D$103,MATCH(C1015,'Qida bazası'!$A$2:$A$103,0))*D1015/100,"?"))</f>
        <v/>
      </c>
      <c r="F1015" s="19">
        <f>IF(OR(C1015="",D1015=""),"",IFERROR(INDEX('Qida bazası'!$E$2:$E$103,MATCH(C1015,'Qida bazası'!$A$2:$A$103,0))*D1015/100,"?"))</f>
        <v/>
      </c>
      <c r="G1015" s="19">
        <f>IF(OR(C1015="",D1015=""),"",IFERROR(INDEX('Qida bazası'!$F$2:$F$103,MATCH(C1015,'Qida bazası'!$A$2:$A$103,0))*D1015/100,"?"))</f>
        <v/>
      </c>
      <c r="H1015" s="19">
        <f>IF(OR(C1015="",D1015=""),"",IFERROR(INDEX('Qida bazası'!$G$2:$G$103,MATCH(C1015,'Qida bazası'!$A$2:$A$103,0))*D1015/100,"?"))</f>
        <v/>
      </c>
    </row>
    <row r="1016">
      <c r="A1016" s="21" t="n"/>
      <c r="E1016" s="18">
        <f>IF(OR(C1016="",D1016=""),"",IFERROR(INDEX('Qida bazası'!$D$2:$D$103,MATCH(C1016,'Qida bazası'!$A$2:$A$103,0))*D1016/100,"?"))</f>
        <v/>
      </c>
      <c r="F1016" s="19">
        <f>IF(OR(C1016="",D1016=""),"",IFERROR(INDEX('Qida bazası'!$E$2:$E$103,MATCH(C1016,'Qida bazası'!$A$2:$A$103,0))*D1016/100,"?"))</f>
        <v/>
      </c>
      <c r="G1016" s="19">
        <f>IF(OR(C1016="",D1016=""),"",IFERROR(INDEX('Qida bazası'!$F$2:$F$103,MATCH(C1016,'Qida bazası'!$A$2:$A$103,0))*D1016/100,"?"))</f>
        <v/>
      </c>
      <c r="H1016" s="19">
        <f>IF(OR(C1016="",D1016=""),"",IFERROR(INDEX('Qida bazası'!$G$2:$G$103,MATCH(C1016,'Qida bazası'!$A$2:$A$103,0))*D1016/100,"?"))</f>
        <v/>
      </c>
    </row>
    <row r="1017">
      <c r="A1017" s="21" t="n"/>
      <c r="E1017" s="18">
        <f>IF(OR(C1017="",D1017=""),"",IFERROR(INDEX('Qida bazası'!$D$2:$D$103,MATCH(C1017,'Qida bazası'!$A$2:$A$103,0))*D1017/100,"?"))</f>
        <v/>
      </c>
      <c r="F1017" s="19">
        <f>IF(OR(C1017="",D1017=""),"",IFERROR(INDEX('Qida bazası'!$E$2:$E$103,MATCH(C1017,'Qida bazası'!$A$2:$A$103,0))*D1017/100,"?"))</f>
        <v/>
      </c>
      <c r="G1017" s="19">
        <f>IF(OR(C1017="",D1017=""),"",IFERROR(INDEX('Qida bazası'!$F$2:$F$103,MATCH(C1017,'Qida bazası'!$A$2:$A$103,0))*D1017/100,"?"))</f>
        <v/>
      </c>
      <c r="H1017" s="19">
        <f>IF(OR(C1017="",D1017=""),"",IFERROR(INDEX('Qida bazası'!$G$2:$G$103,MATCH(C1017,'Qida bazası'!$A$2:$A$103,0))*D1017/100,"?"))</f>
        <v/>
      </c>
    </row>
    <row r="1018">
      <c r="A1018" s="21" t="n"/>
      <c r="E1018" s="18">
        <f>IF(OR(C1018="",D1018=""),"",IFERROR(INDEX('Qida bazası'!$D$2:$D$103,MATCH(C1018,'Qida bazası'!$A$2:$A$103,0))*D1018/100,"?"))</f>
        <v/>
      </c>
      <c r="F1018" s="19">
        <f>IF(OR(C1018="",D1018=""),"",IFERROR(INDEX('Qida bazası'!$E$2:$E$103,MATCH(C1018,'Qida bazası'!$A$2:$A$103,0))*D1018/100,"?"))</f>
        <v/>
      </c>
      <c r="G1018" s="19">
        <f>IF(OR(C1018="",D1018=""),"",IFERROR(INDEX('Qida bazası'!$F$2:$F$103,MATCH(C1018,'Qida bazası'!$A$2:$A$103,0))*D1018/100,"?"))</f>
        <v/>
      </c>
      <c r="H1018" s="19">
        <f>IF(OR(C1018="",D1018=""),"",IFERROR(INDEX('Qida bazası'!$G$2:$G$103,MATCH(C1018,'Qida bazası'!$A$2:$A$103,0))*D1018/100,"?"))</f>
        <v/>
      </c>
    </row>
    <row r="1019">
      <c r="A1019" s="21" t="n"/>
      <c r="E1019" s="18">
        <f>IF(OR(C1019="",D1019=""),"",IFERROR(INDEX('Qida bazası'!$D$2:$D$103,MATCH(C1019,'Qida bazası'!$A$2:$A$103,0))*D1019/100,"?"))</f>
        <v/>
      </c>
      <c r="F1019" s="19">
        <f>IF(OR(C1019="",D1019=""),"",IFERROR(INDEX('Qida bazası'!$E$2:$E$103,MATCH(C1019,'Qida bazası'!$A$2:$A$103,0))*D1019/100,"?"))</f>
        <v/>
      </c>
      <c r="G1019" s="19">
        <f>IF(OR(C1019="",D1019=""),"",IFERROR(INDEX('Qida bazası'!$F$2:$F$103,MATCH(C1019,'Qida bazası'!$A$2:$A$103,0))*D1019/100,"?"))</f>
        <v/>
      </c>
      <c r="H1019" s="19">
        <f>IF(OR(C1019="",D1019=""),"",IFERROR(INDEX('Qida bazası'!$G$2:$G$103,MATCH(C1019,'Qida bazası'!$A$2:$A$103,0))*D1019/100,"?"))</f>
        <v/>
      </c>
    </row>
    <row r="1020">
      <c r="A1020" s="21" t="n"/>
      <c r="E1020" s="18">
        <f>IF(OR(C1020="",D1020=""),"",IFERROR(INDEX('Qida bazası'!$D$2:$D$103,MATCH(C1020,'Qida bazası'!$A$2:$A$103,0))*D1020/100,"?"))</f>
        <v/>
      </c>
      <c r="F1020" s="19">
        <f>IF(OR(C1020="",D1020=""),"",IFERROR(INDEX('Qida bazası'!$E$2:$E$103,MATCH(C1020,'Qida bazası'!$A$2:$A$103,0))*D1020/100,"?"))</f>
        <v/>
      </c>
      <c r="G1020" s="19">
        <f>IF(OR(C1020="",D1020=""),"",IFERROR(INDEX('Qida bazası'!$F$2:$F$103,MATCH(C1020,'Qida bazası'!$A$2:$A$103,0))*D1020/100,"?"))</f>
        <v/>
      </c>
      <c r="H1020" s="19">
        <f>IF(OR(C1020="",D1020=""),"",IFERROR(INDEX('Qida bazası'!$G$2:$G$103,MATCH(C1020,'Qida bazası'!$A$2:$A$103,0))*D1020/100,"?"))</f>
        <v/>
      </c>
    </row>
    <row r="1021">
      <c r="A1021" s="21" t="n"/>
      <c r="E1021" s="18">
        <f>IF(OR(C1021="",D1021=""),"",IFERROR(INDEX('Qida bazası'!$D$2:$D$103,MATCH(C1021,'Qida bazası'!$A$2:$A$103,0))*D1021/100,"?"))</f>
        <v/>
      </c>
      <c r="F1021" s="19">
        <f>IF(OR(C1021="",D1021=""),"",IFERROR(INDEX('Qida bazası'!$E$2:$E$103,MATCH(C1021,'Qida bazası'!$A$2:$A$103,0))*D1021/100,"?"))</f>
        <v/>
      </c>
      <c r="G1021" s="19">
        <f>IF(OR(C1021="",D1021=""),"",IFERROR(INDEX('Qida bazası'!$F$2:$F$103,MATCH(C1021,'Qida bazası'!$A$2:$A$103,0))*D1021/100,"?"))</f>
        <v/>
      </c>
      <c r="H1021" s="19">
        <f>IF(OR(C1021="",D1021=""),"",IFERROR(INDEX('Qida bazası'!$G$2:$G$103,MATCH(C1021,'Qida bazası'!$A$2:$A$103,0))*D1021/100,"?"))</f>
        <v/>
      </c>
    </row>
    <row r="1022">
      <c r="A1022" s="21" t="n"/>
      <c r="E1022" s="18">
        <f>IF(OR(C1022="",D1022=""),"",IFERROR(INDEX('Qida bazası'!$D$2:$D$103,MATCH(C1022,'Qida bazası'!$A$2:$A$103,0))*D1022/100,"?"))</f>
        <v/>
      </c>
      <c r="F1022" s="19">
        <f>IF(OR(C1022="",D1022=""),"",IFERROR(INDEX('Qida bazası'!$E$2:$E$103,MATCH(C1022,'Qida bazası'!$A$2:$A$103,0))*D1022/100,"?"))</f>
        <v/>
      </c>
      <c r="G1022" s="19">
        <f>IF(OR(C1022="",D1022=""),"",IFERROR(INDEX('Qida bazası'!$F$2:$F$103,MATCH(C1022,'Qida bazası'!$A$2:$A$103,0))*D1022/100,"?"))</f>
        <v/>
      </c>
      <c r="H1022" s="19">
        <f>IF(OR(C1022="",D1022=""),"",IFERROR(INDEX('Qida bazası'!$G$2:$G$103,MATCH(C1022,'Qida bazası'!$A$2:$A$103,0))*D1022/100,"?"))</f>
        <v/>
      </c>
    </row>
    <row r="1023">
      <c r="A1023" s="21" t="n"/>
      <c r="E1023" s="18">
        <f>IF(OR(C1023="",D1023=""),"",IFERROR(INDEX('Qida bazası'!$D$2:$D$103,MATCH(C1023,'Qida bazası'!$A$2:$A$103,0))*D1023/100,"?"))</f>
        <v/>
      </c>
      <c r="F1023" s="19">
        <f>IF(OR(C1023="",D1023=""),"",IFERROR(INDEX('Qida bazası'!$E$2:$E$103,MATCH(C1023,'Qida bazası'!$A$2:$A$103,0))*D1023/100,"?"))</f>
        <v/>
      </c>
      <c r="G1023" s="19">
        <f>IF(OR(C1023="",D1023=""),"",IFERROR(INDEX('Qida bazası'!$F$2:$F$103,MATCH(C1023,'Qida bazası'!$A$2:$A$103,0))*D1023/100,"?"))</f>
        <v/>
      </c>
      <c r="H1023" s="19">
        <f>IF(OR(C1023="",D1023=""),"",IFERROR(INDEX('Qida bazası'!$G$2:$G$103,MATCH(C1023,'Qida bazası'!$A$2:$A$103,0))*D1023/100,"?"))</f>
        <v/>
      </c>
    </row>
    <row r="1024">
      <c r="A1024" s="21" t="n"/>
      <c r="E1024" s="18">
        <f>IF(OR(C1024="",D1024=""),"",IFERROR(INDEX('Qida bazası'!$D$2:$D$103,MATCH(C1024,'Qida bazası'!$A$2:$A$103,0))*D1024/100,"?"))</f>
        <v/>
      </c>
      <c r="F1024" s="19">
        <f>IF(OR(C1024="",D1024=""),"",IFERROR(INDEX('Qida bazası'!$E$2:$E$103,MATCH(C1024,'Qida bazası'!$A$2:$A$103,0))*D1024/100,"?"))</f>
        <v/>
      </c>
      <c r="G1024" s="19">
        <f>IF(OR(C1024="",D1024=""),"",IFERROR(INDEX('Qida bazası'!$F$2:$F$103,MATCH(C1024,'Qida bazası'!$A$2:$A$103,0))*D1024/100,"?"))</f>
        <v/>
      </c>
      <c r="H1024" s="19">
        <f>IF(OR(C1024="",D1024=""),"",IFERROR(INDEX('Qida bazası'!$G$2:$G$103,MATCH(C1024,'Qida bazası'!$A$2:$A$103,0))*D1024/100,"?"))</f>
        <v/>
      </c>
    </row>
    <row r="1025">
      <c r="A1025" s="21" t="n"/>
      <c r="E1025" s="18">
        <f>IF(OR(C1025="",D1025=""),"",IFERROR(INDEX('Qida bazası'!$D$2:$D$103,MATCH(C1025,'Qida bazası'!$A$2:$A$103,0))*D1025/100,"?"))</f>
        <v/>
      </c>
      <c r="F1025" s="19">
        <f>IF(OR(C1025="",D1025=""),"",IFERROR(INDEX('Qida bazası'!$E$2:$E$103,MATCH(C1025,'Qida bazası'!$A$2:$A$103,0))*D1025/100,"?"))</f>
        <v/>
      </c>
      <c r="G1025" s="19">
        <f>IF(OR(C1025="",D1025=""),"",IFERROR(INDEX('Qida bazası'!$F$2:$F$103,MATCH(C1025,'Qida bazası'!$A$2:$A$103,0))*D1025/100,"?"))</f>
        <v/>
      </c>
      <c r="H1025" s="19">
        <f>IF(OR(C1025="",D1025=""),"",IFERROR(INDEX('Qida bazası'!$G$2:$G$103,MATCH(C1025,'Qida bazası'!$A$2:$A$103,0))*D1025/100,"?"))</f>
        <v/>
      </c>
    </row>
    <row r="1026">
      <c r="A1026" s="21" t="n"/>
      <c r="E1026" s="18">
        <f>IF(OR(C1026="",D1026=""),"",IFERROR(INDEX('Qida bazası'!$D$2:$D$103,MATCH(C1026,'Qida bazası'!$A$2:$A$103,0))*D1026/100,"?"))</f>
        <v/>
      </c>
      <c r="F1026" s="19">
        <f>IF(OR(C1026="",D1026=""),"",IFERROR(INDEX('Qida bazası'!$E$2:$E$103,MATCH(C1026,'Qida bazası'!$A$2:$A$103,0))*D1026/100,"?"))</f>
        <v/>
      </c>
      <c r="G1026" s="19">
        <f>IF(OR(C1026="",D1026=""),"",IFERROR(INDEX('Qida bazası'!$F$2:$F$103,MATCH(C1026,'Qida bazası'!$A$2:$A$103,0))*D1026/100,"?"))</f>
        <v/>
      </c>
      <c r="H1026" s="19">
        <f>IF(OR(C1026="",D1026=""),"",IFERROR(INDEX('Qida bazası'!$G$2:$G$103,MATCH(C1026,'Qida bazası'!$A$2:$A$103,0))*D1026/100,"?"))</f>
        <v/>
      </c>
    </row>
    <row r="1027">
      <c r="A1027" s="21" t="n"/>
      <c r="E1027" s="18">
        <f>IF(OR(C1027="",D1027=""),"",IFERROR(INDEX('Qida bazası'!$D$2:$D$103,MATCH(C1027,'Qida bazası'!$A$2:$A$103,0))*D1027/100,"?"))</f>
        <v/>
      </c>
      <c r="F1027" s="19">
        <f>IF(OR(C1027="",D1027=""),"",IFERROR(INDEX('Qida bazası'!$E$2:$E$103,MATCH(C1027,'Qida bazası'!$A$2:$A$103,0))*D1027/100,"?"))</f>
        <v/>
      </c>
      <c r="G1027" s="19">
        <f>IF(OR(C1027="",D1027=""),"",IFERROR(INDEX('Qida bazası'!$F$2:$F$103,MATCH(C1027,'Qida bazası'!$A$2:$A$103,0))*D1027/100,"?"))</f>
        <v/>
      </c>
      <c r="H1027" s="19">
        <f>IF(OR(C1027="",D1027=""),"",IFERROR(INDEX('Qida bazası'!$G$2:$G$103,MATCH(C1027,'Qida bazası'!$A$2:$A$103,0))*D1027/100,"?"))</f>
        <v/>
      </c>
    </row>
    <row r="1028">
      <c r="A1028" s="21" t="n"/>
      <c r="E1028" s="18">
        <f>IF(OR(C1028="",D1028=""),"",IFERROR(INDEX('Qida bazası'!$D$2:$D$103,MATCH(C1028,'Qida bazası'!$A$2:$A$103,0))*D1028/100,"?"))</f>
        <v/>
      </c>
      <c r="F1028" s="19">
        <f>IF(OR(C1028="",D1028=""),"",IFERROR(INDEX('Qida bazası'!$E$2:$E$103,MATCH(C1028,'Qida bazası'!$A$2:$A$103,0))*D1028/100,"?"))</f>
        <v/>
      </c>
      <c r="G1028" s="19">
        <f>IF(OR(C1028="",D1028=""),"",IFERROR(INDEX('Qida bazası'!$F$2:$F$103,MATCH(C1028,'Qida bazası'!$A$2:$A$103,0))*D1028/100,"?"))</f>
        <v/>
      </c>
      <c r="H1028" s="19">
        <f>IF(OR(C1028="",D1028=""),"",IFERROR(INDEX('Qida bazası'!$G$2:$G$103,MATCH(C1028,'Qida bazası'!$A$2:$A$103,0))*D1028/100,"?"))</f>
        <v/>
      </c>
    </row>
    <row r="1029">
      <c r="A1029" s="21" t="n"/>
      <c r="E1029" s="18">
        <f>IF(OR(C1029="",D1029=""),"",IFERROR(INDEX('Qida bazası'!$D$2:$D$103,MATCH(C1029,'Qida bazası'!$A$2:$A$103,0))*D1029/100,"?"))</f>
        <v/>
      </c>
      <c r="F1029" s="19">
        <f>IF(OR(C1029="",D1029=""),"",IFERROR(INDEX('Qida bazası'!$E$2:$E$103,MATCH(C1029,'Qida bazası'!$A$2:$A$103,0))*D1029/100,"?"))</f>
        <v/>
      </c>
      <c r="G1029" s="19">
        <f>IF(OR(C1029="",D1029=""),"",IFERROR(INDEX('Qida bazası'!$F$2:$F$103,MATCH(C1029,'Qida bazası'!$A$2:$A$103,0))*D1029/100,"?"))</f>
        <v/>
      </c>
      <c r="H1029" s="19">
        <f>IF(OR(C1029="",D1029=""),"",IFERROR(INDEX('Qida bazası'!$G$2:$G$103,MATCH(C1029,'Qida bazası'!$A$2:$A$103,0))*D1029/100,"?"))</f>
        <v/>
      </c>
    </row>
    <row r="1030">
      <c r="A1030" s="21" t="n"/>
      <c r="E1030" s="18">
        <f>IF(OR(C1030="",D1030=""),"",IFERROR(INDEX('Qida bazası'!$D$2:$D$103,MATCH(C1030,'Qida bazası'!$A$2:$A$103,0))*D1030/100,"?"))</f>
        <v/>
      </c>
      <c r="F1030" s="19">
        <f>IF(OR(C1030="",D1030=""),"",IFERROR(INDEX('Qida bazası'!$E$2:$E$103,MATCH(C1030,'Qida bazası'!$A$2:$A$103,0))*D1030/100,"?"))</f>
        <v/>
      </c>
      <c r="G1030" s="19">
        <f>IF(OR(C1030="",D1030=""),"",IFERROR(INDEX('Qida bazası'!$F$2:$F$103,MATCH(C1030,'Qida bazası'!$A$2:$A$103,0))*D1030/100,"?"))</f>
        <v/>
      </c>
      <c r="H1030" s="19">
        <f>IF(OR(C1030="",D1030=""),"",IFERROR(INDEX('Qida bazası'!$G$2:$G$103,MATCH(C1030,'Qida bazası'!$A$2:$A$103,0))*D1030/100,"?"))</f>
        <v/>
      </c>
    </row>
    <row r="1031">
      <c r="A1031" s="21" t="n"/>
      <c r="E1031" s="18">
        <f>IF(OR(C1031="",D1031=""),"",IFERROR(INDEX('Qida bazası'!$D$2:$D$103,MATCH(C1031,'Qida bazası'!$A$2:$A$103,0))*D1031/100,"?"))</f>
        <v/>
      </c>
      <c r="F1031" s="19">
        <f>IF(OR(C1031="",D1031=""),"",IFERROR(INDEX('Qida bazası'!$E$2:$E$103,MATCH(C1031,'Qida bazası'!$A$2:$A$103,0))*D1031/100,"?"))</f>
        <v/>
      </c>
      <c r="G1031" s="19">
        <f>IF(OR(C1031="",D1031=""),"",IFERROR(INDEX('Qida bazası'!$F$2:$F$103,MATCH(C1031,'Qida bazası'!$A$2:$A$103,0))*D1031/100,"?"))</f>
        <v/>
      </c>
      <c r="H1031" s="19">
        <f>IF(OR(C1031="",D1031=""),"",IFERROR(INDEX('Qida bazası'!$G$2:$G$103,MATCH(C1031,'Qida bazası'!$A$2:$A$103,0))*D1031/100,"?"))</f>
        <v/>
      </c>
    </row>
    <row r="1032">
      <c r="A1032" s="21" t="n"/>
      <c r="E1032" s="18">
        <f>IF(OR(C1032="",D1032=""),"",IFERROR(INDEX('Qida bazası'!$D$2:$D$103,MATCH(C1032,'Qida bazası'!$A$2:$A$103,0))*D1032/100,"?"))</f>
        <v/>
      </c>
      <c r="F1032" s="19">
        <f>IF(OR(C1032="",D1032=""),"",IFERROR(INDEX('Qida bazası'!$E$2:$E$103,MATCH(C1032,'Qida bazası'!$A$2:$A$103,0))*D1032/100,"?"))</f>
        <v/>
      </c>
      <c r="G1032" s="19">
        <f>IF(OR(C1032="",D1032=""),"",IFERROR(INDEX('Qida bazası'!$F$2:$F$103,MATCH(C1032,'Qida bazası'!$A$2:$A$103,0))*D1032/100,"?"))</f>
        <v/>
      </c>
      <c r="H1032" s="19">
        <f>IF(OR(C1032="",D1032=""),"",IFERROR(INDEX('Qida bazası'!$G$2:$G$103,MATCH(C1032,'Qida bazası'!$A$2:$A$103,0))*D1032/100,"?"))</f>
        <v/>
      </c>
    </row>
    <row r="1033">
      <c r="A1033" s="21" t="n"/>
      <c r="E1033" s="18">
        <f>IF(OR(C1033="",D1033=""),"",IFERROR(INDEX('Qida bazası'!$D$2:$D$103,MATCH(C1033,'Qida bazası'!$A$2:$A$103,0))*D1033/100,"?"))</f>
        <v/>
      </c>
      <c r="F1033" s="19">
        <f>IF(OR(C1033="",D1033=""),"",IFERROR(INDEX('Qida bazası'!$E$2:$E$103,MATCH(C1033,'Qida bazası'!$A$2:$A$103,0))*D1033/100,"?"))</f>
        <v/>
      </c>
      <c r="G1033" s="19">
        <f>IF(OR(C1033="",D1033=""),"",IFERROR(INDEX('Qida bazası'!$F$2:$F$103,MATCH(C1033,'Qida bazası'!$A$2:$A$103,0))*D1033/100,"?"))</f>
        <v/>
      </c>
      <c r="H1033" s="19">
        <f>IF(OR(C1033="",D1033=""),"",IFERROR(INDEX('Qida bazası'!$G$2:$G$103,MATCH(C1033,'Qida bazası'!$A$2:$A$103,0))*D1033/100,"?"))</f>
        <v/>
      </c>
    </row>
    <row r="1034">
      <c r="A1034" s="21" t="n"/>
      <c r="E1034" s="18">
        <f>IF(OR(C1034="",D1034=""),"",IFERROR(INDEX('Qida bazası'!$D$2:$D$103,MATCH(C1034,'Qida bazası'!$A$2:$A$103,0))*D1034/100,"?"))</f>
        <v/>
      </c>
      <c r="F1034" s="19">
        <f>IF(OR(C1034="",D1034=""),"",IFERROR(INDEX('Qida bazası'!$E$2:$E$103,MATCH(C1034,'Qida bazası'!$A$2:$A$103,0))*D1034/100,"?"))</f>
        <v/>
      </c>
      <c r="G1034" s="19">
        <f>IF(OR(C1034="",D1034=""),"",IFERROR(INDEX('Qida bazası'!$F$2:$F$103,MATCH(C1034,'Qida bazası'!$A$2:$A$103,0))*D1034/100,"?"))</f>
        <v/>
      </c>
      <c r="H1034" s="19">
        <f>IF(OR(C1034="",D1034=""),"",IFERROR(INDEX('Qida bazası'!$G$2:$G$103,MATCH(C1034,'Qida bazası'!$A$2:$A$103,0))*D1034/100,"?"))</f>
        <v/>
      </c>
    </row>
    <row r="1035">
      <c r="A1035" s="21" t="n"/>
      <c r="E1035" s="18">
        <f>IF(OR(C1035="",D1035=""),"",IFERROR(INDEX('Qida bazası'!$D$2:$D$103,MATCH(C1035,'Qida bazası'!$A$2:$A$103,0))*D1035/100,"?"))</f>
        <v/>
      </c>
      <c r="F1035" s="19">
        <f>IF(OR(C1035="",D1035=""),"",IFERROR(INDEX('Qida bazası'!$E$2:$E$103,MATCH(C1035,'Qida bazası'!$A$2:$A$103,0))*D1035/100,"?"))</f>
        <v/>
      </c>
      <c r="G1035" s="19">
        <f>IF(OR(C1035="",D1035=""),"",IFERROR(INDEX('Qida bazası'!$F$2:$F$103,MATCH(C1035,'Qida bazası'!$A$2:$A$103,0))*D1035/100,"?"))</f>
        <v/>
      </c>
      <c r="H1035" s="19">
        <f>IF(OR(C1035="",D1035=""),"",IFERROR(INDEX('Qida bazası'!$G$2:$G$103,MATCH(C1035,'Qida bazası'!$A$2:$A$103,0))*D1035/100,"?"))</f>
        <v/>
      </c>
    </row>
    <row r="1036">
      <c r="A1036" s="21" t="n"/>
      <c r="E1036" s="18">
        <f>IF(OR(C1036="",D1036=""),"",IFERROR(INDEX('Qida bazası'!$D$2:$D$103,MATCH(C1036,'Qida bazası'!$A$2:$A$103,0))*D1036/100,"?"))</f>
        <v/>
      </c>
      <c r="F1036" s="19">
        <f>IF(OR(C1036="",D1036=""),"",IFERROR(INDEX('Qida bazası'!$E$2:$E$103,MATCH(C1036,'Qida bazası'!$A$2:$A$103,0))*D1036/100,"?"))</f>
        <v/>
      </c>
      <c r="G1036" s="19">
        <f>IF(OR(C1036="",D1036=""),"",IFERROR(INDEX('Qida bazası'!$F$2:$F$103,MATCH(C1036,'Qida bazası'!$A$2:$A$103,0))*D1036/100,"?"))</f>
        <v/>
      </c>
      <c r="H1036" s="19">
        <f>IF(OR(C1036="",D1036=""),"",IFERROR(INDEX('Qida bazası'!$G$2:$G$103,MATCH(C1036,'Qida bazası'!$A$2:$A$103,0))*D1036/100,"?"))</f>
        <v/>
      </c>
    </row>
    <row r="1037">
      <c r="A1037" s="21" t="n"/>
      <c r="E1037" s="18">
        <f>IF(OR(C1037="",D1037=""),"",IFERROR(INDEX('Qida bazası'!$D$2:$D$103,MATCH(C1037,'Qida bazası'!$A$2:$A$103,0))*D1037/100,"?"))</f>
        <v/>
      </c>
      <c r="F1037" s="19">
        <f>IF(OR(C1037="",D1037=""),"",IFERROR(INDEX('Qida bazası'!$E$2:$E$103,MATCH(C1037,'Qida bazası'!$A$2:$A$103,0))*D1037/100,"?"))</f>
        <v/>
      </c>
      <c r="G1037" s="19">
        <f>IF(OR(C1037="",D1037=""),"",IFERROR(INDEX('Qida bazası'!$F$2:$F$103,MATCH(C1037,'Qida bazası'!$A$2:$A$103,0))*D1037/100,"?"))</f>
        <v/>
      </c>
      <c r="H1037" s="19">
        <f>IF(OR(C1037="",D1037=""),"",IFERROR(INDEX('Qida bazası'!$G$2:$G$103,MATCH(C1037,'Qida bazası'!$A$2:$A$103,0))*D1037/100,"?"))</f>
        <v/>
      </c>
    </row>
    <row r="1038">
      <c r="A1038" s="21" t="n"/>
      <c r="E1038" s="18">
        <f>IF(OR(C1038="",D1038=""),"",IFERROR(INDEX('Qida bazası'!$D$2:$D$103,MATCH(C1038,'Qida bazası'!$A$2:$A$103,0))*D1038/100,"?"))</f>
        <v/>
      </c>
      <c r="F1038" s="19">
        <f>IF(OR(C1038="",D1038=""),"",IFERROR(INDEX('Qida bazası'!$E$2:$E$103,MATCH(C1038,'Qida bazası'!$A$2:$A$103,0))*D1038/100,"?"))</f>
        <v/>
      </c>
      <c r="G1038" s="19">
        <f>IF(OR(C1038="",D1038=""),"",IFERROR(INDEX('Qida bazası'!$F$2:$F$103,MATCH(C1038,'Qida bazası'!$A$2:$A$103,0))*D1038/100,"?"))</f>
        <v/>
      </c>
      <c r="H1038" s="19">
        <f>IF(OR(C1038="",D1038=""),"",IFERROR(INDEX('Qida bazası'!$G$2:$G$103,MATCH(C1038,'Qida bazası'!$A$2:$A$103,0))*D1038/100,"?"))</f>
        <v/>
      </c>
    </row>
    <row r="1039">
      <c r="A1039" s="21" t="n"/>
      <c r="E1039" s="18">
        <f>IF(OR(C1039="",D1039=""),"",IFERROR(INDEX('Qida bazası'!$D$2:$D$103,MATCH(C1039,'Qida bazası'!$A$2:$A$103,0))*D1039/100,"?"))</f>
        <v/>
      </c>
      <c r="F1039" s="19">
        <f>IF(OR(C1039="",D1039=""),"",IFERROR(INDEX('Qida bazası'!$E$2:$E$103,MATCH(C1039,'Qida bazası'!$A$2:$A$103,0))*D1039/100,"?"))</f>
        <v/>
      </c>
      <c r="G1039" s="19">
        <f>IF(OR(C1039="",D1039=""),"",IFERROR(INDEX('Qida bazası'!$F$2:$F$103,MATCH(C1039,'Qida bazası'!$A$2:$A$103,0))*D1039/100,"?"))</f>
        <v/>
      </c>
      <c r="H1039" s="19">
        <f>IF(OR(C1039="",D1039=""),"",IFERROR(INDEX('Qida bazası'!$G$2:$G$103,MATCH(C1039,'Qida bazası'!$A$2:$A$103,0))*D1039/100,"?"))</f>
        <v/>
      </c>
    </row>
    <row r="1040">
      <c r="A1040" s="21" t="n"/>
      <c r="E1040" s="18">
        <f>IF(OR(C1040="",D1040=""),"",IFERROR(INDEX('Qida bazası'!$D$2:$D$103,MATCH(C1040,'Qida bazası'!$A$2:$A$103,0))*D1040/100,"?"))</f>
        <v/>
      </c>
      <c r="F1040" s="19">
        <f>IF(OR(C1040="",D1040=""),"",IFERROR(INDEX('Qida bazası'!$E$2:$E$103,MATCH(C1040,'Qida bazası'!$A$2:$A$103,0))*D1040/100,"?"))</f>
        <v/>
      </c>
      <c r="G1040" s="19">
        <f>IF(OR(C1040="",D1040=""),"",IFERROR(INDEX('Qida bazası'!$F$2:$F$103,MATCH(C1040,'Qida bazası'!$A$2:$A$103,0))*D1040/100,"?"))</f>
        <v/>
      </c>
      <c r="H1040" s="19">
        <f>IF(OR(C1040="",D1040=""),"",IFERROR(INDEX('Qida bazası'!$G$2:$G$103,MATCH(C1040,'Qida bazası'!$A$2:$A$103,0))*D1040/100,"?"))</f>
        <v/>
      </c>
    </row>
    <row r="1041">
      <c r="A1041" s="21" t="n"/>
      <c r="E1041" s="18">
        <f>IF(OR(C1041="",D1041=""),"",IFERROR(INDEX('Qida bazası'!$D$2:$D$103,MATCH(C1041,'Qida bazası'!$A$2:$A$103,0))*D1041/100,"?"))</f>
        <v/>
      </c>
      <c r="F1041" s="19">
        <f>IF(OR(C1041="",D1041=""),"",IFERROR(INDEX('Qida bazası'!$E$2:$E$103,MATCH(C1041,'Qida bazası'!$A$2:$A$103,0))*D1041/100,"?"))</f>
        <v/>
      </c>
      <c r="G1041" s="19">
        <f>IF(OR(C1041="",D1041=""),"",IFERROR(INDEX('Qida bazası'!$F$2:$F$103,MATCH(C1041,'Qida bazası'!$A$2:$A$103,0))*D1041/100,"?"))</f>
        <v/>
      </c>
      <c r="H1041" s="19">
        <f>IF(OR(C1041="",D1041=""),"",IFERROR(INDEX('Qida bazası'!$G$2:$G$103,MATCH(C1041,'Qida bazası'!$A$2:$A$103,0))*D1041/100,"?"))</f>
        <v/>
      </c>
    </row>
    <row r="1042">
      <c r="A1042" s="21" t="n"/>
      <c r="E1042" s="18">
        <f>IF(OR(C1042="",D1042=""),"",IFERROR(INDEX('Qida bazası'!$D$2:$D$103,MATCH(C1042,'Qida bazası'!$A$2:$A$103,0))*D1042/100,"?"))</f>
        <v/>
      </c>
      <c r="F1042" s="19">
        <f>IF(OR(C1042="",D1042=""),"",IFERROR(INDEX('Qida bazası'!$E$2:$E$103,MATCH(C1042,'Qida bazası'!$A$2:$A$103,0))*D1042/100,"?"))</f>
        <v/>
      </c>
      <c r="G1042" s="19">
        <f>IF(OR(C1042="",D1042=""),"",IFERROR(INDEX('Qida bazası'!$F$2:$F$103,MATCH(C1042,'Qida bazası'!$A$2:$A$103,0))*D1042/100,"?"))</f>
        <v/>
      </c>
      <c r="H1042" s="19">
        <f>IF(OR(C1042="",D1042=""),"",IFERROR(INDEX('Qida bazası'!$G$2:$G$103,MATCH(C1042,'Qida bazası'!$A$2:$A$103,0))*D1042/100,"?"))</f>
        <v/>
      </c>
    </row>
    <row r="1043">
      <c r="A1043" s="21" t="n"/>
      <c r="E1043" s="18">
        <f>IF(OR(C1043="",D1043=""),"",IFERROR(INDEX('Qida bazası'!$D$2:$D$103,MATCH(C1043,'Qida bazası'!$A$2:$A$103,0))*D1043/100,"?"))</f>
        <v/>
      </c>
      <c r="F1043" s="19">
        <f>IF(OR(C1043="",D1043=""),"",IFERROR(INDEX('Qida bazası'!$E$2:$E$103,MATCH(C1043,'Qida bazası'!$A$2:$A$103,0))*D1043/100,"?"))</f>
        <v/>
      </c>
      <c r="G1043" s="19">
        <f>IF(OR(C1043="",D1043=""),"",IFERROR(INDEX('Qida bazası'!$F$2:$F$103,MATCH(C1043,'Qida bazası'!$A$2:$A$103,0))*D1043/100,"?"))</f>
        <v/>
      </c>
      <c r="H1043" s="19">
        <f>IF(OR(C1043="",D1043=""),"",IFERROR(INDEX('Qida bazası'!$G$2:$G$103,MATCH(C1043,'Qida bazası'!$A$2:$A$103,0))*D1043/100,"?"))</f>
        <v/>
      </c>
    </row>
    <row r="1044">
      <c r="A1044" s="21" t="n"/>
      <c r="E1044" s="18">
        <f>IF(OR(C1044="",D1044=""),"",IFERROR(INDEX('Qida bazası'!$D$2:$D$103,MATCH(C1044,'Qida bazası'!$A$2:$A$103,0))*D1044/100,"?"))</f>
        <v/>
      </c>
      <c r="F1044" s="19">
        <f>IF(OR(C1044="",D1044=""),"",IFERROR(INDEX('Qida bazası'!$E$2:$E$103,MATCH(C1044,'Qida bazası'!$A$2:$A$103,0))*D1044/100,"?"))</f>
        <v/>
      </c>
      <c r="G1044" s="19">
        <f>IF(OR(C1044="",D1044=""),"",IFERROR(INDEX('Qida bazası'!$F$2:$F$103,MATCH(C1044,'Qida bazası'!$A$2:$A$103,0))*D1044/100,"?"))</f>
        <v/>
      </c>
      <c r="H1044" s="19">
        <f>IF(OR(C1044="",D1044=""),"",IFERROR(INDEX('Qida bazası'!$G$2:$G$103,MATCH(C1044,'Qida bazası'!$A$2:$A$103,0))*D1044/100,"?"))</f>
        <v/>
      </c>
    </row>
    <row r="1045">
      <c r="A1045" s="21" t="n"/>
      <c r="E1045" s="18">
        <f>IF(OR(C1045="",D1045=""),"",IFERROR(INDEX('Qida bazası'!$D$2:$D$103,MATCH(C1045,'Qida bazası'!$A$2:$A$103,0))*D1045/100,"?"))</f>
        <v/>
      </c>
      <c r="F1045" s="19">
        <f>IF(OR(C1045="",D1045=""),"",IFERROR(INDEX('Qida bazası'!$E$2:$E$103,MATCH(C1045,'Qida bazası'!$A$2:$A$103,0))*D1045/100,"?"))</f>
        <v/>
      </c>
      <c r="G1045" s="19">
        <f>IF(OR(C1045="",D1045=""),"",IFERROR(INDEX('Qida bazası'!$F$2:$F$103,MATCH(C1045,'Qida bazası'!$A$2:$A$103,0))*D1045/100,"?"))</f>
        <v/>
      </c>
      <c r="H1045" s="19">
        <f>IF(OR(C1045="",D1045=""),"",IFERROR(INDEX('Qida bazası'!$G$2:$G$103,MATCH(C1045,'Qida bazası'!$A$2:$A$103,0))*D1045/100,"?"))</f>
        <v/>
      </c>
    </row>
    <row r="1046">
      <c r="A1046" s="21" t="n"/>
      <c r="E1046" s="18">
        <f>IF(OR(C1046="",D1046=""),"",IFERROR(INDEX('Qida bazası'!$D$2:$D$103,MATCH(C1046,'Qida bazası'!$A$2:$A$103,0))*D1046/100,"?"))</f>
        <v/>
      </c>
      <c r="F1046" s="19">
        <f>IF(OR(C1046="",D1046=""),"",IFERROR(INDEX('Qida bazası'!$E$2:$E$103,MATCH(C1046,'Qida bazası'!$A$2:$A$103,0))*D1046/100,"?"))</f>
        <v/>
      </c>
      <c r="G1046" s="19">
        <f>IF(OR(C1046="",D1046=""),"",IFERROR(INDEX('Qida bazası'!$F$2:$F$103,MATCH(C1046,'Qida bazası'!$A$2:$A$103,0))*D1046/100,"?"))</f>
        <v/>
      </c>
      <c r="H1046" s="19">
        <f>IF(OR(C1046="",D1046=""),"",IFERROR(INDEX('Qida bazası'!$G$2:$G$103,MATCH(C1046,'Qida bazası'!$A$2:$A$103,0))*D1046/100,"?"))</f>
        <v/>
      </c>
    </row>
    <row r="1047">
      <c r="A1047" s="21" t="n"/>
      <c r="E1047" s="18">
        <f>IF(OR(C1047="",D1047=""),"",IFERROR(INDEX('Qida bazası'!$D$2:$D$103,MATCH(C1047,'Qida bazası'!$A$2:$A$103,0))*D1047/100,"?"))</f>
        <v/>
      </c>
      <c r="F1047" s="19">
        <f>IF(OR(C1047="",D1047=""),"",IFERROR(INDEX('Qida bazası'!$E$2:$E$103,MATCH(C1047,'Qida bazası'!$A$2:$A$103,0))*D1047/100,"?"))</f>
        <v/>
      </c>
      <c r="G1047" s="19">
        <f>IF(OR(C1047="",D1047=""),"",IFERROR(INDEX('Qida bazası'!$F$2:$F$103,MATCH(C1047,'Qida bazası'!$A$2:$A$103,0))*D1047/100,"?"))</f>
        <v/>
      </c>
      <c r="H1047" s="19">
        <f>IF(OR(C1047="",D1047=""),"",IFERROR(INDEX('Qida bazası'!$G$2:$G$103,MATCH(C1047,'Qida bazası'!$A$2:$A$103,0))*D1047/100,"?"))</f>
        <v/>
      </c>
    </row>
    <row r="1048">
      <c r="A1048" s="21" t="n"/>
      <c r="E1048" s="18">
        <f>IF(OR(C1048="",D1048=""),"",IFERROR(INDEX('Qida bazası'!$D$2:$D$103,MATCH(C1048,'Qida bazası'!$A$2:$A$103,0))*D1048/100,"?"))</f>
        <v/>
      </c>
      <c r="F1048" s="19">
        <f>IF(OR(C1048="",D1048=""),"",IFERROR(INDEX('Qida bazası'!$E$2:$E$103,MATCH(C1048,'Qida bazası'!$A$2:$A$103,0))*D1048/100,"?"))</f>
        <v/>
      </c>
      <c r="G1048" s="19">
        <f>IF(OR(C1048="",D1048=""),"",IFERROR(INDEX('Qida bazası'!$F$2:$F$103,MATCH(C1048,'Qida bazası'!$A$2:$A$103,0))*D1048/100,"?"))</f>
        <v/>
      </c>
      <c r="H1048" s="19">
        <f>IF(OR(C1048="",D1048=""),"",IFERROR(INDEX('Qida bazası'!$G$2:$G$103,MATCH(C1048,'Qida bazası'!$A$2:$A$103,0))*D1048/100,"?"))</f>
        <v/>
      </c>
    </row>
    <row r="1049">
      <c r="A1049" s="21" t="n"/>
      <c r="E1049" s="18">
        <f>IF(OR(C1049="",D1049=""),"",IFERROR(INDEX('Qida bazası'!$D$2:$D$103,MATCH(C1049,'Qida bazası'!$A$2:$A$103,0))*D1049/100,"?"))</f>
        <v/>
      </c>
      <c r="F1049" s="19">
        <f>IF(OR(C1049="",D1049=""),"",IFERROR(INDEX('Qida bazası'!$E$2:$E$103,MATCH(C1049,'Qida bazası'!$A$2:$A$103,0))*D1049/100,"?"))</f>
        <v/>
      </c>
      <c r="G1049" s="19">
        <f>IF(OR(C1049="",D1049=""),"",IFERROR(INDEX('Qida bazası'!$F$2:$F$103,MATCH(C1049,'Qida bazası'!$A$2:$A$103,0))*D1049/100,"?"))</f>
        <v/>
      </c>
      <c r="H1049" s="19">
        <f>IF(OR(C1049="",D1049=""),"",IFERROR(INDEX('Qida bazası'!$G$2:$G$103,MATCH(C1049,'Qida bazası'!$A$2:$A$103,0))*D1049/100,"?"))</f>
        <v/>
      </c>
    </row>
    <row r="1050">
      <c r="A1050" s="21" t="n"/>
      <c r="E1050" s="18">
        <f>IF(OR(C1050="",D1050=""),"",IFERROR(INDEX('Qida bazası'!$D$2:$D$103,MATCH(C1050,'Qida bazası'!$A$2:$A$103,0))*D1050/100,"?"))</f>
        <v/>
      </c>
      <c r="F1050" s="19">
        <f>IF(OR(C1050="",D1050=""),"",IFERROR(INDEX('Qida bazası'!$E$2:$E$103,MATCH(C1050,'Qida bazası'!$A$2:$A$103,0))*D1050/100,"?"))</f>
        <v/>
      </c>
      <c r="G1050" s="19">
        <f>IF(OR(C1050="",D1050=""),"",IFERROR(INDEX('Qida bazası'!$F$2:$F$103,MATCH(C1050,'Qida bazası'!$A$2:$A$103,0))*D1050/100,"?"))</f>
        <v/>
      </c>
      <c r="H1050" s="19">
        <f>IF(OR(C1050="",D1050=""),"",IFERROR(INDEX('Qida bazası'!$G$2:$G$103,MATCH(C1050,'Qida bazası'!$A$2:$A$103,0))*D1050/100,"?"))</f>
        <v/>
      </c>
    </row>
    <row r="1051">
      <c r="A1051" s="21" t="n"/>
      <c r="E1051" s="18">
        <f>IF(OR(C1051="",D1051=""),"",IFERROR(INDEX('Qida bazası'!$D$2:$D$103,MATCH(C1051,'Qida bazası'!$A$2:$A$103,0))*D1051/100,"?"))</f>
        <v/>
      </c>
      <c r="F1051" s="19">
        <f>IF(OR(C1051="",D1051=""),"",IFERROR(INDEX('Qida bazası'!$E$2:$E$103,MATCH(C1051,'Qida bazası'!$A$2:$A$103,0))*D1051/100,"?"))</f>
        <v/>
      </c>
      <c r="G1051" s="19">
        <f>IF(OR(C1051="",D1051=""),"",IFERROR(INDEX('Qida bazası'!$F$2:$F$103,MATCH(C1051,'Qida bazası'!$A$2:$A$103,0))*D1051/100,"?"))</f>
        <v/>
      </c>
      <c r="H1051" s="19">
        <f>IF(OR(C1051="",D1051=""),"",IFERROR(INDEX('Qida bazası'!$G$2:$G$103,MATCH(C1051,'Qida bazası'!$A$2:$A$103,0))*D1051/100,"?"))</f>
        <v/>
      </c>
    </row>
    <row r="1052">
      <c r="A1052" s="21" t="n"/>
      <c r="E1052" s="18">
        <f>IF(OR(C1052="",D1052=""),"",IFERROR(INDEX('Qida bazası'!$D$2:$D$103,MATCH(C1052,'Qida bazası'!$A$2:$A$103,0))*D1052/100,"?"))</f>
        <v/>
      </c>
      <c r="F1052" s="19">
        <f>IF(OR(C1052="",D1052=""),"",IFERROR(INDEX('Qida bazası'!$E$2:$E$103,MATCH(C1052,'Qida bazası'!$A$2:$A$103,0))*D1052/100,"?"))</f>
        <v/>
      </c>
      <c r="G1052" s="19">
        <f>IF(OR(C1052="",D1052=""),"",IFERROR(INDEX('Qida bazası'!$F$2:$F$103,MATCH(C1052,'Qida bazası'!$A$2:$A$103,0))*D1052/100,"?"))</f>
        <v/>
      </c>
      <c r="H1052" s="19">
        <f>IF(OR(C1052="",D1052=""),"",IFERROR(INDEX('Qida bazası'!$G$2:$G$103,MATCH(C1052,'Qida bazası'!$A$2:$A$103,0))*D1052/100,"?"))</f>
        <v/>
      </c>
    </row>
    <row r="1053">
      <c r="A1053" s="21" t="n"/>
      <c r="E1053" s="18">
        <f>IF(OR(C1053="",D1053=""),"",IFERROR(INDEX('Qida bazası'!$D$2:$D$103,MATCH(C1053,'Qida bazası'!$A$2:$A$103,0))*D1053/100,"?"))</f>
        <v/>
      </c>
      <c r="F1053" s="19">
        <f>IF(OR(C1053="",D1053=""),"",IFERROR(INDEX('Qida bazası'!$E$2:$E$103,MATCH(C1053,'Qida bazası'!$A$2:$A$103,0))*D1053/100,"?"))</f>
        <v/>
      </c>
      <c r="G1053" s="19">
        <f>IF(OR(C1053="",D1053=""),"",IFERROR(INDEX('Qida bazası'!$F$2:$F$103,MATCH(C1053,'Qida bazası'!$A$2:$A$103,0))*D1053/100,"?"))</f>
        <v/>
      </c>
      <c r="H1053" s="19">
        <f>IF(OR(C1053="",D1053=""),"",IFERROR(INDEX('Qida bazası'!$G$2:$G$103,MATCH(C1053,'Qida bazası'!$A$2:$A$103,0))*D1053/100,"?"))</f>
        <v/>
      </c>
    </row>
    <row r="1054">
      <c r="A1054" s="21" t="n"/>
      <c r="E1054" s="18">
        <f>IF(OR(C1054="",D1054=""),"",IFERROR(INDEX('Qida bazası'!$D$2:$D$103,MATCH(C1054,'Qida bazası'!$A$2:$A$103,0))*D1054/100,"?"))</f>
        <v/>
      </c>
      <c r="F1054" s="19">
        <f>IF(OR(C1054="",D1054=""),"",IFERROR(INDEX('Qida bazası'!$E$2:$E$103,MATCH(C1054,'Qida bazası'!$A$2:$A$103,0))*D1054/100,"?"))</f>
        <v/>
      </c>
      <c r="G1054" s="19">
        <f>IF(OR(C1054="",D1054=""),"",IFERROR(INDEX('Qida bazası'!$F$2:$F$103,MATCH(C1054,'Qida bazası'!$A$2:$A$103,0))*D1054/100,"?"))</f>
        <v/>
      </c>
      <c r="H1054" s="19">
        <f>IF(OR(C1054="",D1054=""),"",IFERROR(INDEX('Qida bazası'!$G$2:$G$103,MATCH(C1054,'Qida bazası'!$A$2:$A$103,0))*D1054/100,"?"))</f>
        <v/>
      </c>
    </row>
    <row r="1055">
      <c r="A1055" s="21" t="n"/>
      <c r="E1055" s="18">
        <f>IF(OR(C1055="",D1055=""),"",IFERROR(INDEX('Qida bazası'!$D$2:$D$103,MATCH(C1055,'Qida bazası'!$A$2:$A$103,0))*D1055/100,"?"))</f>
        <v/>
      </c>
      <c r="F1055" s="19">
        <f>IF(OR(C1055="",D1055=""),"",IFERROR(INDEX('Qida bazası'!$E$2:$E$103,MATCH(C1055,'Qida bazası'!$A$2:$A$103,0))*D1055/100,"?"))</f>
        <v/>
      </c>
      <c r="G1055" s="19">
        <f>IF(OR(C1055="",D1055=""),"",IFERROR(INDEX('Qida bazası'!$F$2:$F$103,MATCH(C1055,'Qida bazası'!$A$2:$A$103,0))*D1055/100,"?"))</f>
        <v/>
      </c>
      <c r="H1055" s="19">
        <f>IF(OR(C1055="",D1055=""),"",IFERROR(INDEX('Qida bazası'!$G$2:$G$103,MATCH(C1055,'Qida bazası'!$A$2:$A$103,0))*D1055/100,"?"))</f>
        <v/>
      </c>
    </row>
    <row r="1056">
      <c r="A1056" s="21" t="n"/>
      <c r="E1056" s="18">
        <f>IF(OR(C1056="",D1056=""),"",IFERROR(INDEX('Qida bazası'!$D$2:$D$103,MATCH(C1056,'Qida bazası'!$A$2:$A$103,0))*D1056/100,"?"))</f>
        <v/>
      </c>
      <c r="F1056" s="19">
        <f>IF(OR(C1056="",D1056=""),"",IFERROR(INDEX('Qida bazası'!$E$2:$E$103,MATCH(C1056,'Qida bazası'!$A$2:$A$103,0))*D1056/100,"?"))</f>
        <v/>
      </c>
      <c r="G1056" s="19">
        <f>IF(OR(C1056="",D1056=""),"",IFERROR(INDEX('Qida bazası'!$F$2:$F$103,MATCH(C1056,'Qida bazası'!$A$2:$A$103,0))*D1056/100,"?"))</f>
        <v/>
      </c>
      <c r="H1056" s="19">
        <f>IF(OR(C1056="",D1056=""),"",IFERROR(INDEX('Qida bazası'!$G$2:$G$103,MATCH(C1056,'Qida bazası'!$A$2:$A$103,0))*D1056/100,"?"))</f>
        <v/>
      </c>
    </row>
    <row r="1057">
      <c r="A1057" s="21" t="n"/>
      <c r="E1057" s="18">
        <f>IF(OR(C1057="",D1057=""),"",IFERROR(INDEX('Qida bazası'!$D$2:$D$103,MATCH(C1057,'Qida bazası'!$A$2:$A$103,0))*D1057/100,"?"))</f>
        <v/>
      </c>
      <c r="F1057" s="19">
        <f>IF(OR(C1057="",D1057=""),"",IFERROR(INDEX('Qida bazası'!$E$2:$E$103,MATCH(C1057,'Qida bazası'!$A$2:$A$103,0))*D1057/100,"?"))</f>
        <v/>
      </c>
      <c r="G1057" s="19">
        <f>IF(OR(C1057="",D1057=""),"",IFERROR(INDEX('Qida bazası'!$F$2:$F$103,MATCH(C1057,'Qida bazası'!$A$2:$A$103,0))*D1057/100,"?"))</f>
        <v/>
      </c>
      <c r="H1057" s="19">
        <f>IF(OR(C1057="",D1057=""),"",IFERROR(INDEX('Qida bazası'!$G$2:$G$103,MATCH(C1057,'Qida bazası'!$A$2:$A$103,0))*D1057/100,"?"))</f>
        <v/>
      </c>
    </row>
    <row r="1058">
      <c r="A1058" s="21" t="n"/>
      <c r="E1058" s="18">
        <f>IF(OR(C1058="",D1058=""),"",IFERROR(INDEX('Qida bazası'!$D$2:$D$103,MATCH(C1058,'Qida bazası'!$A$2:$A$103,0))*D1058/100,"?"))</f>
        <v/>
      </c>
      <c r="F1058" s="19">
        <f>IF(OR(C1058="",D1058=""),"",IFERROR(INDEX('Qida bazası'!$E$2:$E$103,MATCH(C1058,'Qida bazası'!$A$2:$A$103,0))*D1058/100,"?"))</f>
        <v/>
      </c>
      <c r="G1058" s="19">
        <f>IF(OR(C1058="",D1058=""),"",IFERROR(INDEX('Qida bazası'!$F$2:$F$103,MATCH(C1058,'Qida bazası'!$A$2:$A$103,0))*D1058/100,"?"))</f>
        <v/>
      </c>
      <c r="H1058" s="19">
        <f>IF(OR(C1058="",D1058=""),"",IFERROR(INDEX('Qida bazası'!$G$2:$G$103,MATCH(C1058,'Qida bazası'!$A$2:$A$103,0))*D1058/100,"?"))</f>
        <v/>
      </c>
    </row>
    <row r="1059">
      <c r="A1059" s="21" t="n"/>
      <c r="E1059" s="18">
        <f>IF(OR(C1059="",D1059=""),"",IFERROR(INDEX('Qida bazası'!$D$2:$D$103,MATCH(C1059,'Qida bazası'!$A$2:$A$103,0))*D1059/100,"?"))</f>
        <v/>
      </c>
      <c r="F1059" s="19">
        <f>IF(OR(C1059="",D1059=""),"",IFERROR(INDEX('Qida bazası'!$E$2:$E$103,MATCH(C1059,'Qida bazası'!$A$2:$A$103,0))*D1059/100,"?"))</f>
        <v/>
      </c>
      <c r="G1059" s="19">
        <f>IF(OR(C1059="",D1059=""),"",IFERROR(INDEX('Qida bazası'!$F$2:$F$103,MATCH(C1059,'Qida bazası'!$A$2:$A$103,0))*D1059/100,"?"))</f>
        <v/>
      </c>
      <c r="H1059" s="19">
        <f>IF(OR(C1059="",D1059=""),"",IFERROR(INDEX('Qida bazası'!$G$2:$G$103,MATCH(C1059,'Qida bazası'!$A$2:$A$103,0))*D1059/100,"?"))</f>
        <v/>
      </c>
    </row>
    <row r="1060">
      <c r="A1060" s="21" t="n"/>
      <c r="E1060" s="18">
        <f>IF(OR(C1060="",D1060=""),"",IFERROR(INDEX('Qida bazası'!$D$2:$D$103,MATCH(C1060,'Qida bazası'!$A$2:$A$103,0))*D1060/100,"?"))</f>
        <v/>
      </c>
      <c r="F1060" s="19">
        <f>IF(OR(C1060="",D1060=""),"",IFERROR(INDEX('Qida bazası'!$E$2:$E$103,MATCH(C1060,'Qida bazası'!$A$2:$A$103,0))*D1060/100,"?"))</f>
        <v/>
      </c>
      <c r="G1060" s="19">
        <f>IF(OR(C1060="",D1060=""),"",IFERROR(INDEX('Qida bazası'!$F$2:$F$103,MATCH(C1060,'Qida bazası'!$A$2:$A$103,0))*D1060/100,"?"))</f>
        <v/>
      </c>
      <c r="H1060" s="19">
        <f>IF(OR(C1060="",D1060=""),"",IFERROR(INDEX('Qida bazası'!$G$2:$G$103,MATCH(C1060,'Qida bazası'!$A$2:$A$103,0))*D1060/100,"?"))</f>
        <v/>
      </c>
    </row>
    <row r="1061">
      <c r="A1061" s="21" t="n"/>
      <c r="E1061" s="18">
        <f>IF(OR(C1061="",D1061=""),"",IFERROR(INDEX('Qida bazası'!$D$2:$D$103,MATCH(C1061,'Qida bazası'!$A$2:$A$103,0))*D1061/100,"?"))</f>
        <v/>
      </c>
      <c r="F1061" s="19">
        <f>IF(OR(C1061="",D1061=""),"",IFERROR(INDEX('Qida bazası'!$E$2:$E$103,MATCH(C1061,'Qida bazası'!$A$2:$A$103,0))*D1061/100,"?"))</f>
        <v/>
      </c>
      <c r="G1061" s="19">
        <f>IF(OR(C1061="",D1061=""),"",IFERROR(INDEX('Qida bazası'!$F$2:$F$103,MATCH(C1061,'Qida bazası'!$A$2:$A$103,0))*D1061/100,"?"))</f>
        <v/>
      </c>
      <c r="H1061" s="19">
        <f>IF(OR(C1061="",D1061=""),"",IFERROR(INDEX('Qida bazası'!$G$2:$G$103,MATCH(C1061,'Qida bazası'!$A$2:$A$103,0))*D1061/100,"?"))</f>
        <v/>
      </c>
    </row>
    <row r="1062">
      <c r="A1062" s="21" t="n"/>
      <c r="E1062" s="18">
        <f>IF(OR(C1062="",D1062=""),"",IFERROR(INDEX('Qida bazası'!$D$2:$D$103,MATCH(C1062,'Qida bazası'!$A$2:$A$103,0))*D1062/100,"?"))</f>
        <v/>
      </c>
      <c r="F1062" s="19">
        <f>IF(OR(C1062="",D1062=""),"",IFERROR(INDEX('Qida bazası'!$E$2:$E$103,MATCH(C1062,'Qida bazası'!$A$2:$A$103,0))*D1062/100,"?"))</f>
        <v/>
      </c>
      <c r="G1062" s="19">
        <f>IF(OR(C1062="",D1062=""),"",IFERROR(INDEX('Qida bazası'!$F$2:$F$103,MATCH(C1062,'Qida bazası'!$A$2:$A$103,0))*D1062/100,"?"))</f>
        <v/>
      </c>
      <c r="H1062" s="19">
        <f>IF(OR(C1062="",D1062=""),"",IFERROR(INDEX('Qida bazası'!$G$2:$G$103,MATCH(C1062,'Qida bazası'!$A$2:$A$103,0))*D1062/100,"?"))</f>
        <v/>
      </c>
    </row>
    <row r="1063">
      <c r="A1063" s="21" t="n"/>
      <c r="E1063" s="18">
        <f>IF(OR(C1063="",D1063=""),"",IFERROR(INDEX('Qida bazası'!$D$2:$D$103,MATCH(C1063,'Qida bazası'!$A$2:$A$103,0))*D1063/100,"?"))</f>
        <v/>
      </c>
      <c r="F1063" s="19">
        <f>IF(OR(C1063="",D1063=""),"",IFERROR(INDEX('Qida bazası'!$E$2:$E$103,MATCH(C1063,'Qida bazası'!$A$2:$A$103,0))*D1063/100,"?"))</f>
        <v/>
      </c>
      <c r="G1063" s="19">
        <f>IF(OR(C1063="",D1063=""),"",IFERROR(INDEX('Qida bazası'!$F$2:$F$103,MATCH(C1063,'Qida bazası'!$A$2:$A$103,0))*D1063/100,"?"))</f>
        <v/>
      </c>
      <c r="H1063" s="19">
        <f>IF(OR(C1063="",D1063=""),"",IFERROR(INDEX('Qida bazası'!$G$2:$G$103,MATCH(C1063,'Qida bazası'!$A$2:$A$103,0))*D1063/100,"?"))</f>
        <v/>
      </c>
    </row>
    <row r="1064">
      <c r="A1064" s="21" t="n"/>
      <c r="E1064" s="18">
        <f>IF(OR(C1064="",D1064=""),"",IFERROR(INDEX('Qida bazası'!$D$2:$D$103,MATCH(C1064,'Qida bazası'!$A$2:$A$103,0))*D1064/100,"?"))</f>
        <v/>
      </c>
      <c r="F1064" s="19">
        <f>IF(OR(C1064="",D1064=""),"",IFERROR(INDEX('Qida bazası'!$E$2:$E$103,MATCH(C1064,'Qida bazası'!$A$2:$A$103,0))*D1064/100,"?"))</f>
        <v/>
      </c>
      <c r="G1064" s="19">
        <f>IF(OR(C1064="",D1064=""),"",IFERROR(INDEX('Qida bazası'!$F$2:$F$103,MATCH(C1064,'Qida bazası'!$A$2:$A$103,0))*D1064/100,"?"))</f>
        <v/>
      </c>
      <c r="H1064" s="19">
        <f>IF(OR(C1064="",D1064=""),"",IFERROR(INDEX('Qida bazası'!$G$2:$G$103,MATCH(C1064,'Qida bazası'!$A$2:$A$103,0))*D1064/100,"?"))</f>
        <v/>
      </c>
    </row>
    <row r="1065">
      <c r="A1065" s="21" t="n"/>
      <c r="E1065" s="18">
        <f>IF(OR(C1065="",D1065=""),"",IFERROR(INDEX('Qida bazası'!$D$2:$D$103,MATCH(C1065,'Qida bazası'!$A$2:$A$103,0))*D1065/100,"?"))</f>
        <v/>
      </c>
      <c r="F1065" s="19">
        <f>IF(OR(C1065="",D1065=""),"",IFERROR(INDEX('Qida bazası'!$E$2:$E$103,MATCH(C1065,'Qida bazası'!$A$2:$A$103,0))*D1065/100,"?"))</f>
        <v/>
      </c>
      <c r="G1065" s="19">
        <f>IF(OR(C1065="",D1065=""),"",IFERROR(INDEX('Qida bazası'!$F$2:$F$103,MATCH(C1065,'Qida bazası'!$A$2:$A$103,0))*D1065/100,"?"))</f>
        <v/>
      </c>
      <c r="H1065" s="19">
        <f>IF(OR(C1065="",D1065=""),"",IFERROR(INDEX('Qida bazası'!$G$2:$G$103,MATCH(C1065,'Qida bazası'!$A$2:$A$103,0))*D1065/100,"?"))</f>
        <v/>
      </c>
    </row>
    <row r="1066">
      <c r="A1066" s="21" t="n"/>
      <c r="E1066" s="18">
        <f>IF(OR(C1066="",D1066=""),"",IFERROR(INDEX('Qida bazası'!$D$2:$D$103,MATCH(C1066,'Qida bazası'!$A$2:$A$103,0))*D1066/100,"?"))</f>
        <v/>
      </c>
      <c r="F1066" s="19">
        <f>IF(OR(C1066="",D1066=""),"",IFERROR(INDEX('Qida bazası'!$E$2:$E$103,MATCH(C1066,'Qida bazası'!$A$2:$A$103,0))*D1066/100,"?"))</f>
        <v/>
      </c>
      <c r="G1066" s="19">
        <f>IF(OR(C1066="",D1066=""),"",IFERROR(INDEX('Qida bazası'!$F$2:$F$103,MATCH(C1066,'Qida bazası'!$A$2:$A$103,0))*D1066/100,"?"))</f>
        <v/>
      </c>
      <c r="H1066" s="19">
        <f>IF(OR(C1066="",D1066=""),"",IFERROR(INDEX('Qida bazası'!$G$2:$G$103,MATCH(C1066,'Qida bazası'!$A$2:$A$103,0))*D1066/100,"?"))</f>
        <v/>
      </c>
    </row>
    <row r="1067">
      <c r="A1067" s="21" t="n"/>
      <c r="E1067" s="18">
        <f>IF(OR(C1067="",D1067=""),"",IFERROR(INDEX('Qida bazası'!$D$2:$D$103,MATCH(C1067,'Qida bazası'!$A$2:$A$103,0))*D1067/100,"?"))</f>
        <v/>
      </c>
      <c r="F1067" s="19">
        <f>IF(OR(C1067="",D1067=""),"",IFERROR(INDEX('Qida bazası'!$E$2:$E$103,MATCH(C1067,'Qida bazası'!$A$2:$A$103,0))*D1067/100,"?"))</f>
        <v/>
      </c>
      <c r="G1067" s="19">
        <f>IF(OR(C1067="",D1067=""),"",IFERROR(INDEX('Qida bazası'!$F$2:$F$103,MATCH(C1067,'Qida bazası'!$A$2:$A$103,0))*D1067/100,"?"))</f>
        <v/>
      </c>
      <c r="H1067" s="19">
        <f>IF(OR(C1067="",D1067=""),"",IFERROR(INDEX('Qida bazası'!$G$2:$G$103,MATCH(C1067,'Qida bazası'!$A$2:$A$103,0))*D1067/100,"?"))</f>
        <v/>
      </c>
    </row>
    <row r="1068">
      <c r="A1068" s="21" t="n"/>
      <c r="E1068" s="18">
        <f>IF(OR(C1068="",D1068=""),"",IFERROR(INDEX('Qida bazası'!$D$2:$D$103,MATCH(C1068,'Qida bazası'!$A$2:$A$103,0))*D1068/100,"?"))</f>
        <v/>
      </c>
      <c r="F1068" s="19">
        <f>IF(OR(C1068="",D1068=""),"",IFERROR(INDEX('Qida bazası'!$E$2:$E$103,MATCH(C1068,'Qida bazası'!$A$2:$A$103,0))*D1068/100,"?"))</f>
        <v/>
      </c>
      <c r="G1068" s="19">
        <f>IF(OR(C1068="",D1068=""),"",IFERROR(INDEX('Qida bazası'!$F$2:$F$103,MATCH(C1068,'Qida bazası'!$A$2:$A$103,0))*D1068/100,"?"))</f>
        <v/>
      </c>
      <c r="H1068" s="19">
        <f>IF(OR(C1068="",D1068=""),"",IFERROR(INDEX('Qida bazası'!$G$2:$G$103,MATCH(C1068,'Qida bazası'!$A$2:$A$103,0))*D1068/100,"?"))</f>
        <v/>
      </c>
    </row>
    <row r="1069">
      <c r="A1069" s="21" t="n"/>
      <c r="E1069" s="18">
        <f>IF(OR(C1069="",D1069=""),"",IFERROR(INDEX('Qida bazası'!$D$2:$D$103,MATCH(C1069,'Qida bazası'!$A$2:$A$103,0))*D1069/100,"?"))</f>
        <v/>
      </c>
      <c r="F1069" s="19">
        <f>IF(OR(C1069="",D1069=""),"",IFERROR(INDEX('Qida bazası'!$E$2:$E$103,MATCH(C1069,'Qida bazası'!$A$2:$A$103,0))*D1069/100,"?"))</f>
        <v/>
      </c>
      <c r="G1069" s="19">
        <f>IF(OR(C1069="",D1069=""),"",IFERROR(INDEX('Qida bazası'!$F$2:$F$103,MATCH(C1069,'Qida bazası'!$A$2:$A$103,0))*D1069/100,"?"))</f>
        <v/>
      </c>
      <c r="H1069" s="19">
        <f>IF(OR(C1069="",D1069=""),"",IFERROR(INDEX('Qida bazası'!$G$2:$G$103,MATCH(C1069,'Qida bazası'!$A$2:$A$103,0))*D1069/100,"?"))</f>
        <v/>
      </c>
    </row>
    <row r="1070">
      <c r="A1070" s="21" t="n"/>
      <c r="E1070" s="18">
        <f>IF(OR(C1070="",D1070=""),"",IFERROR(INDEX('Qida bazası'!$D$2:$D$103,MATCH(C1070,'Qida bazası'!$A$2:$A$103,0))*D1070/100,"?"))</f>
        <v/>
      </c>
      <c r="F1070" s="19">
        <f>IF(OR(C1070="",D1070=""),"",IFERROR(INDEX('Qida bazası'!$E$2:$E$103,MATCH(C1070,'Qida bazası'!$A$2:$A$103,0))*D1070/100,"?"))</f>
        <v/>
      </c>
      <c r="G1070" s="19">
        <f>IF(OR(C1070="",D1070=""),"",IFERROR(INDEX('Qida bazası'!$F$2:$F$103,MATCH(C1070,'Qida bazası'!$A$2:$A$103,0))*D1070/100,"?"))</f>
        <v/>
      </c>
      <c r="H1070" s="19">
        <f>IF(OR(C1070="",D1070=""),"",IFERROR(INDEX('Qida bazası'!$G$2:$G$103,MATCH(C1070,'Qida bazası'!$A$2:$A$103,0))*D1070/100,"?"))</f>
        <v/>
      </c>
    </row>
    <row r="1071">
      <c r="A1071" s="21" t="n"/>
      <c r="E1071" s="18">
        <f>IF(OR(C1071="",D1071=""),"",IFERROR(INDEX('Qida bazası'!$D$2:$D$103,MATCH(C1071,'Qida bazası'!$A$2:$A$103,0))*D1071/100,"?"))</f>
        <v/>
      </c>
      <c r="F1071" s="19">
        <f>IF(OR(C1071="",D1071=""),"",IFERROR(INDEX('Qida bazası'!$E$2:$E$103,MATCH(C1071,'Qida bazası'!$A$2:$A$103,0))*D1071/100,"?"))</f>
        <v/>
      </c>
      <c r="G1071" s="19">
        <f>IF(OR(C1071="",D1071=""),"",IFERROR(INDEX('Qida bazası'!$F$2:$F$103,MATCH(C1071,'Qida bazası'!$A$2:$A$103,0))*D1071/100,"?"))</f>
        <v/>
      </c>
      <c r="H1071" s="19">
        <f>IF(OR(C1071="",D1071=""),"",IFERROR(INDEX('Qida bazası'!$G$2:$G$103,MATCH(C1071,'Qida bazası'!$A$2:$A$103,0))*D1071/100,"?"))</f>
        <v/>
      </c>
    </row>
    <row r="1072">
      <c r="A1072" s="21" t="n"/>
      <c r="E1072" s="18">
        <f>IF(OR(C1072="",D1072=""),"",IFERROR(INDEX('Qida bazası'!$D$2:$D$103,MATCH(C1072,'Qida bazası'!$A$2:$A$103,0))*D1072/100,"?"))</f>
        <v/>
      </c>
      <c r="F1072" s="19">
        <f>IF(OR(C1072="",D1072=""),"",IFERROR(INDEX('Qida bazası'!$E$2:$E$103,MATCH(C1072,'Qida bazası'!$A$2:$A$103,0))*D1072/100,"?"))</f>
        <v/>
      </c>
      <c r="G1072" s="19">
        <f>IF(OR(C1072="",D1072=""),"",IFERROR(INDEX('Qida bazası'!$F$2:$F$103,MATCH(C1072,'Qida bazası'!$A$2:$A$103,0))*D1072/100,"?"))</f>
        <v/>
      </c>
      <c r="H1072" s="19">
        <f>IF(OR(C1072="",D1072=""),"",IFERROR(INDEX('Qida bazası'!$G$2:$G$103,MATCH(C1072,'Qida bazası'!$A$2:$A$103,0))*D1072/100,"?"))</f>
        <v/>
      </c>
    </row>
    <row r="1073">
      <c r="A1073" s="21" t="n"/>
      <c r="E1073" s="18">
        <f>IF(OR(C1073="",D1073=""),"",IFERROR(INDEX('Qida bazası'!$D$2:$D$103,MATCH(C1073,'Qida bazası'!$A$2:$A$103,0))*D1073/100,"?"))</f>
        <v/>
      </c>
      <c r="F1073" s="19">
        <f>IF(OR(C1073="",D1073=""),"",IFERROR(INDEX('Qida bazası'!$E$2:$E$103,MATCH(C1073,'Qida bazası'!$A$2:$A$103,0))*D1073/100,"?"))</f>
        <v/>
      </c>
      <c r="G1073" s="19">
        <f>IF(OR(C1073="",D1073=""),"",IFERROR(INDEX('Qida bazası'!$F$2:$F$103,MATCH(C1073,'Qida bazası'!$A$2:$A$103,0))*D1073/100,"?"))</f>
        <v/>
      </c>
      <c r="H1073" s="19">
        <f>IF(OR(C1073="",D1073=""),"",IFERROR(INDEX('Qida bazası'!$G$2:$G$103,MATCH(C1073,'Qida bazası'!$A$2:$A$103,0))*D1073/100,"?"))</f>
        <v/>
      </c>
    </row>
    <row r="1074">
      <c r="A1074" s="21" t="n"/>
      <c r="E1074" s="18">
        <f>IF(OR(C1074="",D1074=""),"",IFERROR(INDEX('Qida bazası'!$D$2:$D$103,MATCH(C1074,'Qida bazası'!$A$2:$A$103,0))*D1074/100,"?"))</f>
        <v/>
      </c>
      <c r="F1074" s="19">
        <f>IF(OR(C1074="",D1074=""),"",IFERROR(INDEX('Qida bazası'!$E$2:$E$103,MATCH(C1074,'Qida bazası'!$A$2:$A$103,0))*D1074/100,"?"))</f>
        <v/>
      </c>
      <c r="G1074" s="19">
        <f>IF(OR(C1074="",D1074=""),"",IFERROR(INDEX('Qida bazası'!$F$2:$F$103,MATCH(C1074,'Qida bazası'!$A$2:$A$103,0))*D1074/100,"?"))</f>
        <v/>
      </c>
      <c r="H1074" s="19">
        <f>IF(OR(C1074="",D1074=""),"",IFERROR(INDEX('Qida bazası'!$G$2:$G$103,MATCH(C1074,'Qida bazası'!$A$2:$A$103,0))*D1074/100,"?"))</f>
        <v/>
      </c>
    </row>
    <row r="1075">
      <c r="A1075" s="21" t="n"/>
      <c r="E1075" s="18">
        <f>IF(OR(C1075="",D1075=""),"",IFERROR(INDEX('Qida bazası'!$D$2:$D$103,MATCH(C1075,'Qida bazası'!$A$2:$A$103,0))*D1075/100,"?"))</f>
        <v/>
      </c>
      <c r="F1075" s="19">
        <f>IF(OR(C1075="",D1075=""),"",IFERROR(INDEX('Qida bazası'!$E$2:$E$103,MATCH(C1075,'Qida bazası'!$A$2:$A$103,0))*D1075/100,"?"))</f>
        <v/>
      </c>
      <c r="G1075" s="19">
        <f>IF(OR(C1075="",D1075=""),"",IFERROR(INDEX('Qida bazası'!$F$2:$F$103,MATCH(C1075,'Qida bazası'!$A$2:$A$103,0))*D1075/100,"?"))</f>
        <v/>
      </c>
      <c r="H1075" s="19">
        <f>IF(OR(C1075="",D1075=""),"",IFERROR(INDEX('Qida bazası'!$G$2:$G$103,MATCH(C1075,'Qida bazası'!$A$2:$A$103,0))*D1075/100,"?"))</f>
        <v/>
      </c>
    </row>
    <row r="1076">
      <c r="A1076" s="21" t="n"/>
      <c r="E1076" s="18">
        <f>IF(OR(C1076="",D1076=""),"",IFERROR(INDEX('Qida bazası'!$D$2:$D$103,MATCH(C1076,'Qida bazası'!$A$2:$A$103,0))*D1076/100,"?"))</f>
        <v/>
      </c>
      <c r="F1076" s="19">
        <f>IF(OR(C1076="",D1076=""),"",IFERROR(INDEX('Qida bazası'!$E$2:$E$103,MATCH(C1076,'Qida bazası'!$A$2:$A$103,0))*D1076/100,"?"))</f>
        <v/>
      </c>
      <c r="G1076" s="19">
        <f>IF(OR(C1076="",D1076=""),"",IFERROR(INDEX('Qida bazası'!$F$2:$F$103,MATCH(C1076,'Qida bazası'!$A$2:$A$103,0))*D1076/100,"?"))</f>
        <v/>
      </c>
      <c r="H1076" s="19">
        <f>IF(OR(C1076="",D1076=""),"",IFERROR(INDEX('Qida bazası'!$G$2:$G$103,MATCH(C1076,'Qida bazası'!$A$2:$A$103,0))*D1076/100,"?"))</f>
        <v/>
      </c>
    </row>
    <row r="1077">
      <c r="A1077" s="21" t="n"/>
      <c r="E1077" s="18">
        <f>IF(OR(C1077="",D1077=""),"",IFERROR(INDEX('Qida bazası'!$D$2:$D$103,MATCH(C1077,'Qida bazası'!$A$2:$A$103,0))*D1077/100,"?"))</f>
        <v/>
      </c>
      <c r="F1077" s="19">
        <f>IF(OR(C1077="",D1077=""),"",IFERROR(INDEX('Qida bazası'!$E$2:$E$103,MATCH(C1077,'Qida bazası'!$A$2:$A$103,0))*D1077/100,"?"))</f>
        <v/>
      </c>
      <c r="G1077" s="19">
        <f>IF(OR(C1077="",D1077=""),"",IFERROR(INDEX('Qida bazası'!$F$2:$F$103,MATCH(C1077,'Qida bazası'!$A$2:$A$103,0))*D1077/100,"?"))</f>
        <v/>
      </c>
      <c r="H1077" s="19">
        <f>IF(OR(C1077="",D1077=""),"",IFERROR(INDEX('Qida bazası'!$G$2:$G$103,MATCH(C1077,'Qida bazası'!$A$2:$A$103,0))*D1077/100,"?"))</f>
        <v/>
      </c>
    </row>
    <row r="1078">
      <c r="A1078" s="21" t="n"/>
      <c r="E1078" s="18">
        <f>IF(OR(C1078="",D1078=""),"",IFERROR(INDEX('Qida bazası'!$D$2:$D$103,MATCH(C1078,'Qida bazası'!$A$2:$A$103,0))*D1078/100,"?"))</f>
        <v/>
      </c>
      <c r="F1078" s="19">
        <f>IF(OR(C1078="",D1078=""),"",IFERROR(INDEX('Qida bazası'!$E$2:$E$103,MATCH(C1078,'Qida bazası'!$A$2:$A$103,0))*D1078/100,"?"))</f>
        <v/>
      </c>
      <c r="G1078" s="19">
        <f>IF(OR(C1078="",D1078=""),"",IFERROR(INDEX('Qida bazası'!$F$2:$F$103,MATCH(C1078,'Qida bazası'!$A$2:$A$103,0))*D1078/100,"?"))</f>
        <v/>
      </c>
      <c r="H1078" s="19">
        <f>IF(OR(C1078="",D1078=""),"",IFERROR(INDEX('Qida bazası'!$G$2:$G$103,MATCH(C1078,'Qida bazası'!$A$2:$A$103,0))*D1078/100,"?"))</f>
        <v/>
      </c>
    </row>
    <row r="1079">
      <c r="A1079" s="21" t="n"/>
      <c r="E1079" s="18">
        <f>IF(OR(C1079="",D1079=""),"",IFERROR(INDEX('Qida bazası'!$D$2:$D$103,MATCH(C1079,'Qida bazası'!$A$2:$A$103,0))*D1079/100,"?"))</f>
        <v/>
      </c>
      <c r="F1079" s="19">
        <f>IF(OR(C1079="",D1079=""),"",IFERROR(INDEX('Qida bazası'!$E$2:$E$103,MATCH(C1079,'Qida bazası'!$A$2:$A$103,0))*D1079/100,"?"))</f>
        <v/>
      </c>
      <c r="G1079" s="19">
        <f>IF(OR(C1079="",D1079=""),"",IFERROR(INDEX('Qida bazası'!$F$2:$F$103,MATCH(C1079,'Qida bazası'!$A$2:$A$103,0))*D1079/100,"?"))</f>
        <v/>
      </c>
      <c r="H1079" s="19">
        <f>IF(OR(C1079="",D1079=""),"",IFERROR(INDEX('Qida bazası'!$G$2:$G$103,MATCH(C1079,'Qida bazası'!$A$2:$A$103,0))*D1079/100,"?"))</f>
        <v/>
      </c>
    </row>
    <row r="1080">
      <c r="A1080" s="21" t="n"/>
      <c r="E1080" s="18">
        <f>IF(OR(C1080="",D1080=""),"",IFERROR(INDEX('Qida bazası'!$D$2:$D$103,MATCH(C1080,'Qida bazası'!$A$2:$A$103,0))*D1080/100,"?"))</f>
        <v/>
      </c>
      <c r="F1080" s="19">
        <f>IF(OR(C1080="",D1080=""),"",IFERROR(INDEX('Qida bazası'!$E$2:$E$103,MATCH(C1080,'Qida bazası'!$A$2:$A$103,0))*D1080/100,"?"))</f>
        <v/>
      </c>
      <c r="G1080" s="19">
        <f>IF(OR(C1080="",D1080=""),"",IFERROR(INDEX('Qida bazası'!$F$2:$F$103,MATCH(C1080,'Qida bazası'!$A$2:$A$103,0))*D1080/100,"?"))</f>
        <v/>
      </c>
      <c r="H1080" s="19">
        <f>IF(OR(C1080="",D1080=""),"",IFERROR(INDEX('Qida bazası'!$G$2:$G$103,MATCH(C1080,'Qida bazası'!$A$2:$A$103,0))*D1080/100,"?"))</f>
        <v/>
      </c>
    </row>
    <row r="1081">
      <c r="A1081" s="21" t="n"/>
      <c r="E1081" s="18">
        <f>IF(OR(C1081="",D1081=""),"",IFERROR(INDEX('Qida bazası'!$D$2:$D$103,MATCH(C1081,'Qida bazası'!$A$2:$A$103,0))*D1081/100,"?"))</f>
        <v/>
      </c>
      <c r="F1081" s="19">
        <f>IF(OR(C1081="",D1081=""),"",IFERROR(INDEX('Qida bazası'!$E$2:$E$103,MATCH(C1081,'Qida bazası'!$A$2:$A$103,0))*D1081/100,"?"))</f>
        <v/>
      </c>
      <c r="G1081" s="19">
        <f>IF(OR(C1081="",D1081=""),"",IFERROR(INDEX('Qida bazası'!$F$2:$F$103,MATCH(C1081,'Qida bazası'!$A$2:$A$103,0))*D1081/100,"?"))</f>
        <v/>
      </c>
      <c r="H1081" s="19">
        <f>IF(OR(C1081="",D1081=""),"",IFERROR(INDEX('Qida bazası'!$G$2:$G$103,MATCH(C1081,'Qida bazası'!$A$2:$A$103,0))*D1081/100,"?"))</f>
        <v/>
      </c>
    </row>
    <row r="1082">
      <c r="A1082" s="21" t="n"/>
      <c r="E1082" s="18">
        <f>IF(OR(C1082="",D1082=""),"",IFERROR(INDEX('Qida bazası'!$D$2:$D$103,MATCH(C1082,'Qida bazası'!$A$2:$A$103,0))*D1082/100,"?"))</f>
        <v/>
      </c>
      <c r="F1082" s="19">
        <f>IF(OR(C1082="",D1082=""),"",IFERROR(INDEX('Qida bazası'!$E$2:$E$103,MATCH(C1082,'Qida bazası'!$A$2:$A$103,0))*D1082/100,"?"))</f>
        <v/>
      </c>
      <c r="G1082" s="19">
        <f>IF(OR(C1082="",D1082=""),"",IFERROR(INDEX('Qida bazası'!$F$2:$F$103,MATCH(C1082,'Qida bazası'!$A$2:$A$103,0))*D1082/100,"?"))</f>
        <v/>
      </c>
      <c r="H1082" s="19">
        <f>IF(OR(C1082="",D1082=""),"",IFERROR(INDEX('Qida bazası'!$G$2:$G$103,MATCH(C1082,'Qida bazası'!$A$2:$A$103,0))*D1082/100,"?"))</f>
        <v/>
      </c>
    </row>
    <row r="1083">
      <c r="A1083" s="21" t="n"/>
      <c r="E1083" s="18">
        <f>IF(OR(C1083="",D1083=""),"",IFERROR(INDEX('Qida bazası'!$D$2:$D$103,MATCH(C1083,'Qida bazası'!$A$2:$A$103,0))*D1083/100,"?"))</f>
        <v/>
      </c>
      <c r="F1083" s="19">
        <f>IF(OR(C1083="",D1083=""),"",IFERROR(INDEX('Qida bazası'!$E$2:$E$103,MATCH(C1083,'Qida bazası'!$A$2:$A$103,0))*D1083/100,"?"))</f>
        <v/>
      </c>
      <c r="G1083" s="19">
        <f>IF(OR(C1083="",D1083=""),"",IFERROR(INDEX('Qida bazası'!$F$2:$F$103,MATCH(C1083,'Qida bazası'!$A$2:$A$103,0))*D1083/100,"?"))</f>
        <v/>
      </c>
      <c r="H1083" s="19">
        <f>IF(OR(C1083="",D1083=""),"",IFERROR(INDEX('Qida bazası'!$G$2:$G$103,MATCH(C1083,'Qida bazası'!$A$2:$A$103,0))*D1083/100,"?"))</f>
        <v/>
      </c>
    </row>
    <row r="1084">
      <c r="A1084" s="21" t="n"/>
      <c r="E1084" s="18">
        <f>IF(OR(C1084="",D1084=""),"",IFERROR(INDEX('Qida bazası'!$D$2:$D$103,MATCH(C1084,'Qida bazası'!$A$2:$A$103,0))*D1084/100,"?"))</f>
        <v/>
      </c>
      <c r="F1084" s="19">
        <f>IF(OR(C1084="",D1084=""),"",IFERROR(INDEX('Qida bazası'!$E$2:$E$103,MATCH(C1084,'Qida bazası'!$A$2:$A$103,0))*D1084/100,"?"))</f>
        <v/>
      </c>
      <c r="G1084" s="19">
        <f>IF(OR(C1084="",D1084=""),"",IFERROR(INDEX('Qida bazası'!$F$2:$F$103,MATCH(C1084,'Qida bazası'!$A$2:$A$103,0))*D1084/100,"?"))</f>
        <v/>
      </c>
      <c r="H1084" s="19">
        <f>IF(OR(C1084="",D1084=""),"",IFERROR(INDEX('Qida bazası'!$G$2:$G$103,MATCH(C1084,'Qida bazası'!$A$2:$A$103,0))*D1084/100,"?"))</f>
        <v/>
      </c>
    </row>
    <row r="1085">
      <c r="A1085" s="21" t="n"/>
      <c r="E1085" s="18">
        <f>IF(OR(C1085="",D1085=""),"",IFERROR(INDEX('Qida bazası'!$D$2:$D$103,MATCH(C1085,'Qida bazası'!$A$2:$A$103,0))*D1085/100,"?"))</f>
        <v/>
      </c>
      <c r="F1085" s="19">
        <f>IF(OR(C1085="",D1085=""),"",IFERROR(INDEX('Qida bazası'!$E$2:$E$103,MATCH(C1085,'Qida bazası'!$A$2:$A$103,0))*D1085/100,"?"))</f>
        <v/>
      </c>
      <c r="G1085" s="19">
        <f>IF(OR(C1085="",D1085=""),"",IFERROR(INDEX('Qida bazası'!$F$2:$F$103,MATCH(C1085,'Qida bazası'!$A$2:$A$103,0))*D1085/100,"?"))</f>
        <v/>
      </c>
      <c r="H1085" s="19">
        <f>IF(OR(C1085="",D1085=""),"",IFERROR(INDEX('Qida bazası'!$G$2:$G$103,MATCH(C1085,'Qida bazası'!$A$2:$A$103,0))*D1085/100,"?"))</f>
        <v/>
      </c>
    </row>
    <row r="1086">
      <c r="A1086" s="21" t="n"/>
      <c r="E1086" s="18">
        <f>IF(OR(C1086="",D1086=""),"",IFERROR(INDEX('Qida bazası'!$D$2:$D$103,MATCH(C1086,'Qida bazası'!$A$2:$A$103,0))*D1086/100,"?"))</f>
        <v/>
      </c>
      <c r="F1086" s="19">
        <f>IF(OR(C1086="",D1086=""),"",IFERROR(INDEX('Qida bazası'!$E$2:$E$103,MATCH(C1086,'Qida bazası'!$A$2:$A$103,0))*D1086/100,"?"))</f>
        <v/>
      </c>
      <c r="G1086" s="19">
        <f>IF(OR(C1086="",D1086=""),"",IFERROR(INDEX('Qida bazası'!$F$2:$F$103,MATCH(C1086,'Qida bazası'!$A$2:$A$103,0))*D1086/100,"?"))</f>
        <v/>
      </c>
      <c r="H1086" s="19">
        <f>IF(OR(C1086="",D1086=""),"",IFERROR(INDEX('Qida bazası'!$G$2:$G$103,MATCH(C1086,'Qida bazası'!$A$2:$A$103,0))*D1086/100,"?"))</f>
        <v/>
      </c>
    </row>
    <row r="1087">
      <c r="A1087" s="21" t="n"/>
      <c r="E1087" s="18">
        <f>IF(OR(C1087="",D1087=""),"",IFERROR(INDEX('Qida bazası'!$D$2:$D$103,MATCH(C1087,'Qida bazası'!$A$2:$A$103,0))*D1087/100,"?"))</f>
        <v/>
      </c>
      <c r="F1087" s="19">
        <f>IF(OR(C1087="",D1087=""),"",IFERROR(INDEX('Qida bazası'!$E$2:$E$103,MATCH(C1087,'Qida bazası'!$A$2:$A$103,0))*D1087/100,"?"))</f>
        <v/>
      </c>
      <c r="G1087" s="19">
        <f>IF(OR(C1087="",D1087=""),"",IFERROR(INDEX('Qida bazası'!$F$2:$F$103,MATCH(C1087,'Qida bazası'!$A$2:$A$103,0))*D1087/100,"?"))</f>
        <v/>
      </c>
      <c r="H1087" s="19">
        <f>IF(OR(C1087="",D1087=""),"",IFERROR(INDEX('Qida bazası'!$G$2:$G$103,MATCH(C1087,'Qida bazası'!$A$2:$A$103,0))*D1087/100,"?"))</f>
        <v/>
      </c>
    </row>
    <row r="1088">
      <c r="A1088" s="21" t="n"/>
      <c r="E1088" s="18">
        <f>IF(OR(C1088="",D1088=""),"",IFERROR(INDEX('Qida bazası'!$D$2:$D$103,MATCH(C1088,'Qida bazası'!$A$2:$A$103,0))*D1088/100,"?"))</f>
        <v/>
      </c>
      <c r="F1088" s="19">
        <f>IF(OR(C1088="",D1088=""),"",IFERROR(INDEX('Qida bazası'!$E$2:$E$103,MATCH(C1088,'Qida bazası'!$A$2:$A$103,0))*D1088/100,"?"))</f>
        <v/>
      </c>
      <c r="G1088" s="19">
        <f>IF(OR(C1088="",D1088=""),"",IFERROR(INDEX('Qida bazası'!$F$2:$F$103,MATCH(C1088,'Qida bazası'!$A$2:$A$103,0))*D1088/100,"?"))</f>
        <v/>
      </c>
      <c r="H1088" s="19">
        <f>IF(OR(C1088="",D1088=""),"",IFERROR(INDEX('Qida bazası'!$G$2:$G$103,MATCH(C1088,'Qida bazası'!$A$2:$A$103,0))*D1088/100,"?"))</f>
        <v/>
      </c>
    </row>
    <row r="1089">
      <c r="A1089" s="21" t="n"/>
      <c r="E1089" s="18">
        <f>IF(OR(C1089="",D1089=""),"",IFERROR(INDEX('Qida bazası'!$D$2:$D$103,MATCH(C1089,'Qida bazası'!$A$2:$A$103,0))*D1089/100,"?"))</f>
        <v/>
      </c>
      <c r="F1089" s="19">
        <f>IF(OR(C1089="",D1089=""),"",IFERROR(INDEX('Qida bazası'!$E$2:$E$103,MATCH(C1089,'Qida bazası'!$A$2:$A$103,0))*D1089/100,"?"))</f>
        <v/>
      </c>
      <c r="G1089" s="19">
        <f>IF(OR(C1089="",D1089=""),"",IFERROR(INDEX('Qida bazası'!$F$2:$F$103,MATCH(C1089,'Qida bazası'!$A$2:$A$103,0))*D1089/100,"?"))</f>
        <v/>
      </c>
      <c r="H1089" s="19">
        <f>IF(OR(C1089="",D1089=""),"",IFERROR(INDEX('Qida bazası'!$G$2:$G$103,MATCH(C1089,'Qida bazası'!$A$2:$A$103,0))*D1089/100,"?"))</f>
        <v/>
      </c>
    </row>
    <row r="1090">
      <c r="A1090" s="21" t="n"/>
      <c r="E1090" s="18">
        <f>IF(OR(C1090="",D1090=""),"",IFERROR(INDEX('Qida bazası'!$D$2:$D$103,MATCH(C1090,'Qida bazası'!$A$2:$A$103,0))*D1090/100,"?"))</f>
        <v/>
      </c>
      <c r="F1090" s="19">
        <f>IF(OR(C1090="",D1090=""),"",IFERROR(INDEX('Qida bazası'!$E$2:$E$103,MATCH(C1090,'Qida bazası'!$A$2:$A$103,0))*D1090/100,"?"))</f>
        <v/>
      </c>
      <c r="G1090" s="19">
        <f>IF(OR(C1090="",D1090=""),"",IFERROR(INDEX('Qida bazası'!$F$2:$F$103,MATCH(C1090,'Qida bazası'!$A$2:$A$103,0))*D1090/100,"?"))</f>
        <v/>
      </c>
      <c r="H1090" s="19">
        <f>IF(OR(C1090="",D1090=""),"",IFERROR(INDEX('Qida bazası'!$G$2:$G$103,MATCH(C1090,'Qida bazası'!$A$2:$A$103,0))*D1090/100,"?"))</f>
        <v/>
      </c>
    </row>
    <row r="1091">
      <c r="A1091" s="21" t="n"/>
      <c r="E1091" s="18">
        <f>IF(OR(C1091="",D1091=""),"",IFERROR(INDEX('Qida bazası'!$D$2:$D$103,MATCH(C1091,'Qida bazası'!$A$2:$A$103,0))*D1091/100,"?"))</f>
        <v/>
      </c>
      <c r="F1091" s="19">
        <f>IF(OR(C1091="",D1091=""),"",IFERROR(INDEX('Qida bazası'!$E$2:$E$103,MATCH(C1091,'Qida bazası'!$A$2:$A$103,0))*D1091/100,"?"))</f>
        <v/>
      </c>
      <c r="G1091" s="19">
        <f>IF(OR(C1091="",D1091=""),"",IFERROR(INDEX('Qida bazası'!$F$2:$F$103,MATCH(C1091,'Qida bazası'!$A$2:$A$103,0))*D1091/100,"?"))</f>
        <v/>
      </c>
      <c r="H1091" s="19">
        <f>IF(OR(C1091="",D1091=""),"",IFERROR(INDEX('Qida bazası'!$G$2:$G$103,MATCH(C1091,'Qida bazası'!$A$2:$A$103,0))*D1091/100,"?"))</f>
        <v/>
      </c>
    </row>
    <row r="1092">
      <c r="A1092" s="21" t="n"/>
      <c r="E1092" s="18">
        <f>IF(OR(C1092="",D1092=""),"",IFERROR(INDEX('Qida bazası'!$D$2:$D$103,MATCH(C1092,'Qida bazası'!$A$2:$A$103,0))*D1092/100,"?"))</f>
        <v/>
      </c>
      <c r="F1092" s="19">
        <f>IF(OR(C1092="",D1092=""),"",IFERROR(INDEX('Qida bazası'!$E$2:$E$103,MATCH(C1092,'Qida bazası'!$A$2:$A$103,0))*D1092/100,"?"))</f>
        <v/>
      </c>
      <c r="G1092" s="19">
        <f>IF(OR(C1092="",D1092=""),"",IFERROR(INDEX('Qida bazası'!$F$2:$F$103,MATCH(C1092,'Qida bazası'!$A$2:$A$103,0))*D1092/100,"?"))</f>
        <v/>
      </c>
      <c r="H1092" s="19">
        <f>IF(OR(C1092="",D1092=""),"",IFERROR(INDEX('Qida bazası'!$G$2:$G$103,MATCH(C1092,'Qida bazası'!$A$2:$A$103,0))*D1092/100,"?"))</f>
        <v/>
      </c>
    </row>
    <row r="1093">
      <c r="A1093" s="21" t="n"/>
      <c r="E1093" s="18">
        <f>IF(OR(C1093="",D1093=""),"",IFERROR(INDEX('Qida bazası'!$D$2:$D$103,MATCH(C1093,'Qida bazası'!$A$2:$A$103,0))*D1093/100,"?"))</f>
        <v/>
      </c>
      <c r="F1093" s="19">
        <f>IF(OR(C1093="",D1093=""),"",IFERROR(INDEX('Qida bazası'!$E$2:$E$103,MATCH(C1093,'Qida bazası'!$A$2:$A$103,0))*D1093/100,"?"))</f>
        <v/>
      </c>
      <c r="G1093" s="19">
        <f>IF(OR(C1093="",D1093=""),"",IFERROR(INDEX('Qida bazası'!$F$2:$F$103,MATCH(C1093,'Qida bazası'!$A$2:$A$103,0))*D1093/100,"?"))</f>
        <v/>
      </c>
      <c r="H1093" s="19">
        <f>IF(OR(C1093="",D1093=""),"",IFERROR(INDEX('Qida bazası'!$G$2:$G$103,MATCH(C1093,'Qida bazası'!$A$2:$A$103,0))*D1093/100,"?"))</f>
        <v/>
      </c>
    </row>
    <row r="1094">
      <c r="A1094" s="21" t="n"/>
      <c r="E1094" s="18">
        <f>IF(OR(C1094="",D1094=""),"",IFERROR(INDEX('Qida bazası'!$D$2:$D$103,MATCH(C1094,'Qida bazası'!$A$2:$A$103,0))*D1094/100,"?"))</f>
        <v/>
      </c>
      <c r="F1094" s="19">
        <f>IF(OR(C1094="",D1094=""),"",IFERROR(INDEX('Qida bazası'!$E$2:$E$103,MATCH(C1094,'Qida bazası'!$A$2:$A$103,0))*D1094/100,"?"))</f>
        <v/>
      </c>
      <c r="G1094" s="19">
        <f>IF(OR(C1094="",D1094=""),"",IFERROR(INDEX('Qida bazası'!$F$2:$F$103,MATCH(C1094,'Qida bazası'!$A$2:$A$103,0))*D1094/100,"?"))</f>
        <v/>
      </c>
      <c r="H1094" s="19">
        <f>IF(OR(C1094="",D1094=""),"",IFERROR(INDEX('Qida bazası'!$G$2:$G$103,MATCH(C1094,'Qida bazası'!$A$2:$A$103,0))*D1094/100,"?"))</f>
        <v/>
      </c>
    </row>
    <row r="1095">
      <c r="A1095" s="21" t="n"/>
      <c r="E1095" s="18">
        <f>IF(OR(C1095="",D1095=""),"",IFERROR(INDEX('Qida bazası'!$D$2:$D$103,MATCH(C1095,'Qida bazası'!$A$2:$A$103,0))*D1095/100,"?"))</f>
        <v/>
      </c>
      <c r="F1095" s="19">
        <f>IF(OR(C1095="",D1095=""),"",IFERROR(INDEX('Qida bazası'!$E$2:$E$103,MATCH(C1095,'Qida bazası'!$A$2:$A$103,0))*D1095/100,"?"))</f>
        <v/>
      </c>
      <c r="G1095" s="19">
        <f>IF(OR(C1095="",D1095=""),"",IFERROR(INDEX('Qida bazası'!$F$2:$F$103,MATCH(C1095,'Qida bazası'!$A$2:$A$103,0))*D1095/100,"?"))</f>
        <v/>
      </c>
      <c r="H1095" s="19">
        <f>IF(OR(C1095="",D1095=""),"",IFERROR(INDEX('Qida bazası'!$G$2:$G$103,MATCH(C1095,'Qida bazası'!$A$2:$A$103,0))*D1095/100,"?"))</f>
        <v/>
      </c>
    </row>
    <row r="1096">
      <c r="A1096" s="21" t="n"/>
      <c r="E1096" s="18">
        <f>IF(OR(C1096="",D1096=""),"",IFERROR(INDEX('Qida bazası'!$D$2:$D$103,MATCH(C1096,'Qida bazası'!$A$2:$A$103,0))*D1096/100,"?"))</f>
        <v/>
      </c>
      <c r="F1096" s="19">
        <f>IF(OR(C1096="",D1096=""),"",IFERROR(INDEX('Qida bazası'!$E$2:$E$103,MATCH(C1096,'Qida bazası'!$A$2:$A$103,0))*D1096/100,"?"))</f>
        <v/>
      </c>
      <c r="G1096" s="19">
        <f>IF(OR(C1096="",D1096=""),"",IFERROR(INDEX('Qida bazası'!$F$2:$F$103,MATCH(C1096,'Qida bazası'!$A$2:$A$103,0))*D1096/100,"?"))</f>
        <v/>
      </c>
      <c r="H1096" s="19">
        <f>IF(OR(C1096="",D1096=""),"",IFERROR(INDEX('Qida bazası'!$G$2:$G$103,MATCH(C1096,'Qida bazası'!$A$2:$A$103,0))*D1096/100,"?"))</f>
        <v/>
      </c>
    </row>
    <row r="1097">
      <c r="A1097" s="21" t="n"/>
      <c r="E1097" s="18">
        <f>IF(OR(C1097="",D1097=""),"",IFERROR(INDEX('Qida bazası'!$D$2:$D$103,MATCH(C1097,'Qida bazası'!$A$2:$A$103,0))*D1097/100,"?"))</f>
        <v/>
      </c>
      <c r="F1097" s="19">
        <f>IF(OR(C1097="",D1097=""),"",IFERROR(INDEX('Qida bazası'!$E$2:$E$103,MATCH(C1097,'Qida bazası'!$A$2:$A$103,0))*D1097/100,"?"))</f>
        <v/>
      </c>
      <c r="G1097" s="19">
        <f>IF(OR(C1097="",D1097=""),"",IFERROR(INDEX('Qida bazası'!$F$2:$F$103,MATCH(C1097,'Qida bazası'!$A$2:$A$103,0))*D1097/100,"?"))</f>
        <v/>
      </c>
      <c r="H1097" s="19">
        <f>IF(OR(C1097="",D1097=""),"",IFERROR(INDEX('Qida bazası'!$G$2:$G$103,MATCH(C1097,'Qida bazası'!$A$2:$A$103,0))*D1097/100,"?"))</f>
        <v/>
      </c>
    </row>
    <row r="1098">
      <c r="A1098" s="21" t="n"/>
      <c r="E1098" s="18">
        <f>IF(OR(C1098="",D1098=""),"",IFERROR(INDEX('Qida bazası'!$D$2:$D$103,MATCH(C1098,'Qida bazası'!$A$2:$A$103,0))*D1098/100,"?"))</f>
        <v/>
      </c>
      <c r="F1098" s="19">
        <f>IF(OR(C1098="",D1098=""),"",IFERROR(INDEX('Qida bazası'!$E$2:$E$103,MATCH(C1098,'Qida bazası'!$A$2:$A$103,0))*D1098/100,"?"))</f>
        <v/>
      </c>
      <c r="G1098" s="19">
        <f>IF(OR(C1098="",D1098=""),"",IFERROR(INDEX('Qida bazası'!$F$2:$F$103,MATCH(C1098,'Qida bazası'!$A$2:$A$103,0))*D1098/100,"?"))</f>
        <v/>
      </c>
      <c r="H1098" s="19">
        <f>IF(OR(C1098="",D1098=""),"",IFERROR(INDEX('Qida bazası'!$G$2:$G$103,MATCH(C1098,'Qida bazası'!$A$2:$A$103,0))*D1098/100,"?"))</f>
        <v/>
      </c>
    </row>
    <row r="1099">
      <c r="A1099" s="21" t="n"/>
      <c r="E1099" s="18">
        <f>IF(OR(C1099="",D1099=""),"",IFERROR(INDEX('Qida bazası'!$D$2:$D$103,MATCH(C1099,'Qida bazası'!$A$2:$A$103,0))*D1099/100,"?"))</f>
        <v/>
      </c>
      <c r="F1099" s="19">
        <f>IF(OR(C1099="",D1099=""),"",IFERROR(INDEX('Qida bazası'!$E$2:$E$103,MATCH(C1099,'Qida bazası'!$A$2:$A$103,0))*D1099/100,"?"))</f>
        <v/>
      </c>
      <c r="G1099" s="19">
        <f>IF(OR(C1099="",D1099=""),"",IFERROR(INDEX('Qida bazası'!$F$2:$F$103,MATCH(C1099,'Qida bazası'!$A$2:$A$103,0))*D1099/100,"?"))</f>
        <v/>
      </c>
      <c r="H1099" s="19">
        <f>IF(OR(C1099="",D1099=""),"",IFERROR(INDEX('Qida bazası'!$G$2:$G$103,MATCH(C1099,'Qida bazası'!$A$2:$A$103,0))*D1099/100,"?"))</f>
        <v/>
      </c>
    </row>
    <row r="1100">
      <c r="A1100" s="21" t="n"/>
      <c r="E1100" s="18">
        <f>IF(OR(C1100="",D1100=""),"",IFERROR(INDEX('Qida bazası'!$D$2:$D$103,MATCH(C1100,'Qida bazası'!$A$2:$A$103,0))*D1100/100,"?"))</f>
        <v/>
      </c>
      <c r="F1100" s="19">
        <f>IF(OR(C1100="",D1100=""),"",IFERROR(INDEX('Qida bazası'!$E$2:$E$103,MATCH(C1100,'Qida bazası'!$A$2:$A$103,0))*D1100/100,"?"))</f>
        <v/>
      </c>
      <c r="G1100" s="19">
        <f>IF(OR(C1100="",D1100=""),"",IFERROR(INDEX('Qida bazası'!$F$2:$F$103,MATCH(C1100,'Qida bazası'!$A$2:$A$103,0))*D1100/100,"?"))</f>
        <v/>
      </c>
      <c r="H1100" s="19">
        <f>IF(OR(C1100="",D1100=""),"",IFERROR(INDEX('Qida bazası'!$G$2:$G$103,MATCH(C1100,'Qida bazası'!$A$2:$A$103,0))*D1100/100,"?"))</f>
        <v/>
      </c>
    </row>
    <row r="1101">
      <c r="A1101" s="21" t="n"/>
      <c r="E1101" s="18">
        <f>IF(OR(C1101="",D1101=""),"",IFERROR(INDEX('Qida bazası'!$D$2:$D$103,MATCH(C1101,'Qida bazası'!$A$2:$A$103,0))*D1101/100,"?"))</f>
        <v/>
      </c>
      <c r="F1101" s="19">
        <f>IF(OR(C1101="",D1101=""),"",IFERROR(INDEX('Qida bazası'!$E$2:$E$103,MATCH(C1101,'Qida bazası'!$A$2:$A$103,0))*D1101/100,"?"))</f>
        <v/>
      </c>
      <c r="G1101" s="19">
        <f>IF(OR(C1101="",D1101=""),"",IFERROR(INDEX('Qida bazası'!$F$2:$F$103,MATCH(C1101,'Qida bazası'!$A$2:$A$103,0))*D1101/100,"?"))</f>
        <v/>
      </c>
      <c r="H1101" s="19">
        <f>IF(OR(C1101="",D1101=""),"",IFERROR(INDEX('Qida bazası'!$G$2:$G$103,MATCH(C1101,'Qida bazası'!$A$2:$A$103,0))*D1101/100,"?"))</f>
        <v/>
      </c>
    </row>
    <row r="1102">
      <c r="A1102" s="21" t="n"/>
      <c r="E1102" s="18">
        <f>IF(OR(C1102="",D1102=""),"",IFERROR(INDEX('Qida bazası'!$D$2:$D$103,MATCH(C1102,'Qida bazası'!$A$2:$A$103,0))*D1102/100,"?"))</f>
        <v/>
      </c>
      <c r="F1102" s="19">
        <f>IF(OR(C1102="",D1102=""),"",IFERROR(INDEX('Qida bazası'!$E$2:$E$103,MATCH(C1102,'Qida bazası'!$A$2:$A$103,0))*D1102/100,"?"))</f>
        <v/>
      </c>
      <c r="G1102" s="19">
        <f>IF(OR(C1102="",D1102=""),"",IFERROR(INDEX('Qida bazası'!$F$2:$F$103,MATCH(C1102,'Qida bazası'!$A$2:$A$103,0))*D1102/100,"?"))</f>
        <v/>
      </c>
      <c r="H1102" s="19">
        <f>IF(OR(C1102="",D1102=""),"",IFERROR(INDEX('Qida bazası'!$G$2:$G$103,MATCH(C1102,'Qida bazası'!$A$2:$A$103,0))*D1102/100,"?"))</f>
        <v/>
      </c>
    </row>
    <row r="1103">
      <c r="A1103" s="21" t="n"/>
      <c r="E1103" s="18">
        <f>IF(OR(C1103="",D1103=""),"",IFERROR(INDEX('Qida bazası'!$D$2:$D$103,MATCH(C1103,'Qida bazası'!$A$2:$A$103,0))*D1103/100,"?"))</f>
        <v/>
      </c>
      <c r="F1103" s="19">
        <f>IF(OR(C1103="",D1103=""),"",IFERROR(INDEX('Qida bazası'!$E$2:$E$103,MATCH(C1103,'Qida bazası'!$A$2:$A$103,0))*D1103/100,"?"))</f>
        <v/>
      </c>
      <c r="G1103" s="19">
        <f>IF(OR(C1103="",D1103=""),"",IFERROR(INDEX('Qida bazası'!$F$2:$F$103,MATCH(C1103,'Qida bazası'!$A$2:$A$103,0))*D1103/100,"?"))</f>
        <v/>
      </c>
      <c r="H1103" s="19">
        <f>IF(OR(C1103="",D1103=""),"",IFERROR(INDEX('Qida bazası'!$G$2:$G$103,MATCH(C1103,'Qida bazası'!$A$2:$A$103,0))*D1103/100,"?"))</f>
        <v/>
      </c>
    </row>
    <row r="1104">
      <c r="A1104" s="21" t="n"/>
      <c r="E1104" s="18">
        <f>IF(OR(C1104="",D1104=""),"",IFERROR(INDEX('Qida bazası'!$D$2:$D$103,MATCH(C1104,'Qida bazası'!$A$2:$A$103,0))*D1104/100,"?"))</f>
        <v/>
      </c>
      <c r="F1104" s="19">
        <f>IF(OR(C1104="",D1104=""),"",IFERROR(INDEX('Qida bazası'!$E$2:$E$103,MATCH(C1104,'Qida bazası'!$A$2:$A$103,0))*D1104/100,"?"))</f>
        <v/>
      </c>
      <c r="G1104" s="19">
        <f>IF(OR(C1104="",D1104=""),"",IFERROR(INDEX('Qida bazası'!$F$2:$F$103,MATCH(C1104,'Qida bazası'!$A$2:$A$103,0))*D1104/100,"?"))</f>
        <v/>
      </c>
      <c r="H1104" s="19">
        <f>IF(OR(C1104="",D1104=""),"",IFERROR(INDEX('Qida bazası'!$G$2:$G$103,MATCH(C1104,'Qida bazası'!$A$2:$A$103,0))*D1104/100,"?"))</f>
        <v/>
      </c>
    </row>
    <row r="1105">
      <c r="A1105" s="21" t="n"/>
      <c r="E1105" s="18">
        <f>IF(OR(C1105="",D1105=""),"",IFERROR(INDEX('Qida bazası'!$D$2:$D$103,MATCH(C1105,'Qida bazası'!$A$2:$A$103,0))*D1105/100,"?"))</f>
        <v/>
      </c>
      <c r="F1105" s="19">
        <f>IF(OR(C1105="",D1105=""),"",IFERROR(INDEX('Qida bazası'!$E$2:$E$103,MATCH(C1105,'Qida bazası'!$A$2:$A$103,0))*D1105/100,"?"))</f>
        <v/>
      </c>
      <c r="G1105" s="19">
        <f>IF(OR(C1105="",D1105=""),"",IFERROR(INDEX('Qida bazası'!$F$2:$F$103,MATCH(C1105,'Qida bazası'!$A$2:$A$103,0))*D1105/100,"?"))</f>
        <v/>
      </c>
      <c r="H1105" s="19">
        <f>IF(OR(C1105="",D1105=""),"",IFERROR(INDEX('Qida bazası'!$G$2:$G$103,MATCH(C1105,'Qida bazası'!$A$2:$A$103,0))*D1105/100,"?"))</f>
        <v/>
      </c>
    </row>
    <row r="1106">
      <c r="A1106" s="21" t="n"/>
      <c r="E1106" s="18">
        <f>IF(OR(C1106="",D1106=""),"",IFERROR(INDEX('Qida bazası'!$D$2:$D$103,MATCH(C1106,'Qida bazası'!$A$2:$A$103,0))*D1106/100,"?"))</f>
        <v/>
      </c>
      <c r="F1106" s="19">
        <f>IF(OR(C1106="",D1106=""),"",IFERROR(INDEX('Qida bazası'!$E$2:$E$103,MATCH(C1106,'Qida bazası'!$A$2:$A$103,0))*D1106/100,"?"))</f>
        <v/>
      </c>
      <c r="G1106" s="19">
        <f>IF(OR(C1106="",D1106=""),"",IFERROR(INDEX('Qida bazası'!$F$2:$F$103,MATCH(C1106,'Qida bazası'!$A$2:$A$103,0))*D1106/100,"?"))</f>
        <v/>
      </c>
      <c r="H1106" s="19">
        <f>IF(OR(C1106="",D1106=""),"",IFERROR(INDEX('Qida bazası'!$G$2:$G$103,MATCH(C1106,'Qida bazası'!$A$2:$A$103,0))*D1106/100,"?"))</f>
        <v/>
      </c>
    </row>
    <row r="1107">
      <c r="A1107" s="21" t="n"/>
      <c r="E1107" s="18">
        <f>IF(OR(C1107="",D1107=""),"",IFERROR(INDEX('Qida bazası'!$D$2:$D$103,MATCH(C1107,'Qida bazası'!$A$2:$A$103,0))*D1107/100,"?"))</f>
        <v/>
      </c>
      <c r="F1107" s="19">
        <f>IF(OR(C1107="",D1107=""),"",IFERROR(INDEX('Qida bazası'!$E$2:$E$103,MATCH(C1107,'Qida bazası'!$A$2:$A$103,0))*D1107/100,"?"))</f>
        <v/>
      </c>
      <c r="G1107" s="19">
        <f>IF(OR(C1107="",D1107=""),"",IFERROR(INDEX('Qida bazası'!$F$2:$F$103,MATCH(C1107,'Qida bazası'!$A$2:$A$103,0))*D1107/100,"?"))</f>
        <v/>
      </c>
      <c r="H1107" s="19">
        <f>IF(OR(C1107="",D1107=""),"",IFERROR(INDEX('Qida bazası'!$G$2:$G$103,MATCH(C1107,'Qida bazası'!$A$2:$A$103,0))*D1107/100,"?"))</f>
        <v/>
      </c>
    </row>
    <row r="1108">
      <c r="A1108" s="21" t="n"/>
      <c r="E1108" s="18">
        <f>IF(OR(C1108="",D1108=""),"",IFERROR(INDEX('Qida bazası'!$D$2:$D$103,MATCH(C1108,'Qida bazası'!$A$2:$A$103,0))*D1108/100,"?"))</f>
        <v/>
      </c>
      <c r="F1108" s="19">
        <f>IF(OR(C1108="",D1108=""),"",IFERROR(INDEX('Qida bazası'!$E$2:$E$103,MATCH(C1108,'Qida bazası'!$A$2:$A$103,0))*D1108/100,"?"))</f>
        <v/>
      </c>
      <c r="G1108" s="19">
        <f>IF(OR(C1108="",D1108=""),"",IFERROR(INDEX('Qida bazası'!$F$2:$F$103,MATCH(C1108,'Qida bazası'!$A$2:$A$103,0))*D1108/100,"?"))</f>
        <v/>
      </c>
      <c r="H1108" s="19">
        <f>IF(OR(C1108="",D1108=""),"",IFERROR(INDEX('Qida bazası'!$G$2:$G$103,MATCH(C1108,'Qida bazası'!$A$2:$A$103,0))*D1108/100,"?"))</f>
        <v/>
      </c>
    </row>
    <row r="1109">
      <c r="A1109" s="21" t="n"/>
      <c r="E1109" s="18">
        <f>IF(OR(C1109="",D1109=""),"",IFERROR(INDEX('Qida bazası'!$D$2:$D$103,MATCH(C1109,'Qida bazası'!$A$2:$A$103,0))*D1109/100,"?"))</f>
        <v/>
      </c>
      <c r="F1109" s="19">
        <f>IF(OR(C1109="",D1109=""),"",IFERROR(INDEX('Qida bazası'!$E$2:$E$103,MATCH(C1109,'Qida bazası'!$A$2:$A$103,0))*D1109/100,"?"))</f>
        <v/>
      </c>
      <c r="G1109" s="19">
        <f>IF(OR(C1109="",D1109=""),"",IFERROR(INDEX('Qida bazası'!$F$2:$F$103,MATCH(C1109,'Qida bazası'!$A$2:$A$103,0))*D1109/100,"?"))</f>
        <v/>
      </c>
      <c r="H1109" s="19">
        <f>IF(OR(C1109="",D1109=""),"",IFERROR(INDEX('Qida bazası'!$G$2:$G$103,MATCH(C1109,'Qida bazası'!$A$2:$A$103,0))*D1109/100,"?"))</f>
        <v/>
      </c>
    </row>
    <row r="1110">
      <c r="A1110" s="21" t="n"/>
      <c r="E1110" s="18">
        <f>IF(OR(C1110="",D1110=""),"",IFERROR(INDEX('Qida bazası'!$D$2:$D$103,MATCH(C1110,'Qida bazası'!$A$2:$A$103,0))*D1110/100,"?"))</f>
        <v/>
      </c>
      <c r="F1110" s="19">
        <f>IF(OR(C1110="",D1110=""),"",IFERROR(INDEX('Qida bazası'!$E$2:$E$103,MATCH(C1110,'Qida bazası'!$A$2:$A$103,0))*D1110/100,"?"))</f>
        <v/>
      </c>
      <c r="G1110" s="19">
        <f>IF(OR(C1110="",D1110=""),"",IFERROR(INDEX('Qida bazası'!$F$2:$F$103,MATCH(C1110,'Qida bazası'!$A$2:$A$103,0))*D1110/100,"?"))</f>
        <v/>
      </c>
      <c r="H1110" s="19">
        <f>IF(OR(C1110="",D1110=""),"",IFERROR(INDEX('Qida bazası'!$G$2:$G$103,MATCH(C1110,'Qida bazası'!$A$2:$A$103,0))*D1110/100,"?"))</f>
        <v/>
      </c>
    </row>
    <row r="1111">
      <c r="A1111" s="21" t="n"/>
      <c r="E1111" s="18">
        <f>IF(OR(C1111="",D1111=""),"",IFERROR(INDEX('Qida bazası'!$D$2:$D$103,MATCH(C1111,'Qida bazası'!$A$2:$A$103,0))*D1111/100,"?"))</f>
        <v/>
      </c>
      <c r="F1111" s="19">
        <f>IF(OR(C1111="",D1111=""),"",IFERROR(INDEX('Qida bazası'!$E$2:$E$103,MATCH(C1111,'Qida bazası'!$A$2:$A$103,0))*D1111/100,"?"))</f>
        <v/>
      </c>
      <c r="G1111" s="19">
        <f>IF(OR(C1111="",D1111=""),"",IFERROR(INDEX('Qida bazası'!$F$2:$F$103,MATCH(C1111,'Qida bazası'!$A$2:$A$103,0))*D1111/100,"?"))</f>
        <v/>
      </c>
      <c r="H1111" s="19">
        <f>IF(OR(C1111="",D1111=""),"",IFERROR(INDEX('Qida bazası'!$G$2:$G$103,MATCH(C1111,'Qida bazası'!$A$2:$A$103,0))*D1111/100,"?"))</f>
        <v/>
      </c>
    </row>
    <row r="1112">
      <c r="A1112" s="21" t="n"/>
      <c r="E1112" s="18">
        <f>IF(OR(C1112="",D1112=""),"",IFERROR(INDEX('Qida bazası'!$D$2:$D$103,MATCH(C1112,'Qida bazası'!$A$2:$A$103,0))*D1112/100,"?"))</f>
        <v/>
      </c>
      <c r="F1112" s="19">
        <f>IF(OR(C1112="",D1112=""),"",IFERROR(INDEX('Qida bazası'!$E$2:$E$103,MATCH(C1112,'Qida bazası'!$A$2:$A$103,0))*D1112/100,"?"))</f>
        <v/>
      </c>
      <c r="G1112" s="19">
        <f>IF(OR(C1112="",D1112=""),"",IFERROR(INDEX('Qida bazası'!$F$2:$F$103,MATCH(C1112,'Qida bazası'!$A$2:$A$103,0))*D1112/100,"?"))</f>
        <v/>
      </c>
      <c r="H1112" s="19">
        <f>IF(OR(C1112="",D1112=""),"",IFERROR(INDEX('Qida bazası'!$G$2:$G$103,MATCH(C1112,'Qida bazası'!$A$2:$A$103,0))*D1112/100,"?"))</f>
        <v/>
      </c>
    </row>
    <row r="1113">
      <c r="A1113" s="21" t="n"/>
      <c r="E1113" s="18">
        <f>IF(OR(C1113="",D1113=""),"",IFERROR(INDEX('Qida bazası'!$D$2:$D$103,MATCH(C1113,'Qida bazası'!$A$2:$A$103,0))*D1113/100,"?"))</f>
        <v/>
      </c>
      <c r="F1113" s="19">
        <f>IF(OR(C1113="",D1113=""),"",IFERROR(INDEX('Qida bazası'!$E$2:$E$103,MATCH(C1113,'Qida bazası'!$A$2:$A$103,0))*D1113/100,"?"))</f>
        <v/>
      </c>
      <c r="G1113" s="19">
        <f>IF(OR(C1113="",D1113=""),"",IFERROR(INDEX('Qida bazası'!$F$2:$F$103,MATCH(C1113,'Qida bazası'!$A$2:$A$103,0))*D1113/100,"?"))</f>
        <v/>
      </c>
      <c r="H1113" s="19">
        <f>IF(OR(C1113="",D1113=""),"",IFERROR(INDEX('Qida bazası'!$G$2:$G$103,MATCH(C1113,'Qida bazası'!$A$2:$A$103,0))*D1113/100,"?"))</f>
        <v/>
      </c>
    </row>
    <row r="1114">
      <c r="A1114" s="21" t="n"/>
      <c r="E1114" s="18">
        <f>IF(OR(C1114="",D1114=""),"",IFERROR(INDEX('Qida bazası'!$D$2:$D$103,MATCH(C1114,'Qida bazası'!$A$2:$A$103,0))*D1114/100,"?"))</f>
        <v/>
      </c>
      <c r="F1114" s="19">
        <f>IF(OR(C1114="",D1114=""),"",IFERROR(INDEX('Qida bazası'!$E$2:$E$103,MATCH(C1114,'Qida bazası'!$A$2:$A$103,0))*D1114/100,"?"))</f>
        <v/>
      </c>
      <c r="G1114" s="19">
        <f>IF(OR(C1114="",D1114=""),"",IFERROR(INDEX('Qida bazası'!$F$2:$F$103,MATCH(C1114,'Qida bazası'!$A$2:$A$103,0))*D1114/100,"?"))</f>
        <v/>
      </c>
      <c r="H1114" s="19">
        <f>IF(OR(C1114="",D1114=""),"",IFERROR(INDEX('Qida bazası'!$G$2:$G$103,MATCH(C1114,'Qida bazası'!$A$2:$A$103,0))*D1114/100,"?"))</f>
        <v/>
      </c>
    </row>
    <row r="1115">
      <c r="A1115" s="21" t="n"/>
      <c r="E1115" s="18">
        <f>IF(OR(C1115="",D1115=""),"",IFERROR(INDEX('Qida bazası'!$D$2:$D$103,MATCH(C1115,'Qida bazası'!$A$2:$A$103,0))*D1115/100,"?"))</f>
        <v/>
      </c>
      <c r="F1115" s="19">
        <f>IF(OR(C1115="",D1115=""),"",IFERROR(INDEX('Qida bazası'!$E$2:$E$103,MATCH(C1115,'Qida bazası'!$A$2:$A$103,0))*D1115/100,"?"))</f>
        <v/>
      </c>
      <c r="G1115" s="19">
        <f>IF(OR(C1115="",D1115=""),"",IFERROR(INDEX('Qida bazası'!$F$2:$F$103,MATCH(C1115,'Qida bazası'!$A$2:$A$103,0))*D1115/100,"?"))</f>
        <v/>
      </c>
      <c r="H1115" s="19">
        <f>IF(OR(C1115="",D1115=""),"",IFERROR(INDEX('Qida bazası'!$G$2:$G$103,MATCH(C1115,'Qida bazası'!$A$2:$A$103,0))*D1115/100,"?"))</f>
        <v/>
      </c>
    </row>
    <row r="1116">
      <c r="A1116" s="21" t="n"/>
      <c r="E1116" s="18">
        <f>IF(OR(C1116="",D1116=""),"",IFERROR(INDEX('Qida bazası'!$D$2:$D$103,MATCH(C1116,'Qida bazası'!$A$2:$A$103,0))*D1116/100,"?"))</f>
        <v/>
      </c>
      <c r="F1116" s="19">
        <f>IF(OR(C1116="",D1116=""),"",IFERROR(INDEX('Qida bazası'!$E$2:$E$103,MATCH(C1116,'Qida bazası'!$A$2:$A$103,0))*D1116/100,"?"))</f>
        <v/>
      </c>
      <c r="G1116" s="19">
        <f>IF(OR(C1116="",D1116=""),"",IFERROR(INDEX('Qida bazası'!$F$2:$F$103,MATCH(C1116,'Qida bazası'!$A$2:$A$103,0))*D1116/100,"?"))</f>
        <v/>
      </c>
      <c r="H1116" s="19">
        <f>IF(OR(C1116="",D1116=""),"",IFERROR(INDEX('Qida bazası'!$G$2:$G$103,MATCH(C1116,'Qida bazası'!$A$2:$A$103,0))*D1116/100,"?"))</f>
        <v/>
      </c>
    </row>
    <row r="1117">
      <c r="A1117" s="21" t="n"/>
      <c r="E1117" s="18">
        <f>IF(OR(C1117="",D1117=""),"",IFERROR(INDEX('Qida bazası'!$D$2:$D$103,MATCH(C1117,'Qida bazası'!$A$2:$A$103,0))*D1117/100,"?"))</f>
        <v/>
      </c>
      <c r="F1117" s="19">
        <f>IF(OR(C1117="",D1117=""),"",IFERROR(INDEX('Qida bazası'!$E$2:$E$103,MATCH(C1117,'Qida bazası'!$A$2:$A$103,0))*D1117/100,"?"))</f>
        <v/>
      </c>
      <c r="G1117" s="19">
        <f>IF(OR(C1117="",D1117=""),"",IFERROR(INDEX('Qida bazası'!$F$2:$F$103,MATCH(C1117,'Qida bazası'!$A$2:$A$103,0))*D1117/100,"?"))</f>
        <v/>
      </c>
      <c r="H1117" s="19">
        <f>IF(OR(C1117="",D1117=""),"",IFERROR(INDEX('Qida bazası'!$G$2:$G$103,MATCH(C1117,'Qida bazası'!$A$2:$A$103,0))*D1117/100,"?"))</f>
        <v/>
      </c>
    </row>
    <row r="1118">
      <c r="A1118" s="21" t="n"/>
      <c r="E1118" s="18">
        <f>IF(OR(C1118="",D1118=""),"",IFERROR(INDEX('Qida bazası'!$D$2:$D$103,MATCH(C1118,'Qida bazası'!$A$2:$A$103,0))*D1118/100,"?"))</f>
        <v/>
      </c>
      <c r="F1118" s="19">
        <f>IF(OR(C1118="",D1118=""),"",IFERROR(INDEX('Qida bazası'!$E$2:$E$103,MATCH(C1118,'Qida bazası'!$A$2:$A$103,0))*D1118/100,"?"))</f>
        <v/>
      </c>
      <c r="G1118" s="19">
        <f>IF(OR(C1118="",D1118=""),"",IFERROR(INDEX('Qida bazası'!$F$2:$F$103,MATCH(C1118,'Qida bazası'!$A$2:$A$103,0))*D1118/100,"?"))</f>
        <v/>
      </c>
      <c r="H1118" s="19">
        <f>IF(OR(C1118="",D1118=""),"",IFERROR(INDEX('Qida bazası'!$G$2:$G$103,MATCH(C1118,'Qida bazası'!$A$2:$A$103,0))*D1118/100,"?"))</f>
        <v/>
      </c>
    </row>
    <row r="1119">
      <c r="A1119" s="21" t="n"/>
      <c r="E1119" s="18">
        <f>IF(OR(C1119="",D1119=""),"",IFERROR(INDEX('Qida bazası'!$D$2:$D$103,MATCH(C1119,'Qida bazası'!$A$2:$A$103,0))*D1119/100,"?"))</f>
        <v/>
      </c>
      <c r="F1119" s="19">
        <f>IF(OR(C1119="",D1119=""),"",IFERROR(INDEX('Qida bazası'!$E$2:$E$103,MATCH(C1119,'Qida bazası'!$A$2:$A$103,0))*D1119/100,"?"))</f>
        <v/>
      </c>
      <c r="G1119" s="19">
        <f>IF(OR(C1119="",D1119=""),"",IFERROR(INDEX('Qida bazası'!$F$2:$F$103,MATCH(C1119,'Qida bazası'!$A$2:$A$103,0))*D1119/100,"?"))</f>
        <v/>
      </c>
      <c r="H1119" s="19">
        <f>IF(OR(C1119="",D1119=""),"",IFERROR(INDEX('Qida bazası'!$G$2:$G$103,MATCH(C1119,'Qida bazası'!$A$2:$A$103,0))*D1119/100,"?"))</f>
        <v/>
      </c>
    </row>
    <row r="1120">
      <c r="A1120" s="21" t="n"/>
      <c r="E1120" s="18">
        <f>IF(OR(C1120="",D1120=""),"",IFERROR(INDEX('Qida bazası'!$D$2:$D$103,MATCH(C1120,'Qida bazası'!$A$2:$A$103,0))*D1120/100,"?"))</f>
        <v/>
      </c>
      <c r="F1120" s="19">
        <f>IF(OR(C1120="",D1120=""),"",IFERROR(INDEX('Qida bazası'!$E$2:$E$103,MATCH(C1120,'Qida bazası'!$A$2:$A$103,0))*D1120/100,"?"))</f>
        <v/>
      </c>
      <c r="G1120" s="19">
        <f>IF(OR(C1120="",D1120=""),"",IFERROR(INDEX('Qida bazası'!$F$2:$F$103,MATCH(C1120,'Qida bazası'!$A$2:$A$103,0))*D1120/100,"?"))</f>
        <v/>
      </c>
      <c r="H1120" s="19">
        <f>IF(OR(C1120="",D1120=""),"",IFERROR(INDEX('Qida bazası'!$G$2:$G$103,MATCH(C1120,'Qida bazası'!$A$2:$A$103,0))*D1120/100,"?"))</f>
        <v/>
      </c>
    </row>
    <row r="1121">
      <c r="A1121" s="21" t="n"/>
      <c r="E1121" s="18">
        <f>IF(OR(C1121="",D1121=""),"",IFERROR(INDEX('Qida bazası'!$D$2:$D$103,MATCH(C1121,'Qida bazası'!$A$2:$A$103,0))*D1121/100,"?"))</f>
        <v/>
      </c>
      <c r="F1121" s="19">
        <f>IF(OR(C1121="",D1121=""),"",IFERROR(INDEX('Qida bazası'!$E$2:$E$103,MATCH(C1121,'Qida bazası'!$A$2:$A$103,0))*D1121/100,"?"))</f>
        <v/>
      </c>
      <c r="G1121" s="19">
        <f>IF(OR(C1121="",D1121=""),"",IFERROR(INDEX('Qida bazası'!$F$2:$F$103,MATCH(C1121,'Qida bazası'!$A$2:$A$103,0))*D1121/100,"?"))</f>
        <v/>
      </c>
      <c r="H1121" s="19">
        <f>IF(OR(C1121="",D1121=""),"",IFERROR(INDEX('Qida bazası'!$G$2:$G$103,MATCH(C1121,'Qida bazası'!$A$2:$A$103,0))*D1121/100,"?"))</f>
        <v/>
      </c>
    </row>
    <row r="1122">
      <c r="A1122" s="21" t="n"/>
      <c r="E1122" s="18">
        <f>IF(OR(C1122="",D1122=""),"",IFERROR(INDEX('Qida bazası'!$D$2:$D$103,MATCH(C1122,'Qida bazası'!$A$2:$A$103,0))*D1122/100,"?"))</f>
        <v/>
      </c>
      <c r="F1122" s="19">
        <f>IF(OR(C1122="",D1122=""),"",IFERROR(INDEX('Qida bazası'!$E$2:$E$103,MATCH(C1122,'Qida bazası'!$A$2:$A$103,0))*D1122/100,"?"))</f>
        <v/>
      </c>
      <c r="G1122" s="19">
        <f>IF(OR(C1122="",D1122=""),"",IFERROR(INDEX('Qida bazası'!$F$2:$F$103,MATCH(C1122,'Qida bazası'!$A$2:$A$103,0))*D1122/100,"?"))</f>
        <v/>
      </c>
      <c r="H1122" s="19">
        <f>IF(OR(C1122="",D1122=""),"",IFERROR(INDEX('Qida bazası'!$G$2:$G$103,MATCH(C1122,'Qida bazası'!$A$2:$A$103,0))*D1122/100,"?"))</f>
        <v/>
      </c>
    </row>
    <row r="1123">
      <c r="A1123" s="21" t="n"/>
      <c r="E1123" s="18">
        <f>IF(OR(C1123="",D1123=""),"",IFERROR(INDEX('Qida bazası'!$D$2:$D$103,MATCH(C1123,'Qida bazası'!$A$2:$A$103,0))*D1123/100,"?"))</f>
        <v/>
      </c>
      <c r="F1123" s="19">
        <f>IF(OR(C1123="",D1123=""),"",IFERROR(INDEX('Qida bazası'!$E$2:$E$103,MATCH(C1123,'Qida bazası'!$A$2:$A$103,0))*D1123/100,"?"))</f>
        <v/>
      </c>
      <c r="G1123" s="19">
        <f>IF(OR(C1123="",D1123=""),"",IFERROR(INDEX('Qida bazası'!$F$2:$F$103,MATCH(C1123,'Qida bazası'!$A$2:$A$103,0))*D1123/100,"?"))</f>
        <v/>
      </c>
      <c r="H1123" s="19">
        <f>IF(OR(C1123="",D1123=""),"",IFERROR(INDEX('Qida bazası'!$G$2:$G$103,MATCH(C1123,'Qida bazası'!$A$2:$A$103,0))*D1123/100,"?"))</f>
        <v/>
      </c>
    </row>
    <row r="1124">
      <c r="A1124" s="21" t="n"/>
      <c r="E1124" s="18">
        <f>IF(OR(C1124="",D1124=""),"",IFERROR(INDEX('Qida bazası'!$D$2:$D$103,MATCH(C1124,'Qida bazası'!$A$2:$A$103,0))*D1124/100,"?"))</f>
        <v/>
      </c>
      <c r="F1124" s="19">
        <f>IF(OR(C1124="",D1124=""),"",IFERROR(INDEX('Qida bazası'!$E$2:$E$103,MATCH(C1124,'Qida bazası'!$A$2:$A$103,0))*D1124/100,"?"))</f>
        <v/>
      </c>
      <c r="G1124" s="19">
        <f>IF(OR(C1124="",D1124=""),"",IFERROR(INDEX('Qida bazası'!$F$2:$F$103,MATCH(C1124,'Qida bazası'!$A$2:$A$103,0))*D1124/100,"?"))</f>
        <v/>
      </c>
      <c r="H1124" s="19">
        <f>IF(OR(C1124="",D1124=""),"",IFERROR(INDEX('Qida bazası'!$G$2:$G$103,MATCH(C1124,'Qida bazası'!$A$2:$A$103,0))*D1124/100,"?"))</f>
        <v/>
      </c>
    </row>
    <row r="1125">
      <c r="A1125" s="21" t="n"/>
      <c r="E1125" s="18">
        <f>IF(OR(C1125="",D1125=""),"",IFERROR(INDEX('Qida bazası'!$D$2:$D$103,MATCH(C1125,'Qida bazası'!$A$2:$A$103,0))*D1125/100,"?"))</f>
        <v/>
      </c>
      <c r="F1125" s="19">
        <f>IF(OR(C1125="",D1125=""),"",IFERROR(INDEX('Qida bazası'!$E$2:$E$103,MATCH(C1125,'Qida bazası'!$A$2:$A$103,0))*D1125/100,"?"))</f>
        <v/>
      </c>
      <c r="G1125" s="19">
        <f>IF(OR(C1125="",D1125=""),"",IFERROR(INDEX('Qida bazası'!$F$2:$F$103,MATCH(C1125,'Qida bazası'!$A$2:$A$103,0))*D1125/100,"?"))</f>
        <v/>
      </c>
      <c r="H1125" s="19">
        <f>IF(OR(C1125="",D1125=""),"",IFERROR(INDEX('Qida bazası'!$G$2:$G$103,MATCH(C1125,'Qida bazası'!$A$2:$A$103,0))*D1125/100,"?"))</f>
        <v/>
      </c>
    </row>
    <row r="1126">
      <c r="A1126" s="21" t="n"/>
      <c r="E1126" s="18">
        <f>IF(OR(C1126="",D1126=""),"",IFERROR(INDEX('Qida bazası'!$D$2:$D$103,MATCH(C1126,'Qida bazası'!$A$2:$A$103,0))*D1126/100,"?"))</f>
        <v/>
      </c>
      <c r="F1126" s="19">
        <f>IF(OR(C1126="",D1126=""),"",IFERROR(INDEX('Qida bazası'!$E$2:$E$103,MATCH(C1126,'Qida bazası'!$A$2:$A$103,0))*D1126/100,"?"))</f>
        <v/>
      </c>
      <c r="G1126" s="19">
        <f>IF(OR(C1126="",D1126=""),"",IFERROR(INDEX('Qida bazası'!$F$2:$F$103,MATCH(C1126,'Qida bazası'!$A$2:$A$103,0))*D1126/100,"?"))</f>
        <v/>
      </c>
      <c r="H1126" s="19">
        <f>IF(OR(C1126="",D1126=""),"",IFERROR(INDEX('Qida bazası'!$G$2:$G$103,MATCH(C1126,'Qida bazası'!$A$2:$A$103,0))*D1126/100,"?"))</f>
        <v/>
      </c>
    </row>
    <row r="1127">
      <c r="A1127" s="21" t="n"/>
      <c r="E1127" s="18">
        <f>IF(OR(C1127="",D1127=""),"",IFERROR(INDEX('Qida bazası'!$D$2:$D$103,MATCH(C1127,'Qida bazası'!$A$2:$A$103,0))*D1127/100,"?"))</f>
        <v/>
      </c>
      <c r="F1127" s="19">
        <f>IF(OR(C1127="",D1127=""),"",IFERROR(INDEX('Qida bazası'!$E$2:$E$103,MATCH(C1127,'Qida bazası'!$A$2:$A$103,0))*D1127/100,"?"))</f>
        <v/>
      </c>
      <c r="G1127" s="19">
        <f>IF(OR(C1127="",D1127=""),"",IFERROR(INDEX('Qida bazası'!$F$2:$F$103,MATCH(C1127,'Qida bazası'!$A$2:$A$103,0))*D1127/100,"?"))</f>
        <v/>
      </c>
      <c r="H1127" s="19">
        <f>IF(OR(C1127="",D1127=""),"",IFERROR(INDEX('Qida bazası'!$G$2:$G$103,MATCH(C1127,'Qida bazası'!$A$2:$A$103,0))*D1127/100,"?"))</f>
        <v/>
      </c>
    </row>
    <row r="1128">
      <c r="A1128" s="21" t="n"/>
      <c r="E1128" s="18">
        <f>IF(OR(C1128="",D1128=""),"",IFERROR(INDEX('Qida bazası'!$D$2:$D$103,MATCH(C1128,'Qida bazası'!$A$2:$A$103,0))*D1128/100,"?"))</f>
        <v/>
      </c>
      <c r="F1128" s="19">
        <f>IF(OR(C1128="",D1128=""),"",IFERROR(INDEX('Qida bazası'!$E$2:$E$103,MATCH(C1128,'Qida bazası'!$A$2:$A$103,0))*D1128/100,"?"))</f>
        <v/>
      </c>
      <c r="G1128" s="19">
        <f>IF(OR(C1128="",D1128=""),"",IFERROR(INDEX('Qida bazası'!$F$2:$F$103,MATCH(C1128,'Qida bazası'!$A$2:$A$103,0))*D1128/100,"?"))</f>
        <v/>
      </c>
      <c r="H1128" s="19">
        <f>IF(OR(C1128="",D1128=""),"",IFERROR(INDEX('Qida bazası'!$G$2:$G$103,MATCH(C1128,'Qida bazası'!$A$2:$A$103,0))*D1128/100,"?"))</f>
        <v/>
      </c>
    </row>
    <row r="1129">
      <c r="A1129" s="21" t="n"/>
      <c r="E1129" s="18">
        <f>IF(OR(C1129="",D1129=""),"",IFERROR(INDEX('Qida bazası'!$D$2:$D$103,MATCH(C1129,'Qida bazası'!$A$2:$A$103,0))*D1129/100,"?"))</f>
        <v/>
      </c>
      <c r="F1129" s="19">
        <f>IF(OR(C1129="",D1129=""),"",IFERROR(INDEX('Qida bazası'!$E$2:$E$103,MATCH(C1129,'Qida bazası'!$A$2:$A$103,0))*D1129/100,"?"))</f>
        <v/>
      </c>
      <c r="G1129" s="19">
        <f>IF(OR(C1129="",D1129=""),"",IFERROR(INDEX('Qida bazası'!$F$2:$F$103,MATCH(C1129,'Qida bazası'!$A$2:$A$103,0))*D1129/100,"?"))</f>
        <v/>
      </c>
      <c r="H1129" s="19">
        <f>IF(OR(C1129="",D1129=""),"",IFERROR(INDEX('Qida bazası'!$G$2:$G$103,MATCH(C1129,'Qida bazası'!$A$2:$A$103,0))*D1129/100,"?"))</f>
        <v/>
      </c>
    </row>
    <row r="1130">
      <c r="A1130" s="21" t="n"/>
      <c r="E1130" s="18">
        <f>IF(OR(C1130="",D1130=""),"",IFERROR(INDEX('Qida bazası'!$D$2:$D$103,MATCH(C1130,'Qida bazası'!$A$2:$A$103,0))*D1130/100,"?"))</f>
        <v/>
      </c>
      <c r="F1130" s="19">
        <f>IF(OR(C1130="",D1130=""),"",IFERROR(INDEX('Qida bazası'!$E$2:$E$103,MATCH(C1130,'Qida bazası'!$A$2:$A$103,0))*D1130/100,"?"))</f>
        <v/>
      </c>
      <c r="G1130" s="19">
        <f>IF(OR(C1130="",D1130=""),"",IFERROR(INDEX('Qida bazası'!$F$2:$F$103,MATCH(C1130,'Qida bazası'!$A$2:$A$103,0))*D1130/100,"?"))</f>
        <v/>
      </c>
      <c r="H1130" s="19">
        <f>IF(OR(C1130="",D1130=""),"",IFERROR(INDEX('Qida bazası'!$G$2:$G$103,MATCH(C1130,'Qida bazası'!$A$2:$A$103,0))*D1130/100,"?"))</f>
        <v/>
      </c>
    </row>
    <row r="1131">
      <c r="A1131" s="21" t="n"/>
      <c r="E1131" s="18">
        <f>IF(OR(C1131="",D1131=""),"",IFERROR(INDEX('Qida bazası'!$D$2:$D$103,MATCH(C1131,'Qida bazası'!$A$2:$A$103,0))*D1131/100,"?"))</f>
        <v/>
      </c>
      <c r="F1131" s="19">
        <f>IF(OR(C1131="",D1131=""),"",IFERROR(INDEX('Qida bazası'!$E$2:$E$103,MATCH(C1131,'Qida bazası'!$A$2:$A$103,0))*D1131/100,"?"))</f>
        <v/>
      </c>
      <c r="G1131" s="19">
        <f>IF(OR(C1131="",D1131=""),"",IFERROR(INDEX('Qida bazası'!$F$2:$F$103,MATCH(C1131,'Qida bazası'!$A$2:$A$103,0))*D1131/100,"?"))</f>
        <v/>
      </c>
      <c r="H1131" s="19">
        <f>IF(OR(C1131="",D1131=""),"",IFERROR(INDEX('Qida bazası'!$G$2:$G$103,MATCH(C1131,'Qida bazası'!$A$2:$A$103,0))*D1131/100,"?"))</f>
        <v/>
      </c>
    </row>
    <row r="1132">
      <c r="A1132" s="21" t="n"/>
      <c r="E1132" s="18">
        <f>IF(OR(C1132="",D1132=""),"",IFERROR(INDEX('Qida bazası'!$D$2:$D$103,MATCH(C1132,'Qida bazası'!$A$2:$A$103,0))*D1132/100,"?"))</f>
        <v/>
      </c>
      <c r="F1132" s="19">
        <f>IF(OR(C1132="",D1132=""),"",IFERROR(INDEX('Qida bazası'!$E$2:$E$103,MATCH(C1132,'Qida bazası'!$A$2:$A$103,0))*D1132/100,"?"))</f>
        <v/>
      </c>
      <c r="G1132" s="19">
        <f>IF(OR(C1132="",D1132=""),"",IFERROR(INDEX('Qida bazası'!$F$2:$F$103,MATCH(C1132,'Qida bazası'!$A$2:$A$103,0))*D1132/100,"?"))</f>
        <v/>
      </c>
      <c r="H1132" s="19">
        <f>IF(OR(C1132="",D1132=""),"",IFERROR(INDEX('Qida bazası'!$G$2:$G$103,MATCH(C1132,'Qida bazası'!$A$2:$A$103,0))*D1132/100,"?"))</f>
        <v/>
      </c>
    </row>
    <row r="1133">
      <c r="A1133" s="21" t="n"/>
      <c r="E1133" s="18">
        <f>IF(OR(C1133="",D1133=""),"",IFERROR(INDEX('Qida bazası'!$D$2:$D$103,MATCH(C1133,'Qida bazası'!$A$2:$A$103,0))*D1133/100,"?"))</f>
        <v/>
      </c>
      <c r="F1133" s="19">
        <f>IF(OR(C1133="",D1133=""),"",IFERROR(INDEX('Qida bazası'!$E$2:$E$103,MATCH(C1133,'Qida bazası'!$A$2:$A$103,0))*D1133/100,"?"))</f>
        <v/>
      </c>
      <c r="G1133" s="19">
        <f>IF(OR(C1133="",D1133=""),"",IFERROR(INDEX('Qida bazası'!$F$2:$F$103,MATCH(C1133,'Qida bazası'!$A$2:$A$103,0))*D1133/100,"?"))</f>
        <v/>
      </c>
      <c r="H1133" s="19">
        <f>IF(OR(C1133="",D1133=""),"",IFERROR(INDEX('Qida bazası'!$G$2:$G$103,MATCH(C1133,'Qida bazası'!$A$2:$A$103,0))*D1133/100,"?"))</f>
        <v/>
      </c>
    </row>
    <row r="1134">
      <c r="A1134" s="21" t="n"/>
      <c r="E1134" s="18">
        <f>IF(OR(C1134="",D1134=""),"",IFERROR(INDEX('Qida bazası'!$D$2:$D$103,MATCH(C1134,'Qida bazası'!$A$2:$A$103,0))*D1134/100,"?"))</f>
        <v/>
      </c>
      <c r="F1134" s="19">
        <f>IF(OR(C1134="",D1134=""),"",IFERROR(INDEX('Qida bazası'!$E$2:$E$103,MATCH(C1134,'Qida bazası'!$A$2:$A$103,0))*D1134/100,"?"))</f>
        <v/>
      </c>
      <c r="G1134" s="19">
        <f>IF(OR(C1134="",D1134=""),"",IFERROR(INDEX('Qida bazası'!$F$2:$F$103,MATCH(C1134,'Qida bazası'!$A$2:$A$103,0))*D1134/100,"?"))</f>
        <v/>
      </c>
      <c r="H1134" s="19">
        <f>IF(OR(C1134="",D1134=""),"",IFERROR(INDEX('Qida bazası'!$G$2:$G$103,MATCH(C1134,'Qida bazası'!$A$2:$A$103,0))*D1134/100,"?"))</f>
        <v/>
      </c>
    </row>
    <row r="1135">
      <c r="A1135" s="21" t="n"/>
      <c r="E1135" s="18">
        <f>IF(OR(C1135="",D1135=""),"",IFERROR(INDEX('Qida bazası'!$D$2:$D$103,MATCH(C1135,'Qida bazası'!$A$2:$A$103,0))*D1135/100,"?"))</f>
        <v/>
      </c>
      <c r="F1135" s="19">
        <f>IF(OR(C1135="",D1135=""),"",IFERROR(INDEX('Qida bazası'!$E$2:$E$103,MATCH(C1135,'Qida bazası'!$A$2:$A$103,0))*D1135/100,"?"))</f>
        <v/>
      </c>
      <c r="G1135" s="19">
        <f>IF(OR(C1135="",D1135=""),"",IFERROR(INDEX('Qida bazası'!$F$2:$F$103,MATCH(C1135,'Qida bazası'!$A$2:$A$103,0))*D1135/100,"?"))</f>
        <v/>
      </c>
      <c r="H1135" s="19">
        <f>IF(OR(C1135="",D1135=""),"",IFERROR(INDEX('Qida bazası'!$G$2:$G$103,MATCH(C1135,'Qida bazası'!$A$2:$A$103,0))*D1135/100,"?"))</f>
        <v/>
      </c>
    </row>
    <row r="1136">
      <c r="A1136" s="21" t="n"/>
      <c r="E1136" s="18">
        <f>IF(OR(C1136="",D1136=""),"",IFERROR(INDEX('Qida bazası'!$D$2:$D$103,MATCH(C1136,'Qida bazası'!$A$2:$A$103,0))*D1136/100,"?"))</f>
        <v/>
      </c>
      <c r="F1136" s="19">
        <f>IF(OR(C1136="",D1136=""),"",IFERROR(INDEX('Qida bazası'!$E$2:$E$103,MATCH(C1136,'Qida bazası'!$A$2:$A$103,0))*D1136/100,"?"))</f>
        <v/>
      </c>
      <c r="G1136" s="19">
        <f>IF(OR(C1136="",D1136=""),"",IFERROR(INDEX('Qida bazası'!$F$2:$F$103,MATCH(C1136,'Qida bazası'!$A$2:$A$103,0))*D1136/100,"?"))</f>
        <v/>
      </c>
      <c r="H1136" s="19">
        <f>IF(OR(C1136="",D1136=""),"",IFERROR(INDEX('Qida bazası'!$G$2:$G$103,MATCH(C1136,'Qida bazası'!$A$2:$A$103,0))*D1136/100,"?"))</f>
        <v/>
      </c>
    </row>
    <row r="1137">
      <c r="A1137" s="21" t="n"/>
      <c r="E1137" s="18">
        <f>IF(OR(C1137="",D1137=""),"",IFERROR(INDEX('Qida bazası'!$D$2:$D$103,MATCH(C1137,'Qida bazası'!$A$2:$A$103,0))*D1137/100,"?"))</f>
        <v/>
      </c>
      <c r="F1137" s="19">
        <f>IF(OR(C1137="",D1137=""),"",IFERROR(INDEX('Qida bazası'!$E$2:$E$103,MATCH(C1137,'Qida bazası'!$A$2:$A$103,0))*D1137/100,"?"))</f>
        <v/>
      </c>
      <c r="G1137" s="19">
        <f>IF(OR(C1137="",D1137=""),"",IFERROR(INDEX('Qida bazası'!$F$2:$F$103,MATCH(C1137,'Qida bazası'!$A$2:$A$103,0))*D1137/100,"?"))</f>
        <v/>
      </c>
      <c r="H1137" s="19">
        <f>IF(OR(C1137="",D1137=""),"",IFERROR(INDEX('Qida bazası'!$G$2:$G$103,MATCH(C1137,'Qida bazası'!$A$2:$A$103,0))*D1137/100,"?"))</f>
        <v/>
      </c>
    </row>
    <row r="1138">
      <c r="A1138" s="21" t="n"/>
      <c r="E1138" s="18">
        <f>IF(OR(C1138="",D1138=""),"",IFERROR(INDEX('Qida bazası'!$D$2:$D$103,MATCH(C1138,'Qida bazası'!$A$2:$A$103,0))*D1138/100,"?"))</f>
        <v/>
      </c>
      <c r="F1138" s="19">
        <f>IF(OR(C1138="",D1138=""),"",IFERROR(INDEX('Qida bazası'!$E$2:$E$103,MATCH(C1138,'Qida bazası'!$A$2:$A$103,0))*D1138/100,"?"))</f>
        <v/>
      </c>
      <c r="G1138" s="19">
        <f>IF(OR(C1138="",D1138=""),"",IFERROR(INDEX('Qida bazası'!$F$2:$F$103,MATCH(C1138,'Qida bazası'!$A$2:$A$103,0))*D1138/100,"?"))</f>
        <v/>
      </c>
      <c r="H1138" s="19">
        <f>IF(OR(C1138="",D1138=""),"",IFERROR(INDEX('Qida bazası'!$G$2:$G$103,MATCH(C1138,'Qida bazası'!$A$2:$A$103,0))*D1138/100,"?"))</f>
        <v/>
      </c>
    </row>
    <row r="1139">
      <c r="A1139" s="21" t="n"/>
      <c r="E1139" s="18">
        <f>IF(OR(C1139="",D1139=""),"",IFERROR(INDEX('Qida bazası'!$D$2:$D$103,MATCH(C1139,'Qida bazası'!$A$2:$A$103,0))*D1139/100,"?"))</f>
        <v/>
      </c>
      <c r="F1139" s="19">
        <f>IF(OR(C1139="",D1139=""),"",IFERROR(INDEX('Qida bazası'!$E$2:$E$103,MATCH(C1139,'Qida bazası'!$A$2:$A$103,0))*D1139/100,"?"))</f>
        <v/>
      </c>
      <c r="G1139" s="19">
        <f>IF(OR(C1139="",D1139=""),"",IFERROR(INDEX('Qida bazası'!$F$2:$F$103,MATCH(C1139,'Qida bazası'!$A$2:$A$103,0))*D1139/100,"?"))</f>
        <v/>
      </c>
      <c r="H1139" s="19">
        <f>IF(OR(C1139="",D1139=""),"",IFERROR(INDEX('Qida bazası'!$G$2:$G$103,MATCH(C1139,'Qida bazası'!$A$2:$A$103,0))*D1139/100,"?"))</f>
        <v/>
      </c>
    </row>
    <row r="1140">
      <c r="A1140" s="21" t="n"/>
      <c r="E1140" s="18">
        <f>IF(OR(C1140="",D1140=""),"",IFERROR(INDEX('Qida bazası'!$D$2:$D$103,MATCH(C1140,'Qida bazası'!$A$2:$A$103,0))*D1140/100,"?"))</f>
        <v/>
      </c>
      <c r="F1140" s="19">
        <f>IF(OR(C1140="",D1140=""),"",IFERROR(INDEX('Qida bazası'!$E$2:$E$103,MATCH(C1140,'Qida bazası'!$A$2:$A$103,0))*D1140/100,"?"))</f>
        <v/>
      </c>
      <c r="G1140" s="19">
        <f>IF(OR(C1140="",D1140=""),"",IFERROR(INDEX('Qida bazası'!$F$2:$F$103,MATCH(C1140,'Qida bazası'!$A$2:$A$103,0))*D1140/100,"?"))</f>
        <v/>
      </c>
      <c r="H1140" s="19">
        <f>IF(OR(C1140="",D1140=""),"",IFERROR(INDEX('Qida bazası'!$G$2:$G$103,MATCH(C1140,'Qida bazası'!$A$2:$A$103,0))*D1140/100,"?"))</f>
        <v/>
      </c>
    </row>
    <row r="1141">
      <c r="A1141" s="21" t="n"/>
      <c r="E1141" s="18">
        <f>IF(OR(C1141="",D1141=""),"",IFERROR(INDEX('Qida bazası'!$D$2:$D$103,MATCH(C1141,'Qida bazası'!$A$2:$A$103,0))*D1141/100,"?"))</f>
        <v/>
      </c>
      <c r="F1141" s="19">
        <f>IF(OR(C1141="",D1141=""),"",IFERROR(INDEX('Qida bazası'!$E$2:$E$103,MATCH(C1141,'Qida bazası'!$A$2:$A$103,0))*D1141/100,"?"))</f>
        <v/>
      </c>
      <c r="G1141" s="19">
        <f>IF(OR(C1141="",D1141=""),"",IFERROR(INDEX('Qida bazası'!$F$2:$F$103,MATCH(C1141,'Qida bazası'!$A$2:$A$103,0))*D1141/100,"?"))</f>
        <v/>
      </c>
      <c r="H1141" s="19">
        <f>IF(OR(C1141="",D1141=""),"",IFERROR(INDEX('Qida bazası'!$G$2:$G$103,MATCH(C1141,'Qida bazası'!$A$2:$A$103,0))*D1141/100,"?"))</f>
        <v/>
      </c>
    </row>
    <row r="1142">
      <c r="A1142" s="21" t="n"/>
      <c r="E1142" s="18">
        <f>IF(OR(C1142="",D1142=""),"",IFERROR(INDEX('Qida bazası'!$D$2:$D$103,MATCH(C1142,'Qida bazası'!$A$2:$A$103,0))*D1142/100,"?"))</f>
        <v/>
      </c>
      <c r="F1142" s="19">
        <f>IF(OR(C1142="",D1142=""),"",IFERROR(INDEX('Qida bazası'!$E$2:$E$103,MATCH(C1142,'Qida bazası'!$A$2:$A$103,0))*D1142/100,"?"))</f>
        <v/>
      </c>
      <c r="G1142" s="19">
        <f>IF(OR(C1142="",D1142=""),"",IFERROR(INDEX('Qida bazası'!$F$2:$F$103,MATCH(C1142,'Qida bazası'!$A$2:$A$103,0))*D1142/100,"?"))</f>
        <v/>
      </c>
      <c r="H1142" s="19">
        <f>IF(OR(C1142="",D1142=""),"",IFERROR(INDEX('Qida bazası'!$G$2:$G$103,MATCH(C1142,'Qida bazası'!$A$2:$A$103,0))*D1142/100,"?"))</f>
        <v/>
      </c>
    </row>
    <row r="1143">
      <c r="A1143" s="21" t="n"/>
      <c r="E1143" s="18">
        <f>IF(OR(C1143="",D1143=""),"",IFERROR(INDEX('Qida bazası'!$D$2:$D$103,MATCH(C1143,'Qida bazası'!$A$2:$A$103,0))*D1143/100,"?"))</f>
        <v/>
      </c>
      <c r="F1143" s="19">
        <f>IF(OR(C1143="",D1143=""),"",IFERROR(INDEX('Qida bazası'!$E$2:$E$103,MATCH(C1143,'Qida bazası'!$A$2:$A$103,0))*D1143/100,"?"))</f>
        <v/>
      </c>
      <c r="G1143" s="19">
        <f>IF(OR(C1143="",D1143=""),"",IFERROR(INDEX('Qida bazası'!$F$2:$F$103,MATCH(C1143,'Qida bazası'!$A$2:$A$103,0))*D1143/100,"?"))</f>
        <v/>
      </c>
      <c r="H1143" s="19">
        <f>IF(OR(C1143="",D1143=""),"",IFERROR(INDEX('Qida bazası'!$G$2:$G$103,MATCH(C1143,'Qida bazası'!$A$2:$A$103,0))*D1143/100,"?"))</f>
        <v/>
      </c>
    </row>
    <row r="1144">
      <c r="A1144" s="21" t="n"/>
      <c r="E1144" s="18">
        <f>IF(OR(C1144="",D1144=""),"",IFERROR(INDEX('Qida bazası'!$D$2:$D$103,MATCH(C1144,'Qida bazası'!$A$2:$A$103,0))*D1144/100,"?"))</f>
        <v/>
      </c>
      <c r="F1144" s="19">
        <f>IF(OR(C1144="",D1144=""),"",IFERROR(INDEX('Qida bazası'!$E$2:$E$103,MATCH(C1144,'Qida bazası'!$A$2:$A$103,0))*D1144/100,"?"))</f>
        <v/>
      </c>
      <c r="G1144" s="19">
        <f>IF(OR(C1144="",D1144=""),"",IFERROR(INDEX('Qida bazası'!$F$2:$F$103,MATCH(C1144,'Qida bazası'!$A$2:$A$103,0))*D1144/100,"?"))</f>
        <v/>
      </c>
      <c r="H1144" s="19">
        <f>IF(OR(C1144="",D1144=""),"",IFERROR(INDEX('Qida bazası'!$G$2:$G$103,MATCH(C1144,'Qida bazası'!$A$2:$A$103,0))*D1144/100,"?"))</f>
        <v/>
      </c>
    </row>
    <row r="1145">
      <c r="A1145" s="21" t="n"/>
      <c r="E1145" s="18">
        <f>IF(OR(C1145="",D1145=""),"",IFERROR(INDEX('Qida bazası'!$D$2:$D$103,MATCH(C1145,'Qida bazası'!$A$2:$A$103,0))*D1145/100,"?"))</f>
        <v/>
      </c>
      <c r="F1145" s="19">
        <f>IF(OR(C1145="",D1145=""),"",IFERROR(INDEX('Qida bazası'!$E$2:$E$103,MATCH(C1145,'Qida bazası'!$A$2:$A$103,0))*D1145/100,"?"))</f>
        <v/>
      </c>
      <c r="G1145" s="19">
        <f>IF(OR(C1145="",D1145=""),"",IFERROR(INDEX('Qida bazası'!$F$2:$F$103,MATCH(C1145,'Qida bazası'!$A$2:$A$103,0))*D1145/100,"?"))</f>
        <v/>
      </c>
      <c r="H1145" s="19">
        <f>IF(OR(C1145="",D1145=""),"",IFERROR(INDEX('Qida bazası'!$G$2:$G$103,MATCH(C1145,'Qida bazası'!$A$2:$A$103,0))*D1145/100,"?"))</f>
        <v/>
      </c>
    </row>
    <row r="1146">
      <c r="A1146" s="21" t="n"/>
      <c r="E1146" s="18">
        <f>IF(OR(C1146="",D1146=""),"",IFERROR(INDEX('Qida bazası'!$D$2:$D$103,MATCH(C1146,'Qida bazası'!$A$2:$A$103,0))*D1146/100,"?"))</f>
        <v/>
      </c>
      <c r="F1146" s="19">
        <f>IF(OR(C1146="",D1146=""),"",IFERROR(INDEX('Qida bazası'!$E$2:$E$103,MATCH(C1146,'Qida bazası'!$A$2:$A$103,0))*D1146/100,"?"))</f>
        <v/>
      </c>
      <c r="G1146" s="19">
        <f>IF(OR(C1146="",D1146=""),"",IFERROR(INDEX('Qida bazası'!$F$2:$F$103,MATCH(C1146,'Qida bazası'!$A$2:$A$103,0))*D1146/100,"?"))</f>
        <v/>
      </c>
      <c r="H1146" s="19">
        <f>IF(OR(C1146="",D1146=""),"",IFERROR(INDEX('Qida bazası'!$G$2:$G$103,MATCH(C1146,'Qida bazası'!$A$2:$A$103,0))*D1146/100,"?"))</f>
        <v/>
      </c>
    </row>
    <row r="1147">
      <c r="A1147" s="21" t="n"/>
      <c r="E1147" s="18">
        <f>IF(OR(C1147="",D1147=""),"",IFERROR(INDEX('Qida bazası'!$D$2:$D$103,MATCH(C1147,'Qida bazası'!$A$2:$A$103,0))*D1147/100,"?"))</f>
        <v/>
      </c>
      <c r="F1147" s="19">
        <f>IF(OR(C1147="",D1147=""),"",IFERROR(INDEX('Qida bazası'!$E$2:$E$103,MATCH(C1147,'Qida bazası'!$A$2:$A$103,0))*D1147/100,"?"))</f>
        <v/>
      </c>
      <c r="G1147" s="19">
        <f>IF(OR(C1147="",D1147=""),"",IFERROR(INDEX('Qida bazası'!$F$2:$F$103,MATCH(C1147,'Qida bazası'!$A$2:$A$103,0))*D1147/100,"?"))</f>
        <v/>
      </c>
      <c r="H1147" s="19">
        <f>IF(OR(C1147="",D1147=""),"",IFERROR(INDEX('Qida bazası'!$G$2:$G$103,MATCH(C1147,'Qida bazası'!$A$2:$A$103,0))*D1147/100,"?"))</f>
        <v/>
      </c>
    </row>
    <row r="1148">
      <c r="A1148" s="21" t="n"/>
      <c r="E1148" s="18">
        <f>IF(OR(C1148="",D1148=""),"",IFERROR(INDEX('Qida bazası'!$D$2:$D$103,MATCH(C1148,'Qida bazası'!$A$2:$A$103,0))*D1148/100,"?"))</f>
        <v/>
      </c>
      <c r="F1148" s="19">
        <f>IF(OR(C1148="",D1148=""),"",IFERROR(INDEX('Qida bazası'!$E$2:$E$103,MATCH(C1148,'Qida bazası'!$A$2:$A$103,0))*D1148/100,"?"))</f>
        <v/>
      </c>
      <c r="G1148" s="19">
        <f>IF(OR(C1148="",D1148=""),"",IFERROR(INDEX('Qida bazası'!$F$2:$F$103,MATCH(C1148,'Qida bazası'!$A$2:$A$103,0))*D1148/100,"?"))</f>
        <v/>
      </c>
      <c r="H1148" s="19">
        <f>IF(OR(C1148="",D1148=""),"",IFERROR(INDEX('Qida bazası'!$G$2:$G$103,MATCH(C1148,'Qida bazası'!$A$2:$A$103,0))*D1148/100,"?"))</f>
        <v/>
      </c>
    </row>
    <row r="1149">
      <c r="A1149" s="21" t="n"/>
      <c r="E1149" s="18">
        <f>IF(OR(C1149="",D1149=""),"",IFERROR(INDEX('Qida bazası'!$D$2:$D$103,MATCH(C1149,'Qida bazası'!$A$2:$A$103,0))*D1149/100,"?"))</f>
        <v/>
      </c>
      <c r="F1149" s="19">
        <f>IF(OR(C1149="",D1149=""),"",IFERROR(INDEX('Qida bazası'!$E$2:$E$103,MATCH(C1149,'Qida bazası'!$A$2:$A$103,0))*D1149/100,"?"))</f>
        <v/>
      </c>
      <c r="G1149" s="19">
        <f>IF(OR(C1149="",D1149=""),"",IFERROR(INDEX('Qida bazası'!$F$2:$F$103,MATCH(C1149,'Qida bazası'!$A$2:$A$103,0))*D1149/100,"?"))</f>
        <v/>
      </c>
      <c r="H1149" s="19">
        <f>IF(OR(C1149="",D1149=""),"",IFERROR(INDEX('Qida bazası'!$G$2:$G$103,MATCH(C1149,'Qida bazası'!$A$2:$A$103,0))*D1149/100,"?"))</f>
        <v/>
      </c>
    </row>
    <row r="1150">
      <c r="A1150" s="21" t="n"/>
      <c r="E1150" s="18">
        <f>IF(OR(C1150="",D1150=""),"",IFERROR(INDEX('Qida bazası'!$D$2:$D$103,MATCH(C1150,'Qida bazası'!$A$2:$A$103,0))*D1150/100,"?"))</f>
        <v/>
      </c>
      <c r="F1150" s="19">
        <f>IF(OR(C1150="",D1150=""),"",IFERROR(INDEX('Qida bazası'!$E$2:$E$103,MATCH(C1150,'Qida bazası'!$A$2:$A$103,0))*D1150/100,"?"))</f>
        <v/>
      </c>
      <c r="G1150" s="19">
        <f>IF(OR(C1150="",D1150=""),"",IFERROR(INDEX('Qida bazası'!$F$2:$F$103,MATCH(C1150,'Qida bazası'!$A$2:$A$103,0))*D1150/100,"?"))</f>
        <v/>
      </c>
      <c r="H1150" s="19">
        <f>IF(OR(C1150="",D1150=""),"",IFERROR(INDEX('Qida bazası'!$G$2:$G$103,MATCH(C1150,'Qida bazası'!$A$2:$A$103,0))*D1150/100,"?"))</f>
        <v/>
      </c>
    </row>
    <row r="1151">
      <c r="A1151" s="21" t="n"/>
      <c r="E1151" s="18">
        <f>IF(OR(C1151="",D1151=""),"",IFERROR(INDEX('Qida bazası'!$D$2:$D$103,MATCH(C1151,'Qida bazası'!$A$2:$A$103,0))*D1151/100,"?"))</f>
        <v/>
      </c>
      <c r="F1151" s="19">
        <f>IF(OR(C1151="",D1151=""),"",IFERROR(INDEX('Qida bazası'!$E$2:$E$103,MATCH(C1151,'Qida bazası'!$A$2:$A$103,0))*D1151/100,"?"))</f>
        <v/>
      </c>
      <c r="G1151" s="19">
        <f>IF(OR(C1151="",D1151=""),"",IFERROR(INDEX('Qida bazası'!$F$2:$F$103,MATCH(C1151,'Qida bazası'!$A$2:$A$103,0))*D1151/100,"?"))</f>
        <v/>
      </c>
      <c r="H1151" s="19">
        <f>IF(OR(C1151="",D1151=""),"",IFERROR(INDEX('Qida bazası'!$G$2:$G$103,MATCH(C1151,'Qida bazası'!$A$2:$A$103,0))*D1151/100,"?"))</f>
        <v/>
      </c>
    </row>
    <row r="1152">
      <c r="A1152" s="21" t="n"/>
      <c r="E1152" s="18">
        <f>IF(OR(C1152="",D1152=""),"",IFERROR(INDEX('Qida bazası'!$D$2:$D$103,MATCH(C1152,'Qida bazası'!$A$2:$A$103,0))*D1152/100,"?"))</f>
        <v/>
      </c>
      <c r="F1152" s="19">
        <f>IF(OR(C1152="",D1152=""),"",IFERROR(INDEX('Qida bazası'!$E$2:$E$103,MATCH(C1152,'Qida bazası'!$A$2:$A$103,0))*D1152/100,"?"))</f>
        <v/>
      </c>
      <c r="G1152" s="19">
        <f>IF(OR(C1152="",D1152=""),"",IFERROR(INDEX('Qida bazası'!$F$2:$F$103,MATCH(C1152,'Qida bazası'!$A$2:$A$103,0))*D1152/100,"?"))</f>
        <v/>
      </c>
      <c r="H1152" s="19">
        <f>IF(OR(C1152="",D1152=""),"",IFERROR(INDEX('Qida bazası'!$G$2:$G$103,MATCH(C1152,'Qida bazası'!$A$2:$A$103,0))*D1152/100,"?"))</f>
        <v/>
      </c>
    </row>
    <row r="1153">
      <c r="A1153" s="21" t="n"/>
      <c r="E1153" s="18">
        <f>IF(OR(C1153="",D1153=""),"",IFERROR(INDEX('Qida bazası'!$D$2:$D$103,MATCH(C1153,'Qida bazası'!$A$2:$A$103,0))*D1153/100,"?"))</f>
        <v/>
      </c>
      <c r="F1153" s="19">
        <f>IF(OR(C1153="",D1153=""),"",IFERROR(INDEX('Qida bazası'!$E$2:$E$103,MATCH(C1153,'Qida bazası'!$A$2:$A$103,0))*D1153/100,"?"))</f>
        <v/>
      </c>
      <c r="G1153" s="19">
        <f>IF(OR(C1153="",D1153=""),"",IFERROR(INDEX('Qida bazası'!$F$2:$F$103,MATCH(C1153,'Qida bazası'!$A$2:$A$103,0))*D1153/100,"?"))</f>
        <v/>
      </c>
      <c r="H1153" s="19">
        <f>IF(OR(C1153="",D1153=""),"",IFERROR(INDEX('Qida bazası'!$G$2:$G$103,MATCH(C1153,'Qida bazası'!$A$2:$A$103,0))*D1153/100,"?"))</f>
        <v/>
      </c>
    </row>
    <row r="1154">
      <c r="A1154" s="21" t="n"/>
      <c r="E1154" s="18">
        <f>IF(OR(C1154="",D1154=""),"",IFERROR(INDEX('Qida bazası'!$D$2:$D$103,MATCH(C1154,'Qida bazası'!$A$2:$A$103,0))*D1154/100,"?"))</f>
        <v/>
      </c>
      <c r="F1154" s="19">
        <f>IF(OR(C1154="",D1154=""),"",IFERROR(INDEX('Qida bazası'!$E$2:$E$103,MATCH(C1154,'Qida bazası'!$A$2:$A$103,0))*D1154/100,"?"))</f>
        <v/>
      </c>
      <c r="G1154" s="19">
        <f>IF(OR(C1154="",D1154=""),"",IFERROR(INDEX('Qida bazası'!$F$2:$F$103,MATCH(C1154,'Qida bazası'!$A$2:$A$103,0))*D1154/100,"?"))</f>
        <v/>
      </c>
      <c r="H1154" s="19">
        <f>IF(OR(C1154="",D1154=""),"",IFERROR(INDEX('Qida bazası'!$G$2:$G$103,MATCH(C1154,'Qida bazası'!$A$2:$A$103,0))*D1154/100,"?"))</f>
        <v/>
      </c>
    </row>
    <row r="1155">
      <c r="A1155" s="21" t="n"/>
      <c r="E1155" s="18">
        <f>IF(OR(C1155="",D1155=""),"",IFERROR(INDEX('Qida bazası'!$D$2:$D$103,MATCH(C1155,'Qida bazası'!$A$2:$A$103,0))*D1155/100,"?"))</f>
        <v/>
      </c>
      <c r="F1155" s="19">
        <f>IF(OR(C1155="",D1155=""),"",IFERROR(INDEX('Qida bazası'!$E$2:$E$103,MATCH(C1155,'Qida bazası'!$A$2:$A$103,0))*D1155/100,"?"))</f>
        <v/>
      </c>
      <c r="G1155" s="19">
        <f>IF(OR(C1155="",D1155=""),"",IFERROR(INDEX('Qida bazası'!$F$2:$F$103,MATCH(C1155,'Qida bazası'!$A$2:$A$103,0))*D1155/100,"?"))</f>
        <v/>
      </c>
      <c r="H1155" s="19">
        <f>IF(OR(C1155="",D1155=""),"",IFERROR(INDEX('Qida bazası'!$G$2:$G$103,MATCH(C1155,'Qida bazası'!$A$2:$A$103,0))*D1155/100,"?"))</f>
        <v/>
      </c>
    </row>
    <row r="1156">
      <c r="A1156" s="21" t="n"/>
      <c r="E1156" s="18">
        <f>IF(OR(C1156="",D1156=""),"",IFERROR(INDEX('Qida bazası'!$D$2:$D$103,MATCH(C1156,'Qida bazası'!$A$2:$A$103,0))*D1156/100,"?"))</f>
        <v/>
      </c>
      <c r="F1156" s="19">
        <f>IF(OR(C1156="",D1156=""),"",IFERROR(INDEX('Qida bazası'!$E$2:$E$103,MATCH(C1156,'Qida bazası'!$A$2:$A$103,0))*D1156/100,"?"))</f>
        <v/>
      </c>
      <c r="G1156" s="19">
        <f>IF(OR(C1156="",D1156=""),"",IFERROR(INDEX('Qida bazası'!$F$2:$F$103,MATCH(C1156,'Qida bazası'!$A$2:$A$103,0))*D1156/100,"?"))</f>
        <v/>
      </c>
      <c r="H1156" s="19">
        <f>IF(OR(C1156="",D1156=""),"",IFERROR(INDEX('Qida bazası'!$G$2:$G$103,MATCH(C1156,'Qida bazası'!$A$2:$A$103,0))*D1156/100,"?"))</f>
        <v/>
      </c>
    </row>
    <row r="1157">
      <c r="A1157" s="21" t="n"/>
      <c r="E1157" s="18">
        <f>IF(OR(C1157="",D1157=""),"",IFERROR(INDEX('Qida bazası'!$D$2:$D$103,MATCH(C1157,'Qida bazası'!$A$2:$A$103,0))*D1157/100,"?"))</f>
        <v/>
      </c>
      <c r="F1157" s="19">
        <f>IF(OR(C1157="",D1157=""),"",IFERROR(INDEX('Qida bazası'!$E$2:$E$103,MATCH(C1157,'Qida bazası'!$A$2:$A$103,0))*D1157/100,"?"))</f>
        <v/>
      </c>
      <c r="G1157" s="19">
        <f>IF(OR(C1157="",D1157=""),"",IFERROR(INDEX('Qida bazası'!$F$2:$F$103,MATCH(C1157,'Qida bazası'!$A$2:$A$103,0))*D1157/100,"?"))</f>
        <v/>
      </c>
      <c r="H1157" s="19">
        <f>IF(OR(C1157="",D1157=""),"",IFERROR(INDEX('Qida bazası'!$G$2:$G$103,MATCH(C1157,'Qida bazası'!$A$2:$A$103,0))*D1157/100,"?"))</f>
        <v/>
      </c>
    </row>
    <row r="1158">
      <c r="A1158" s="21" t="n"/>
      <c r="E1158" s="18">
        <f>IF(OR(C1158="",D1158=""),"",IFERROR(INDEX('Qida bazası'!$D$2:$D$103,MATCH(C1158,'Qida bazası'!$A$2:$A$103,0))*D1158/100,"?"))</f>
        <v/>
      </c>
      <c r="F1158" s="19">
        <f>IF(OR(C1158="",D1158=""),"",IFERROR(INDEX('Qida bazası'!$E$2:$E$103,MATCH(C1158,'Qida bazası'!$A$2:$A$103,0))*D1158/100,"?"))</f>
        <v/>
      </c>
      <c r="G1158" s="19">
        <f>IF(OR(C1158="",D1158=""),"",IFERROR(INDEX('Qida bazası'!$F$2:$F$103,MATCH(C1158,'Qida bazası'!$A$2:$A$103,0))*D1158/100,"?"))</f>
        <v/>
      </c>
      <c r="H1158" s="19">
        <f>IF(OR(C1158="",D1158=""),"",IFERROR(INDEX('Qida bazası'!$G$2:$G$103,MATCH(C1158,'Qida bazası'!$A$2:$A$103,0))*D1158/100,"?"))</f>
        <v/>
      </c>
    </row>
    <row r="1159">
      <c r="A1159" s="21" t="n"/>
      <c r="E1159" s="18">
        <f>IF(OR(C1159="",D1159=""),"",IFERROR(INDEX('Qida bazası'!$D$2:$D$103,MATCH(C1159,'Qida bazası'!$A$2:$A$103,0))*D1159/100,"?"))</f>
        <v/>
      </c>
      <c r="F1159" s="19">
        <f>IF(OR(C1159="",D1159=""),"",IFERROR(INDEX('Qida bazası'!$E$2:$E$103,MATCH(C1159,'Qida bazası'!$A$2:$A$103,0))*D1159/100,"?"))</f>
        <v/>
      </c>
      <c r="G1159" s="19">
        <f>IF(OR(C1159="",D1159=""),"",IFERROR(INDEX('Qida bazası'!$F$2:$F$103,MATCH(C1159,'Qida bazası'!$A$2:$A$103,0))*D1159/100,"?"))</f>
        <v/>
      </c>
      <c r="H1159" s="19">
        <f>IF(OR(C1159="",D1159=""),"",IFERROR(INDEX('Qida bazası'!$G$2:$G$103,MATCH(C1159,'Qida bazası'!$A$2:$A$103,0))*D1159/100,"?"))</f>
        <v/>
      </c>
    </row>
    <row r="1160">
      <c r="A1160" s="21" t="n"/>
      <c r="E1160" s="18">
        <f>IF(OR(C1160="",D1160=""),"",IFERROR(INDEX('Qida bazası'!$D$2:$D$103,MATCH(C1160,'Qida bazası'!$A$2:$A$103,0))*D1160/100,"?"))</f>
        <v/>
      </c>
      <c r="F1160" s="19">
        <f>IF(OR(C1160="",D1160=""),"",IFERROR(INDEX('Qida bazası'!$E$2:$E$103,MATCH(C1160,'Qida bazası'!$A$2:$A$103,0))*D1160/100,"?"))</f>
        <v/>
      </c>
      <c r="G1160" s="19">
        <f>IF(OR(C1160="",D1160=""),"",IFERROR(INDEX('Qida bazası'!$F$2:$F$103,MATCH(C1160,'Qida bazası'!$A$2:$A$103,0))*D1160/100,"?"))</f>
        <v/>
      </c>
      <c r="H1160" s="19">
        <f>IF(OR(C1160="",D1160=""),"",IFERROR(INDEX('Qida bazası'!$G$2:$G$103,MATCH(C1160,'Qida bazası'!$A$2:$A$103,0))*D1160/100,"?"))</f>
        <v/>
      </c>
    </row>
    <row r="1161">
      <c r="A1161" s="21" t="n"/>
      <c r="E1161" s="18">
        <f>IF(OR(C1161="",D1161=""),"",IFERROR(INDEX('Qida bazası'!$D$2:$D$103,MATCH(C1161,'Qida bazası'!$A$2:$A$103,0))*D1161/100,"?"))</f>
        <v/>
      </c>
      <c r="F1161" s="19">
        <f>IF(OR(C1161="",D1161=""),"",IFERROR(INDEX('Qida bazası'!$E$2:$E$103,MATCH(C1161,'Qida bazası'!$A$2:$A$103,0))*D1161/100,"?"))</f>
        <v/>
      </c>
      <c r="G1161" s="19">
        <f>IF(OR(C1161="",D1161=""),"",IFERROR(INDEX('Qida bazası'!$F$2:$F$103,MATCH(C1161,'Qida bazası'!$A$2:$A$103,0))*D1161/100,"?"))</f>
        <v/>
      </c>
      <c r="H1161" s="19">
        <f>IF(OR(C1161="",D1161=""),"",IFERROR(INDEX('Qida bazası'!$G$2:$G$103,MATCH(C1161,'Qida bazası'!$A$2:$A$103,0))*D1161/100,"?"))</f>
        <v/>
      </c>
    </row>
    <row r="1162">
      <c r="A1162" s="21" t="n"/>
      <c r="E1162" s="18">
        <f>IF(OR(C1162="",D1162=""),"",IFERROR(INDEX('Qida bazası'!$D$2:$D$103,MATCH(C1162,'Qida bazası'!$A$2:$A$103,0))*D1162/100,"?"))</f>
        <v/>
      </c>
      <c r="F1162" s="19">
        <f>IF(OR(C1162="",D1162=""),"",IFERROR(INDEX('Qida bazası'!$E$2:$E$103,MATCH(C1162,'Qida bazası'!$A$2:$A$103,0))*D1162/100,"?"))</f>
        <v/>
      </c>
      <c r="G1162" s="19">
        <f>IF(OR(C1162="",D1162=""),"",IFERROR(INDEX('Qida bazası'!$F$2:$F$103,MATCH(C1162,'Qida bazası'!$A$2:$A$103,0))*D1162/100,"?"))</f>
        <v/>
      </c>
      <c r="H1162" s="19">
        <f>IF(OR(C1162="",D1162=""),"",IFERROR(INDEX('Qida bazası'!$G$2:$G$103,MATCH(C1162,'Qida bazası'!$A$2:$A$103,0))*D1162/100,"?"))</f>
        <v/>
      </c>
    </row>
    <row r="1163">
      <c r="A1163" s="21" t="n"/>
      <c r="E1163" s="18">
        <f>IF(OR(C1163="",D1163=""),"",IFERROR(INDEX('Qida bazası'!$D$2:$D$103,MATCH(C1163,'Qida bazası'!$A$2:$A$103,0))*D1163/100,"?"))</f>
        <v/>
      </c>
      <c r="F1163" s="19">
        <f>IF(OR(C1163="",D1163=""),"",IFERROR(INDEX('Qida bazası'!$E$2:$E$103,MATCH(C1163,'Qida bazası'!$A$2:$A$103,0))*D1163/100,"?"))</f>
        <v/>
      </c>
      <c r="G1163" s="19">
        <f>IF(OR(C1163="",D1163=""),"",IFERROR(INDEX('Qida bazası'!$F$2:$F$103,MATCH(C1163,'Qida bazası'!$A$2:$A$103,0))*D1163/100,"?"))</f>
        <v/>
      </c>
      <c r="H1163" s="19">
        <f>IF(OR(C1163="",D1163=""),"",IFERROR(INDEX('Qida bazası'!$G$2:$G$103,MATCH(C1163,'Qida bazası'!$A$2:$A$103,0))*D1163/100,"?"))</f>
        <v/>
      </c>
    </row>
    <row r="1164">
      <c r="A1164" s="21" t="n"/>
      <c r="E1164" s="18">
        <f>IF(OR(C1164="",D1164=""),"",IFERROR(INDEX('Qida bazası'!$D$2:$D$103,MATCH(C1164,'Qida bazası'!$A$2:$A$103,0))*D1164/100,"?"))</f>
        <v/>
      </c>
      <c r="F1164" s="19">
        <f>IF(OR(C1164="",D1164=""),"",IFERROR(INDEX('Qida bazası'!$E$2:$E$103,MATCH(C1164,'Qida bazası'!$A$2:$A$103,0))*D1164/100,"?"))</f>
        <v/>
      </c>
      <c r="G1164" s="19">
        <f>IF(OR(C1164="",D1164=""),"",IFERROR(INDEX('Qida bazası'!$F$2:$F$103,MATCH(C1164,'Qida bazası'!$A$2:$A$103,0))*D1164/100,"?"))</f>
        <v/>
      </c>
      <c r="H1164" s="19">
        <f>IF(OR(C1164="",D1164=""),"",IFERROR(INDEX('Qida bazası'!$G$2:$G$103,MATCH(C1164,'Qida bazası'!$A$2:$A$103,0))*D1164/100,"?"))</f>
        <v/>
      </c>
    </row>
    <row r="1165">
      <c r="A1165" s="21" t="n"/>
      <c r="E1165" s="18">
        <f>IF(OR(C1165="",D1165=""),"",IFERROR(INDEX('Qida bazası'!$D$2:$D$103,MATCH(C1165,'Qida bazası'!$A$2:$A$103,0))*D1165/100,"?"))</f>
        <v/>
      </c>
      <c r="F1165" s="19">
        <f>IF(OR(C1165="",D1165=""),"",IFERROR(INDEX('Qida bazası'!$E$2:$E$103,MATCH(C1165,'Qida bazası'!$A$2:$A$103,0))*D1165/100,"?"))</f>
        <v/>
      </c>
      <c r="G1165" s="19">
        <f>IF(OR(C1165="",D1165=""),"",IFERROR(INDEX('Qida bazası'!$F$2:$F$103,MATCH(C1165,'Qida bazası'!$A$2:$A$103,0))*D1165/100,"?"))</f>
        <v/>
      </c>
      <c r="H1165" s="19">
        <f>IF(OR(C1165="",D1165=""),"",IFERROR(INDEX('Qida bazası'!$G$2:$G$103,MATCH(C1165,'Qida bazası'!$A$2:$A$103,0))*D1165/100,"?"))</f>
        <v/>
      </c>
    </row>
    <row r="1166">
      <c r="A1166" s="21" t="n"/>
      <c r="E1166" s="18">
        <f>IF(OR(C1166="",D1166=""),"",IFERROR(INDEX('Qida bazası'!$D$2:$D$103,MATCH(C1166,'Qida bazası'!$A$2:$A$103,0))*D1166/100,"?"))</f>
        <v/>
      </c>
      <c r="F1166" s="19">
        <f>IF(OR(C1166="",D1166=""),"",IFERROR(INDEX('Qida bazası'!$E$2:$E$103,MATCH(C1166,'Qida bazası'!$A$2:$A$103,0))*D1166/100,"?"))</f>
        <v/>
      </c>
      <c r="G1166" s="19">
        <f>IF(OR(C1166="",D1166=""),"",IFERROR(INDEX('Qida bazası'!$F$2:$F$103,MATCH(C1166,'Qida bazası'!$A$2:$A$103,0))*D1166/100,"?"))</f>
        <v/>
      </c>
      <c r="H1166" s="19">
        <f>IF(OR(C1166="",D1166=""),"",IFERROR(INDEX('Qida bazası'!$G$2:$G$103,MATCH(C1166,'Qida bazası'!$A$2:$A$103,0))*D1166/100,"?"))</f>
        <v/>
      </c>
    </row>
    <row r="1167">
      <c r="A1167" s="21" t="n"/>
      <c r="E1167" s="18">
        <f>IF(OR(C1167="",D1167=""),"",IFERROR(INDEX('Qida bazası'!$D$2:$D$103,MATCH(C1167,'Qida bazası'!$A$2:$A$103,0))*D1167/100,"?"))</f>
        <v/>
      </c>
      <c r="F1167" s="19">
        <f>IF(OR(C1167="",D1167=""),"",IFERROR(INDEX('Qida bazası'!$E$2:$E$103,MATCH(C1167,'Qida bazası'!$A$2:$A$103,0))*D1167/100,"?"))</f>
        <v/>
      </c>
      <c r="G1167" s="19">
        <f>IF(OR(C1167="",D1167=""),"",IFERROR(INDEX('Qida bazası'!$F$2:$F$103,MATCH(C1167,'Qida bazası'!$A$2:$A$103,0))*D1167/100,"?"))</f>
        <v/>
      </c>
      <c r="H1167" s="19">
        <f>IF(OR(C1167="",D1167=""),"",IFERROR(INDEX('Qida bazası'!$G$2:$G$103,MATCH(C1167,'Qida bazası'!$A$2:$A$103,0))*D1167/100,"?"))</f>
        <v/>
      </c>
    </row>
    <row r="1168">
      <c r="A1168" s="21" t="n"/>
      <c r="E1168" s="18">
        <f>IF(OR(C1168="",D1168=""),"",IFERROR(INDEX('Qida bazası'!$D$2:$D$103,MATCH(C1168,'Qida bazası'!$A$2:$A$103,0))*D1168/100,"?"))</f>
        <v/>
      </c>
      <c r="F1168" s="19">
        <f>IF(OR(C1168="",D1168=""),"",IFERROR(INDEX('Qida bazası'!$E$2:$E$103,MATCH(C1168,'Qida bazası'!$A$2:$A$103,0))*D1168/100,"?"))</f>
        <v/>
      </c>
      <c r="G1168" s="19">
        <f>IF(OR(C1168="",D1168=""),"",IFERROR(INDEX('Qida bazası'!$F$2:$F$103,MATCH(C1168,'Qida bazası'!$A$2:$A$103,0))*D1168/100,"?"))</f>
        <v/>
      </c>
      <c r="H1168" s="19">
        <f>IF(OR(C1168="",D1168=""),"",IFERROR(INDEX('Qida bazası'!$G$2:$G$103,MATCH(C1168,'Qida bazası'!$A$2:$A$103,0))*D1168/100,"?"))</f>
        <v/>
      </c>
    </row>
    <row r="1169">
      <c r="A1169" s="21" t="n"/>
      <c r="E1169" s="18">
        <f>IF(OR(C1169="",D1169=""),"",IFERROR(INDEX('Qida bazası'!$D$2:$D$103,MATCH(C1169,'Qida bazası'!$A$2:$A$103,0))*D1169/100,"?"))</f>
        <v/>
      </c>
      <c r="F1169" s="19">
        <f>IF(OR(C1169="",D1169=""),"",IFERROR(INDEX('Qida bazası'!$E$2:$E$103,MATCH(C1169,'Qida bazası'!$A$2:$A$103,0))*D1169/100,"?"))</f>
        <v/>
      </c>
      <c r="G1169" s="19">
        <f>IF(OR(C1169="",D1169=""),"",IFERROR(INDEX('Qida bazası'!$F$2:$F$103,MATCH(C1169,'Qida bazası'!$A$2:$A$103,0))*D1169/100,"?"))</f>
        <v/>
      </c>
      <c r="H1169" s="19">
        <f>IF(OR(C1169="",D1169=""),"",IFERROR(INDEX('Qida bazası'!$G$2:$G$103,MATCH(C1169,'Qida bazası'!$A$2:$A$103,0))*D1169/100,"?"))</f>
        <v/>
      </c>
    </row>
    <row r="1170">
      <c r="A1170" s="21" t="n"/>
      <c r="E1170" s="18">
        <f>IF(OR(C1170="",D1170=""),"",IFERROR(INDEX('Qida bazası'!$D$2:$D$103,MATCH(C1170,'Qida bazası'!$A$2:$A$103,0))*D1170/100,"?"))</f>
        <v/>
      </c>
      <c r="F1170" s="19">
        <f>IF(OR(C1170="",D1170=""),"",IFERROR(INDEX('Qida bazası'!$E$2:$E$103,MATCH(C1170,'Qida bazası'!$A$2:$A$103,0))*D1170/100,"?"))</f>
        <v/>
      </c>
      <c r="G1170" s="19">
        <f>IF(OR(C1170="",D1170=""),"",IFERROR(INDEX('Qida bazası'!$F$2:$F$103,MATCH(C1170,'Qida bazası'!$A$2:$A$103,0))*D1170/100,"?"))</f>
        <v/>
      </c>
      <c r="H1170" s="19">
        <f>IF(OR(C1170="",D1170=""),"",IFERROR(INDEX('Qida bazası'!$G$2:$G$103,MATCH(C1170,'Qida bazası'!$A$2:$A$103,0))*D1170/100,"?"))</f>
        <v/>
      </c>
    </row>
    <row r="1171">
      <c r="A1171" s="21" t="n"/>
      <c r="E1171" s="18">
        <f>IF(OR(C1171="",D1171=""),"",IFERROR(INDEX('Qida bazası'!$D$2:$D$103,MATCH(C1171,'Qida bazası'!$A$2:$A$103,0))*D1171/100,"?"))</f>
        <v/>
      </c>
      <c r="F1171" s="19">
        <f>IF(OR(C1171="",D1171=""),"",IFERROR(INDEX('Qida bazası'!$E$2:$E$103,MATCH(C1171,'Qida bazası'!$A$2:$A$103,0))*D1171/100,"?"))</f>
        <v/>
      </c>
      <c r="G1171" s="19">
        <f>IF(OR(C1171="",D1171=""),"",IFERROR(INDEX('Qida bazası'!$F$2:$F$103,MATCH(C1171,'Qida bazası'!$A$2:$A$103,0))*D1171/100,"?"))</f>
        <v/>
      </c>
      <c r="H1171" s="19">
        <f>IF(OR(C1171="",D1171=""),"",IFERROR(INDEX('Qida bazası'!$G$2:$G$103,MATCH(C1171,'Qida bazası'!$A$2:$A$103,0))*D1171/100,"?"))</f>
        <v/>
      </c>
    </row>
    <row r="1172">
      <c r="A1172" s="21" t="n"/>
      <c r="E1172" s="18">
        <f>IF(OR(C1172="",D1172=""),"",IFERROR(INDEX('Qida bazası'!$D$2:$D$103,MATCH(C1172,'Qida bazası'!$A$2:$A$103,0))*D1172/100,"?"))</f>
        <v/>
      </c>
      <c r="F1172" s="19">
        <f>IF(OR(C1172="",D1172=""),"",IFERROR(INDEX('Qida bazası'!$E$2:$E$103,MATCH(C1172,'Qida bazası'!$A$2:$A$103,0))*D1172/100,"?"))</f>
        <v/>
      </c>
      <c r="G1172" s="19">
        <f>IF(OR(C1172="",D1172=""),"",IFERROR(INDEX('Qida bazası'!$F$2:$F$103,MATCH(C1172,'Qida bazası'!$A$2:$A$103,0))*D1172/100,"?"))</f>
        <v/>
      </c>
      <c r="H1172" s="19">
        <f>IF(OR(C1172="",D1172=""),"",IFERROR(INDEX('Qida bazası'!$G$2:$G$103,MATCH(C1172,'Qida bazası'!$A$2:$A$103,0))*D1172/100,"?"))</f>
        <v/>
      </c>
    </row>
    <row r="1173">
      <c r="A1173" s="21" t="n"/>
      <c r="E1173" s="18">
        <f>IF(OR(C1173="",D1173=""),"",IFERROR(INDEX('Qida bazası'!$D$2:$D$103,MATCH(C1173,'Qida bazası'!$A$2:$A$103,0))*D1173/100,"?"))</f>
        <v/>
      </c>
      <c r="F1173" s="19">
        <f>IF(OR(C1173="",D1173=""),"",IFERROR(INDEX('Qida bazası'!$E$2:$E$103,MATCH(C1173,'Qida bazası'!$A$2:$A$103,0))*D1173/100,"?"))</f>
        <v/>
      </c>
      <c r="G1173" s="19">
        <f>IF(OR(C1173="",D1173=""),"",IFERROR(INDEX('Qida bazası'!$F$2:$F$103,MATCH(C1173,'Qida bazası'!$A$2:$A$103,0))*D1173/100,"?"))</f>
        <v/>
      </c>
      <c r="H1173" s="19">
        <f>IF(OR(C1173="",D1173=""),"",IFERROR(INDEX('Qida bazası'!$G$2:$G$103,MATCH(C1173,'Qida bazası'!$A$2:$A$103,0))*D1173/100,"?"))</f>
        <v/>
      </c>
    </row>
    <row r="1174">
      <c r="A1174" s="21" t="n"/>
      <c r="E1174" s="18">
        <f>IF(OR(C1174="",D1174=""),"",IFERROR(INDEX('Qida bazası'!$D$2:$D$103,MATCH(C1174,'Qida bazası'!$A$2:$A$103,0))*D1174/100,"?"))</f>
        <v/>
      </c>
      <c r="F1174" s="19">
        <f>IF(OR(C1174="",D1174=""),"",IFERROR(INDEX('Qida bazası'!$E$2:$E$103,MATCH(C1174,'Qida bazası'!$A$2:$A$103,0))*D1174/100,"?"))</f>
        <v/>
      </c>
      <c r="G1174" s="19">
        <f>IF(OR(C1174="",D1174=""),"",IFERROR(INDEX('Qida bazası'!$F$2:$F$103,MATCH(C1174,'Qida bazası'!$A$2:$A$103,0))*D1174/100,"?"))</f>
        <v/>
      </c>
      <c r="H1174" s="19">
        <f>IF(OR(C1174="",D1174=""),"",IFERROR(INDEX('Qida bazası'!$G$2:$G$103,MATCH(C1174,'Qida bazası'!$A$2:$A$103,0))*D1174/100,"?"))</f>
        <v/>
      </c>
    </row>
    <row r="1175">
      <c r="A1175" s="21" t="n"/>
      <c r="E1175" s="18">
        <f>IF(OR(C1175="",D1175=""),"",IFERROR(INDEX('Qida bazası'!$D$2:$D$103,MATCH(C1175,'Qida bazası'!$A$2:$A$103,0))*D1175/100,"?"))</f>
        <v/>
      </c>
      <c r="F1175" s="19">
        <f>IF(OR(C1175="",D1175=""),"",IFERROR(INDEX('Qida bazası'!$E$2:$E$103,MATCH(C1175,'Qida bazası'!$A$2:$A$103,0))*D1175/100,"?"))</f>
        <v/>
      </c>
      <c r="G1175" s="19">
        <f>IF(OR(C1175="",D1175=""),"",IFERROR(INDEX('Qida bazası'!$F$2:$F$103,MATCH(C1175,'Qida bazası'!$A$2:$A$103,0))*D1175/100,"?"))</f>
        <v/>
      </c>
      <c r="H1175" s="19">
        <f>IF(OR(C1175="",D1175=""),"",IFERROR(INDEX('Qida bazası'!$G$2:$G$103,MATCH(C1175,'Qida bazası'!$A$2:$A$103,0))*D1175/100,"?"))</f>
        <v/>
      </c>
    </row>
    <row r="1176">
      <c r="A1176" s="21" t="n"/>
      <c r="E1176" s="18">
        <f>IF(OR(C1176="",D1176=""),"",IFERROR(INDEX('Qida bazası'!$D$2:$D$103,MATCH(C1176,'Qida bazası'!$A$2:$A$103,0))*D1176/100,"?"))</f>
        <v/>
      </c>
      <c r="F1176" s="19">
        <f>IF(OR(C1176="",D1176=""),"",IFERROR(INDEX('Qida bazası'!$E$2:$E$103,MATCH(C1176,'Qida bazası'!$A$2:$A$103,0))*D1176/100,"?"))</f>
        <v/>
      </c>
      <c r="G1176" s="19">
        <f>IF(OR(C1176="",D1176=""),"",IFERROR(INDEX('Qida bazası'!$F$2:$F$103,MATCH(C1176,'Qida bazası'!$A$2:$A$103,0))*D1176/100,"?"))</f>
        <v/>
      </c>
      <c r="H1176" s="19">
        <f>IF(OR(C1176="",D1176=""),"",IFERROR(INDEX('Qida bazası'!$G$2:$G$103,MATCH(C1176,'Qida bazası'!$A$2:$A$103,0))*D1176/100,"?"))</f>
        <v/>
      </c>
    </row>
    <row r="1177">
      <c r="A1177" s="21" t="n"/>
      <c r="E1177" s="18">
        <f>IF(OR(C1177="",D1177=""),"",IFERROR(INDEX('Qida bazası'!$D$2:$D$103,MATCH(C1177,'Qida bazası'!$A$2:$A$103,0))*D1177/100,"?"))</f>
        <v/>
      </c>
      <c r="F1177" s="19">
        <f>IF(OR(C1177="",D1177=""),"",IFERROR(INDEX('Qida bazası'!$E$2:$E$103,MATCH(C1177,'Qida bazası'!$A$2:$A$103,0))*D1177/100,"?"))</f>
        <v/>
      </c>
      <c r="G1177" s="19">
        <f>IF(OR(C1177="",D1177=""),"",IFERROR(INDEX('Qida bazası'!$F$2:$F$103,MATCH(C1177,'Qida bazası'!$A$2:$A$103,0))*D1177/100,"?"))</f>
        <v/>
      </c>
      <c r="H1177" s="19">
        <f>IF(OR(C1177="",D1177=""),"",IFERROR(INDEX('Qida bazası'!$G$2:$G$103,MATCH(C1177,'Qida bazası'!$A$2:$A$103,0))*D1177/100,"?"))</f>
        <v/>
      </c>
    </row>
    <row r="1178">
      <c r="A1178" s="21" t="n"/>
      <c r="E1178" s="18">
        <f>IF(OR(C1178="",D1178=""),"",IFERROR(INDEX('Qida bazası'!$D$2:$D$103,MATCH(C1178,'Qida bazası'!$A$2:$A$103,0))*D1178/100,"?"))</f>
        <v/>
      </c>
      <c r="F1178" s="19">
        <f>IF(OR(C1178="",D1178=""),"",IFERROR(INDEX('Qida bazası'!$E$2:$E$103,MATCH(C1178,'Qida bazası'!$A$2:$A$103,0))*D1178/100,"?"))</f>
        <v/>
      </c>
      <c r="G1178" s="19">
        <f>IF(OR(C1178="",D1178=""),"",IFERROR(INDEX('Qida bazası'!$F$2:$F$103,MATCH(C1178,'Qida bazası'!$A$2:$A$103,0))*D1178/100,"?"))</f>
        <v/>
      </c>
      <c r="H1178" s="19">
        <f>IF(OR(C1178="",D1178=""),"",IFERROR(INDEX('Qida bazası'!$G$2:$G$103,MATCH(C1178,'Qida bazası'!$A$2:$A$103,0))*D1178/100,"?"))</f>
        <v/>
      </c>
    </row>
    <row r="1179">
      <c r="A1179" s="21" t="n"/>
      <c r="E1179" s="18">
        <f>IF(OR(C1179="",D1179=""),"",IFERROR(INDEX('Qida bazası'!$D$2:$D$103,MATCH(C1179,'Qida bazası'!$A$2:$A$103,0))*D1179/100,"?"))</f>
        <v/>
      </c>
      <c r="F1179" s="19">
        <f>IF(OR(C1179="",D1179=""),"",IFERROR(INDEX('Qida bazası'!$E$2:$E$103,MATCH(C1179,'Qida bazası'!$A$2:$A$103,0))*D1179/100,"?"))</f>
        <v/>
      </c>
      <c r="G1179" s="19">
        <f>IF(OR(C1179="",D1179=""),"",IFERROR(INDEX('Qida bazası'!$F$2:$F$103,MATCH(C1179,'Qida bazası'!$A$2:$A$103,0))*D1179/100,"?"))</f>
        <v/>
      </c>
      <c r="H1179" s="19">
        <f>IF(OR(C1179="",D1179=""),"",IFERROR(INDEX('Qida bazası'!$G$2:$G$103,MATCH(C1179,'Qida bazası'!$A$2:$A$103,0))*D1179/100,"?"))</f>
        <v/>
      </c>
    </row>
    <row r="1180">
      <c r="A1180" s="21" t="n"/>
      <c r="E1180" s="18">
        <f>IF(OR(C1180="",D1180=""),"",IFERROR(INDEX('Qida bazası'!$D$2:$D$103,MATCH(C1180,'Qida bazası'!$A$2:$A$103,0))*D1180/100,"?"))</f>
        <v/>
      </c>
      <c r="F1180" s="19">
        <f>IF(OR(C1180="",D1180=""),"",IFERROR(INDEX('Qida bazası'!$E$2:$E$103,MATCH(C1180,'Qida bazası'!$A$2:$A$103,0))*D1180/100,"?"))</f>
        <v/>
      </c>
      <c r="G1180" s="19">
        <f>IF(OR(C1180="",D1180=""),"",IFERROR(INDEX('Qida bazası'!$F$2:$F$103,MATCH(C1180,'Qida bazası'!$A$2:$A$103,0))*D1180/100,"?"))</f>
        <v/>
      </c>
      <c r="H1180" s="19">
        <f>IF(OR(C1180="",D1180=""),"",IFERROR(INDEX('Qida bazası'!$G$2:$G$103,MATCH(C1180,'Qida bazası'!$A$2:$A$103,0))*D1180/100,"?"))</f>
        <v/>
      </c>
    </row>
    <row r="1181">
      <c r="A1181" s="21" t="n"/>
      <c r="E1181" s="18">
        <f>IF(OR(C1181="",D1181=""),"",IFERROR(INDEX('Qida bazası'!$D$2:$D$103,MATCH(C1181,'Qida bazası'!$A$2:$A$103,0))*D1181/100,"?"))</f>
        <v/>
      </c>
      <c r="F1181" s="19">
        <f>IF(OR(C1181="",D1181=""),"",IFERROR(INDEX('Qida bazası'!$E$2:$E$103,MATCH(C1181,'Qida bazası'!$A$2:$A$103,0))*D1181/100,"?"))</f>
        <v/>
      </c>
      <c r="G1181" s="19">
        <f>IF(OR(C1181="",D1181=""),"",IFERROR(INDEX('Qida bazası'!$F$2:$F$103,MATCH(C1181,'Qida bazası'!$A$2:$A$103,0))*D1181/100,"?"))</f>
        <v/>
      </c>
      <c r="H1181" s="19">
        <f>IF(OR(C1181="",D1181=""),"",IFERROR(INDEX('Qida bazası'!$G$2:$G$103,MATCH(C1181,'Qida bazası'!$A$2:$A$103,0))*D1181/100,"?"))</f>
        <v/>
      </c>
    </row>
    <row r="1182">
      <c r="A1182" s="21" t="n"/>
      <c r="E1182" s="18">
        <f>IF(OR(C1182="",D1182=""),"",IFERROR(INDEX('Qida bazası'!$D$2:$D$103,MATCH(C1182,'Qida bazası'!$A$2:$A$103,0))*D1182/100,"?"))</f>
        <v/>
      </c>
      <c r="F1182" s="19">
        <f>IF(OR(C1182="",D1182=""),"",IFERROR(INDEX('Qida bazası'!$E$2:$E$103,MATCH(C1182,'Qida bazası'!$A$2:$A$103,0))*D1182/100,"?"))</f>
        <v/>
      </c>
      <c r="G1182" s="19">
        <f>IF(OR(C1182="",D1182=""),"",IFERROR(INDEX('Qida bazası'!$F$2:$F$103,MATCH(C1182,'Qida bazası'!$A$2:$A$103,0))*D1182/100,"?"))</f>
        <v/>
      </c>
      <c r="H1182" s="19">
        <f>IF(OR(C1182="",D1182=""),"",IFERROR(INDEX('Qida bazası'!$G$2:$G$103,MATCH(C1182,'Qida bazası'!$A$2:$A$103,0))*D1182/100,"?"))</f>
        <v/>
      </c>
    </row>
    <row r="1183">
      <c r="A1183" s="21" t="n"/>
      <c r="E1183" s="18">
        <f>IF(OR(C1183="",D1183=""),"",IFERROR(INDEX('Qida bazası'!$D$2:$D$103,MATCH(C1183,'Qida bazası'!$A$2:$A$103,0))*D1183/100,"?"))</f>
        <v/>
      </c>
      <c r="F1183" s="19">
        <f>IF(OR(C1183="",D1183=""),"",IFERROR(INDEX('Qida bazası'!$E$2:$E$103,MATCH(C1183,'Qida bazası'!$A$2:$A$103,0))*D1183/100,"?"))</f>
        <v/>
      </c>
      <c r="G1183" s="19">
        <f>IF(OR(C1183="",D1183=""),"",IFERROR(INDEX('Qida bazası'!$F$2:$F$103,MATCH(C1183,'Qida bazası'!$A$2:$A$103,0))*D1183/100,"?"))</f>
        <v/>
      </c>
      <c r="H1183" s="19">
        <f>IF(OR(C1183="",D1183=""),"",IFERROR(INDEX('Qida bazası'!$G$2:$G$103,MATCH(C1183,'Qida bazası'!$A$2:$A$103,0))*D1183/100,"?"))</f>
        <v/>
      </c>
    </row>
    <row r="1184">
      <c r="A1184" s="21" t="n"/>
      <c r="E1184" s="18">
        <f>IF(OR(C1184="",D1184=""),"",IFERROR(INDEX('Qida bazası'!$D$2:$D$103,MATCH(C1184,'Qida bazası'!$A$2:$A$103,0))*D1184/100,"?"))</f>
        <v/>
      </c>
      <c r="F1184" s="19">
        <f>IF(OR(C1184="",D1184=""),"",IFERROR(INDEX('Qida bazası'!$E$2:$E$103,MATCH(C1184,'Qida bazası'!$A$2:$A$103,0))*D1184/100,"?"))</f>
        <v/>
      </c>
      <c r="G1184" s="19">
        <f>IF(OR(C1184="",D1184=""),"",IFERROR(INDEX('Qida bazası'!$F$2:$F$103,MATCH(C1184,'Qida bazası'!$A$2:$A$103,0))*D1184/100,"?"))</f>
        <v/>
      </c>
      <c r="H1184" s="19">
        <f>IF(OR(C1184="",D1184=""),"",IFERROR(INDEX('Qida bazası'!$G$2:$G$103,MATCH(C1184,'Qida bazası'!$A$2:$A$103,0))*D1184/100,"?"))</f>
        <v/>
      </c>
    </row>
    <row r="1185">
      <c r="A1185" s="21" t="n"/>
      <c r="E1185" s="18">
        <f>IF(OR(C1185="",D1185=""),"",IFERROR(INDEX('Qida bazası'!$D$2:$D$103,MATCH(C1185,'Qida bazası'!$A$2:$A$103,0))*D1185/100,"?"))</f>
        <v/>
      </c>
      <c r="F1185" s="19">
        <f>IF(OR(C1185="",D1185=""),"",IFERROR(INDEX('Qida bazası'!$E$2:$E$103,MATCH(C1185,'Qida bazası'!$A$2:$A$103,0))*D1185/100,"?"))</f>
        <v/>
      </c>
      <c r="G1185" s="19">
        <f>IF(OR(C1185="",D1185=""),"",IFERROR(INDEX('Qida bazası'!$F$2:$F$103,MATCH(C1185,'Qida bazası'!$A$2:$A$103,0))*D1185/100,"?"))</f>
        <v/>
      </c>
      <c r="H1185" s="19">
        <f>IF(OR(C1185="",D1185=""),"",IFERROR(INDEX('Qida bazası'!$G$2:$G$103,MATCH(C1185,'Qida bazası'!$A$2:$A$103,0))*D1185/100,"?"))</f>
        <v/>
      </c>
    </row>
    <row r="1186">
      <c r="A1186" s="21" t="n"/>
      <c r="E1186" s="18">
        <f>IF(OR(C1186="",D1186=""),"",IFERROR(INDEX('Qida bazası'!$D$2:$D$103,MATCH(C1186,'Qida bazası'!$A$2:$A$103,0))*D1186/100,"?"))</f>
        <v/>
      </c>
      <c r="F1186" s="19">
        <f>IF(OR(C1186="",D1186=""),"",IFERROR(INDEX('Qida bazası'!$E$2:$E$103,MATCH(C1186,'Qida bazası'!$A$2:$A$103,0))*D1186/100,"?"))</f>
        <v/>
      </c>
      <c r="G1186" s="19">
        <f>IF(OR(C1186="",D1186=""),"",IFERROR(INDEX('Qida bazası'!$F$2:$F$103,MATCH(C1186,'Qida bazası'!$A$2:$A$103,0))*D1186/100,"?"))</f>
        <v/>
      </c>
      <c r="H1186" s="19">
        <f>IF(OR(C1186="",D1186=""),"",IFERROR(INDEX('Qida bazası'!$G$2:$G$103,MATCH(C1186,'Qida bazası'!$A$2:$A$103,0))*D1186/100,"?"))</f>
        <v/>
      </c>
    </row>
    <row r="1187">
      <c r="A1187" s="21" t="n"/>
      <c r="E1187" s="18">
        <f>IF(OR(C1187="",D1187=""),"",IFERROR(INDEX('Qida bazası'!$D$2:$D$103,MATCH(C1187,'Qida bazası'!$A$2:$A$103,0))*D1187/100,"?"))</f>
        <v/>
      </c>
      <c r="F1187" s="19">
        <f>IF(OR(C1187="",D1187=""),"",IFERROR(INDEX('Qida bazası'!$E$2:$E$103,MATCH(C1187,'Qida bazası'!$A$2:$A$103,0))*D1187/100,"?"))</f>
        <v/>
      </c>
      <c r="G1187" s="19">
        <f>IF(OR(C1187="",D1187=""),"",IFERROR(INDEX('Qida bazası'!$F$2:$F$103,MATCH(C1187,'Qida bazası'!$A$2:$A$103,0))*D1187/100,"?"))</f>
        <v/>
      </c>
      <c r="H1187" s="19">
        <f>IF(OR(C1187="",D1187=""),"",IFERROR(INDEX('Qida bazası'!$G$2:$G$103,MATCH(C1187,'Qida bazası'!$A$2:$A$103,0))*D1187/100,"?"))</f>
        <v/>
      </c>
    </row>
    <row r="1188">
      <c r="A1188" s="21" t="n"/>
      <c r="E1188" s="18">
        <f>IF(OR(C1188="",D1188=""),"",IFERROR(INDEX('Qida bazası'!$D$2:$D$103,MATCH(C1188,'Qida bazası'!$A$2:$A$103,0))*D1188/100,"?"))</f>
        <v/>
      </c>
      <c r="F1188" s="19">
        <f>IF(OR(C1188="",D1188=""),"",IFERROR(INDEX('Qida bazası'!$E$2:$E$103,MATCH(C1188,'Qida bazası'!$A$2:$A$103,0))*D1188/100,"?"))</f>
        <v/>
      </c>
      <c r="G1188" s="19">
        <f>IF(OR(C1188="",D1188=""),"",IFERROR(INDEX('Qida bazası'!$F$2:$F$103,MATCH(C1188,'Qida bazası'!$A$2:$A$103,0))*D1188/100,"?"))</f>
        <v/>
      </c>
      <c r="H1188" s="19">
        <f>IF(OR(C1188="",D1188=""),"",IFERROR(INDEX('Qida bazası'!$G$2:$G$103,MATCH(C1188,'Qida bazası'!$A$2:$A$103,0))*D1188/100,"?"))</f>
        <v/>
      </c>
    </row>
    <row r="1189">
      <c r="A1189" s="21" t="n"/>
      <c r="E1189" s="18">
        <f>IF(OR(C1189="",D1189=""),"",IFERROR(INDEX('Qida bazası'!$D$2:$D$103,MATCH(C1189,'Qida bazası'!$A$2:$A$103,0))*D1189/100,"?"))</f>
        <v/>
      </c>
      <c r="F1189" s="19">
        <f>IF(OR(C1189="",D1189=""),"",IFERROR(INDEX('Qida bazası'!$E$2:$E$103,MATCH(C1189,'Qida bazası'!$A$2:$A$103,0))*D1189/100,"?"))</f>
        <v/>
      </c>
      <c r="G1189" s="19">
        <f>IF(OR(C1189="",D1189=""),"",IFERROR(INDEX('Qida bazası'!$F$2:$F$103,MATCH(C1189,'Qida bazası'!$A$2:$A$103,0))*D1189/100,"?"))</f>
        <v/>
      </c>
      <c r="H1189" s="19">
        <f>IF(OR(C1189="",D1189=""),"",IFERROR(INDEX('Qida bazası'!$G$2:$G$103,MATCH(C1189,'Qida bazası'!$A$2:$A$103,0))*D1189/100,"?"))</f>
        <v/>
      </c>
    </row>
    <row r="1190">
      <c r="A1190" s="21" t="n"/>
      <c r="E1190" s="18">
        <f>IF(OR(C1190="",D1190=""),"",IFERROR(INDEX('Qida bazası'!$D$2:$D$103,MATCH(C1190,'Qida bazası'!$A$2:$A$103,0))*D1190/100,"?"))</f>
        <v/>
      </c>
      <c r="F1190" s="19">
        <f>IF(OR(C1190="",D1190=""),"",IFERROR(INDEX('Qida bazası'!$E$2:$E$103,MATCH(C1190,'Qida bazası'!$A$2:$A$103,0))*D1190/100,"?"))</f>
        <v/>
      </c>
      <c r="G1190" s="19">
        <f>IF(OR(C1190="",D1190=""),"",IFERROR(INDEX('Qida bazası'!$F$2:$F$103,MATCH(C1190,'Qida bazası'!$A$2:$A$103,0))*D1190/100,"?"))</f>
        <v/>
      </c>
      <c r="H1190" s="19">
        <f>IF(OR(C1190="",D1190=""),"",IFERROR(INDEX('Qida bazası'!$G$2:$G$103,MATCH(C1190,'Qida bazası'!$A$2:$A$103,0))*D1190/100,"?"))</f>
        <v/>
      </c>
    </row>
    <row r="1191">
      <c r="A1191" s="21" t="n"/>
      <c r="E1191" s="18">
        <f>IF(OR(C1191="",D1191=""),"",IFERROR(INDEX('Qida bazası'!$D$2:$D$103,MATCH(C1191,'Qida bazası'!$A$2:$A$103,0))*D1191/100,"?"))</f>
        <v/>
      </c>
      <c r="F1191" s="19">
        <f>IF(OR(C1191="",D1191=""),"",IFERROR(INDEX('Qida bazası'!$E$2:$E$103,MATCH(C1191,'Qida bazası'!$A$2:$A$103,0))*D1191/100,"?"))</f>
        <v/>
      </c>
      <c r="G1191" s="19">
        <f>IF(OR(C1191="",D1191=""),"",IFERROR(INDEX('Qida bazası'!$F$2:$F$103,MATCH(C1191,'Qida bazası'!$A$2:$A$103,0))*D1191/100,"?"))</f>
        <v/>
      </c>
      <c r="H1191" s="19">
        <f>IF(OR(C1191="",D1191=""),"",IFERROR(INDEX('Qida bazası'!$G$2:$G$103,MATCH(C1191,'Qida bazası'!$A$2:$A$103,0))*D1191/100,"?"))</f>
        <v/>
      </c>
    </row>
    <row r="1192">
      <c r="A1192" s="21" t="n"/>
      <c r="E1192" s="18">
        <f>IF(OR(C1192="",D1192=""),"",IFERROR(INDEX('Qida bazası'!$D$2:$D$103,MATCH(C1192,'Qida bazası'!$A$2:$A$103,0))*D1192/100,"?"))</f>
        <v/>
      </c>
      <c r="F1192" s="19">
        <f>IF(OR(C1192="",D1192=""),"",IFERROR(INDEX('Qida bazası'!$E$2:$E$103,MATCH(C1192,'Qida bazası'!$A$2:$A$103,0))*D1192/100,"?"))</f>
        <v/>
      </c>
      <c r="G1192" s="19">
        <f>IF(OR(C1192="",D1192=""),"",IFERROR(INDEX('Qida bazası'!$F$2:$F$103,MATCH(C1192,'Qida bazası'!$A$2:$A$103,0))*D1192/100,"?"))</f>
        <v/>
      </c>
      <c r="H1192" s="19">
        <f>IF(OR(C1192="",D1192=""),"",IFERROR(INDEX('Qida bazası'!$G$2:$G$103,MATCH(C1192,'Qida bazası'!$A$2:$A$103,0))*D1192/100,"?"))</f>
        <v/>
      </c>
    </row>
    <row r="1193">
      <c r="A1193" s="21" t="n"/>
      <c r="E1193" s="18">
        <f>IF(OR(C1193="",D1193=""),"",IFERROR(INDEX('Qida bazası'!$D$2:$D$103,MATCH(C1193,'Qida bazası'!$A$2:$A$103,0))*D1193/100,"?"))</f>
        <v/>
      </c>
      <c r="F1193" s="19">
        <f>IF(OR(C1193="",D1193=""),"",IFERROR(INDEX('Qida bazası'!$E$2:$E$103,MATCH(C1193,'Qida bazası'!$A$2:$A$103,0))*D1193/100,"?"))</f>
        <v/>
      </c>
      <c r="G1193" s="19">
        <f>IF(OR(C1193="",D1193=""),"",IFERROR(INDEX('Qida bazası'!$F$2:$F$103,MATCH(C1193,'Qida bazası'!$A$2:$A$103,0))*D1193/100,"?"))</f>
        <v/>
      </c>
      <c r="H1193" s="19">
        <f>IF(OR(C1193="",D1193=""),"",IFERROR(INDEX('Qida bazası'!$G$2:$G$103,MATCH(C1193,'Qida bazası'!$A$2:$A$103,0))*D1193/100,"?"))</f>
        <v/>
      </c>
    </row>
    <row r="1194">
      <c r="A1194" s="21" t="n"/>
      <c r="E1194" s="18">
        <f>IF(OR(C1194="",D1194=""),"",IFERROR(INDEX('Qida bazası'!$D$2:$D$103,MATCH(C1194,'Qida bazası'!$A$2:$A$103,0))*D1194/100,"?"))</f>
        <v/>
      </c>
      <c r="F1194" s="19">
        <f>IF(OR(C1194="",D1194=""),"",IFERROR(INDEX('Qida bazası'!$E$2:$E$103,MATCH(C1194,'Qida bazası'!$A$2:$A$103,0))*D1194/100,"?"))</f>
        <v/>
      </c>
      <c r="G1194" s="19">
        <f>IF(OR(C1194="",D1194=""),"",IFERROR(INDEX('Qida bazası'!$F$2:$F$103,MATCH(C1194,'Qida bazası'!$A$2:$A$103,0))*D1194/100,"?"))</f>
        <v/>
      </c>
      <c r="H1194" s="19">
        <f>IF(OR(C1194="",D1194=""),"",IFERROR(INDEX('Qida bazası'!$G$2:$G$103,MATCH(C1194,'Qida bazası'!$A$2:$A$103,0))*D1194/100,"?"))</f>
        <v/>
      </c>
    </row>
    <row r="1195">
      <c r="A1195" s="21" t="n"/>
      <c r="E1195" s="18">
        <f>IF(OR(C1195="",D1195=""),"",IFERROR(INDEX('Qida bazası'!$D$2:$D$103,MATCH(C1195,'Qida bazası'!$A$2:$A$103,0))*D1195/100,"?"))</f>
        <v/>
      </c>
      <c r="F1195" s="19">
        <f>IF(OR(C1195="",D1195=""),"",IFERROR(INDEX('Qida bazası'!$E$2:$E$103,MATCH(C1195,'Qida bazası'!$A$2:$A$103,0))*D1195/100,"?"))</f>
        <v/>
      </c>
      <c r="G1195" s="19">
        <f>IF(OR(C1195="",D1195=""),"",IFERROR(INDEX('Qida bazası'!$F$2:$F$103,MATCH(C1195,'Qida bazası'!$A$2:$A$103,0))*D1195/100,"?"))</f>
        <v/>
      </c>
      <c r="H1195" s="19">
        <f>IF(OR(C1195="",D1195=""),"",IFERROR(INDEX('Qida bazası'!$G$2:$G$103,MATCH(C1195,'Qida bazası'!$A$2:$A$103,0))*D1195/100,"?"))</f>
        <v/>
      </c>
    </row>
    <row r="1196">
      <c r="A1196" s="21" t="n"/>
      <c r="E1196" s="18">
        <f>IF(OR(C1196="",D1196=""),"",IFERROR(INDEX('Qida bazası'!$D$2:$D$103,MATCH(C1196,'Qida bazası'!$A$2:$A$103,0))*D1196/100,"?"))</f>
        <v/>
      </c>
      <c r="F1196" s="19">
        <f>IF(OR(C1196="",D1196=""),"",IFERROR(INDEX('Qida bazası'!$E$2:$E$103,MATCH(C1196,'Qida bazası'!$A$2:$A$103,0))*D1196/100,"?"))</f>
        <v/>
      </c>
      <c r="G1196" s="19">
        <f>IF(OR(C1196="",D1196=""),"",IFERROR(INDEX('Qida bazası'!$F$2:$F$103,MATCH(C1196,'Qida bazası'!$A$2:$A$103,0))*D1196/100,"?"))</f>
        <v/>
      </c>
      <c r="H1196" s="19">
        <f>IF(OR(C1196="",D1196=""),"",IFERROR(INDEX('Qida bazası'!$G$2:$G$103,MATCH(C1196,'Qida bazası'!$A$2:$A$103,0))*D1196/100,"?"))</f>
        <v/>
      </c>
    </row>
    <row r="1197">
      <c r="A1197" s="21" t="n"/>
      <c r="E1197" s="18">
        <f>IF(OR(C1197="",D1197=""),"",IFERROR(INDEX('Qida bazası'!$D$2:$D$103,MATCH(C1197,'Qida bazası'!$A$2:$A$103,0))*D1197/100,"?"))</f>
        <v/>
      </c>
      <c r="F1197" s="19">
        <f>IF(OR(C1197="",D1197=""),"",IFERROR(INDEX('Qida bazası'!$E$2:$E$103,MATCH(C1197,'Qida bazası'!$A$2:$A$103,0))*D1197/100,"?"))</f>
        <v/>
      </c>
      <c r="G1197" s="19">
        <f>IF(OR(C1197="",D1197=""),"",IFERROR(INDEX('Qida bazası'!$F$2:$F$103,MATCH(C1197,'Qida bazası'!$A$2:$A$103,0))*D1197/100,"?"))</f>
        <v/>
      </c>
      <c r="H1197" s="19">
        <f>IF(OR(C1197="",D1197=""),"",IFERROR(INDEX('Qida bazası'!$G$2:$G$103,MATCH(C1197,'Qida bazası'!$A$2:$A$103,0))*D1197/100,"?"))</f>
        <v/>
      </c>
    </row>
    <row r="1198">
      <c r="A1198" s="21" t="n"/>
      <c r="E1198" s="18">
        <f>IF(OR(C1198="",D1198=""),"",IFERROR(INDEX('Qida bazası'!$D$2:$D$103,MATCH(C1198,'Qida bazası'!$A$2:$A$103,0))*D1198/100,"?"))</f>
        <v/>
      </c>
      <c r="F1198" s="19">
        <f>IF(OR(C1198="",D1198=""),"",IFERROR(INDEX('Qida bazası'!$E$2:$E$103,MATCH(C1198,'Qida bazası'!$A$2:$A$103,0))*D1198/100,"?"))</f>
        <v/>
      </c>
      <c r="G1198" s="19">
        <f>IF(OR(C1198="",D1198=""),"",IFERROR(INDEX('Qida bazası'!$F$2:$F$103,MATCH(C1198,'Qida bazası'!$A$2:$A$103,0))*D1198/100,"?"))</f>
        <v/>
      </c>
      <c r="H1198" s="19">
        <f>IF(OR(C1198="",D1198=""),"",IFERROR(INDEX('Qida bazası'!$G$2:$G$103,MATCH(C1198,'Qida bazası'!$A$2:$A$103,0))*D1198/100,"?"))</f>
        <v/>
      </c>
    </row>
    <row r="1199">
      <c r="A1199" s="21" t="n"/>
      <c r="E1199" s="18">
        <f>IF(OR(C1199="",D1199=""),"",IFERROR(INDEX('Qida bazası'!$D$2:$D$103,MATCH(C1199,'Qida bazası'!$A$2:$A$103,0))*D1199/100,"?"))</f>
        <v/>
      </c>
      <c r="F1199" s="19">
        <f>IF(OR(C1199="",D1199=""),"",IFERROR(INDEX('Qida bazası'!$E$2:$E$103,MATCH(C1199,'Qida bazası'!$A$2:$A$103,0))*D1199/100,"?"))</f>
        <v/>
      </c>
      <c r="G1199" s="19">
        <f>IF(OR(C1199="",D1199=""),"",IFERROR(INDEX('Qida bazası'!$F$2:$F$103,MATCH(C1199,'Qida bazası'!$A$2:$A$103,0))*D1199/100,"?"))</f>
        <v/>
      </c>
      <c r="H1199" s="19">
        <f>IF(OR(C1199="",D1199=""),"",IFERROR(INDEX('Qida bazası'!$G$2:$G$103,MATCH(C1199,'Qida bazası'!$A$2:$A$103,0))*D1199/100,"?"))</f>
        <v/>
      </c>
    </row>
    <row r="1200">
      <c r="A1200" s="21" t="n"/>
      <c r="E1200" s="18">
        <f>IF(OR(C1200="",D1200=""),"",IFERROR(INDEX('Qida bazası'!$D$2:$D$103,MATCH(C1200,'Qida bazası'!$A$2:$A$103,0))*D1200/100,"?"))</f>
        <v/>
      </c>
      <c r="F1200" s="19">
        <f>IF(OR(C1200="",D1200=""),"",IFERROR(INDEX('Qida bazası'!$E$2:$E$103,MATCH(C1200,'Qida bazası'!$A$2:$A$103,0))*D1200/100,"?"))</f>
        <v/>
      </c>
      <c r="G1200" s="19">
        <f>IF(OR(C1200="",D1200=""),"",IFERROR(INDEX('Qida bazası'!$F$2:$F$103,MATCH(C1200,'Qida bazası'!$A$2:$A$103,0))*D1200/100,"?"))</f>
        <v/>
      </c>
      <c r="H1200" s="19">
        <f>IF(OR(C1200="",D1200=""),"",IFERROR(INDEX('Qida bazası'!$G$2:$G$103,MATCH(C1200,'Qida bazası'!$A$2:$A$103,0))*D1200/100,"?"))</f>
        <v/>
      </c>
    </row>
    <row r="1201">
      <c r="A1201" s="21" t="n"/>
      <c r="E1201" s="18">
        <f>IF(OR(C1201="",D1201=""),"",IFERROR(INDEX('Qida bazası'!$D$2:$D$103,MATCH(C1201,'Qida bazası'!$A$2:$A$103,0))*D1201/100,"?"))</f>
        <v/>
      </c>
      <c r="F1201" s="19">
        <f>IF(OR(C1201="",D1201=""),"",IFERROR(INDEX('Qida bazası'!$E$2:$E$103,MATCH(C1201,'Qida bazası'!$A$2:$A$103,0))*D1201/100,"?"))</f>
        <v/>
      </c>
      <c r="G1201" s="19">
        <f>IF(OR(C1201="",D1201=""),"",IFERROR(INDEX('Qida bazası'!$F$2:$F$103,MATCH(C1201,'Qida bazası'!$A$2:$A$103,0))*D1201/100,"?"))</f>
        <v/>
      </c>
      <c r="H1201" s="19">
        <f>IF(OR(C1201="",D1201=""),"",IFERROR(INDEX('Qida bazası'!$G$2:$G$103,MATCH(C1201,'Qida bazası'!$A$2:$A$103,0))*D1201/100,"?"))</f>
        <v/>
      </c>
    </row>
    <row r="1202">
      <c r="A1202" s="21" t="n"/>
      <c r="E1202" s="18">
        <f>IF(OR(C1202="",D1202=""),"",IFERROR(INDEX('Qida bazası'!$D$2:$D$103,MATCH(C1202,'Qida bazası'!$A$2:$A$103,0))*D1202/100,"?"))</f>
        <v/>
      </c>
      <c r="F1202" s="19">
        <f>IF(OR(C1202="",D1202=""),"",IFERROR(INDEX('Qida bazası'!$E$2:$E$103,MATCH(C1202,'Qida bazası'!$A$2:$A$103,0))*D1202/100,"?"))</f>
        <v/>
      </c>
      <c r="G1202" s="19">
        <f>IF(OR(C1202="",D1202=""),"",IFERROR(INDEX('Qida bazası'!$F$2:$F$103,MATCH(C1202,'Qida bazası'!$A$2:$A$103,0))*D1202/100,"?"))</f>
        <v/>
      </c>
      <c r="H1202" s="19">
        <f>IF(OR(C1202="",D1202=""),"",IFERROR(INDEX('Qida bazası'!$G$2:$G$103,MATCH(C1202,'Qida bazası'!$A$2:$A$103,0))*D1202/100,"?"))</f>
        <v/>
      </c>
    </row>
    <row r="1203">
      <c r="A1203" s="21" t="n"/>
      <c r="E1203" s="18">
        <f>IF(OR(C1203="",D1203=""),"",IFERROR(INDEX('Qida bazası'!$D$2:$D$103,MATCH(C1203,'Qida bazası'!$A$2:$A$103,0))*D1203/100,"?"))</f>
        <v/>
      </c>
      <c r="F1203" s="19">
        <f>IF(OR(C1203="",D1203=""),"",IFERROR(INDEX('Qida bazası'!$E$2:$E$103,MATCH(C1203,'Qida bazası'!$A$2:$A$103,0))*D1203/100,"?"))</f>
        <v/>
      </c>
      <c r="G1203" s="19">
        <f>IF(OR(C1203="",D1203=""),"",IFERROR(INDEX('Qida bazası'!$F$2:$F$103,MATCH(C1203,'Qida bazası'!$A$2:$A$103,0))*D1203/100,"?"))</f>
        <v/>
      </c>
      <c r="H1203" s="19">
        <f>IF(OR(C1203="",D1203=""),"",IFERROR(INDEX('Qida bazası'!$G$2:$G$103,MATCH(C1203,'Qida bazası'!$A$2:$A$103,0))*D1203/100,"?"))</f>
        <v/>
      </c>
    </row>
    <row r="1204">
      <c r="A1204" s="21" t="n"/>
      <c r="E1204" s="18">
        <f>IF(OR(C1204="",D1204=""),"",IFERROR(INDEX('Qida bazası'!$D$2:$D$103,MATCH(C1204,'Qida bazası'!$A$2:$A$103,0))*D1204/100,"?"))</f>
        <v/>
      </c>
      <c r="F1204" s="19">
        <f>IF(OR(C1204="",D1204=""),"",IFERROR(INDEX('Qida bazası'!$E$2:$E$103,MATCH(C1204,'Qida bazası'!$A$2:$A$103,0))*D1204/100,"?"))</f>
        <v/>
      </c>
      <c r="G1204" s="19">
        <f>IF(OR(C1204="",D1204=""),"",IFERROR(INDEX('Qida bazası'!$F$2:$F$103,MATCH(C1204,'Qida bazası'!$A$2:$A$103,0))*D1204/100,"?"))</f>
        <v/>
      </c>
      <c r="H1204" s="19">
        <f>IF(OR(C1204="",D1204=""),"",IFERROR(INDEX('Qida bazası'!$G$2:$G$103,MATCH(C1204,'Qida bazası'!$A$2:$A$103,0))*D1204/100,"?"))</f>
        <v/>
      </c>
    </row>
    <row r="1205">
      <c r="A1205" s="21" t="n"/>
      <c r="E1205" s="18">
        <f>IF(OR(C1205="",D1205=""),"",IFERROR(INDEX('Qida bazası'!$D$2:$D$103,MATCH(C1205,'Qida bazası'!$A$2:$A$103,0))*D1205/100,"?"))</f>
        <v/>
      </c>
      <c r="F1205" s="19">
        <f>IF(OR(C1205="",D1205=""),"",IFERROR(INDEX('Qida bazası'!$E$2:$E$103,MATCH(C1205,'Qida bazası'!$A$2:$A$103,0))*D1205/100,"?"))</f>
        <v/>
      </c>
      <c r="G1205" s="19">
        <f>IF(OR(C1205="",D1205=""),"",IFERROR(INDEX('Qida bazası'!$F$2:$F$103,MATCH(C1205,'Qida bazası'!$A$2:$A$103,0))*D1205/100,"?"))</f>
        <v/>
      </c>
      <c r="H1205" s="19">
        <f>IF(OR(C1205="",D1205=""),"",IFERROR(INDEX('Qida bazası'!$G$2:$G$103,MATCH(C1205,'Qida bazası'!$A$2:$A$103,0))*D1205/100,"?"))</f>
        <v/>
      </c>
    </row>
    <row r="1206">
      <c r="A1206" s="21" t="n"/>
      <c r="E1206" s="18">
        <f>IF(OR(C1206="",D1206=""),"",IFERROR(INDEX('Qida bazası'!$D$2:$D$103,MATCH(C1206,'Qida bazası'!$A$2:$A$103,0))*D1206/100,"?"))</f>
        <v/>
      </c>
      <c r="F1206" s="19">
        <f>IF(OR(C1206="",D1206=""),"",IFERROR(INDEX('Qida bazası'!$E$2:$E$103,MATCH(C1206,'Qida bazası'!$A$2:$A$103,0))*D1206/100,"?"))</f>
        <v/>
      </c>
      <c r="G1206" s="19">
        <f>IF(OR(C1206="",D1206=""),"",IFERROR(INDEX('Qida bazası'!$F$2:$F$103,MATCH(C1206,'Qida bazası'!$A$2:$A$103,0))*D1206/100,"?"))</f>
        <v/>
      </c>
      <c r="H1206" s="19">
        <f>IF(OR(C1206="",D1206=""),"",IFERROR(INDEX('Qida bazası'!$G$2:$G$103,MATCH(C1206,'Qida bazası'!$A$2:$A$103,0))*D1206/100,"?"))</f>
        <v/>
      </c>
    </row>
    <row r="1207">
      <c r="A1207" s="21" t="n"/>
      <c r="E1207" s="18">
        <f>IF(OR(C1207="",D1207=""),"",IFERROR(INDEX('Qida bazası'!$D$2:$D$103,MATCH(C1207,'Qida bazası'!$A$2:$A$103,0))*D1207/100,"?"))</f>
        <v/>
      </c>
      <c r="F1207" s="19">
        <f>IF(OR(C1207="",D1207=""),"",IFERROR(INDEX('Qida bazası'!$E$2:$E$103,MATCH(C1207,'Qida bazası'!$A$2:$A$103,0))*D1207/100,"?"))</f>
        <v/>
      </c>
      <c r="G1207" s="19">
        <f>IF(OR(C1207="",D1207=""),"",IFERROR(INDEX('Qida bazası'!$F$2:$F$103,MATCH(C1207,'Qida bazası'!$A$2:$A$103,0))*D1207/100,"?"))</f>
        <v/>
      </c>
      <c r="H1207" s="19">
        <f>IF(OR(C1207="",D1207=""),"",IFERROR(INDEX('Qida bazası'!$G$2:$G$103,MATCH(C1207,'Qida bazası'!$A$2:$A$103,0))*D1207/100,"?"))</f>
        <v/>
      </c>
    </row>
    <row r="1208">
      <c r="A1208" s="21" t="n"/>
      <c r="E1208" s="18">
        <f>IF(OR(C1208="",D1208=""),"",IFERROR(INDEX('Qida bazası'!$D$2:$D$103,MATCH(C1208,'Qida bazası'!$A$2:$A$103,0))*D1208/100,"?"))</f>
        <v/>
      </c>
      <c r="F1208" s="19">
        <f>IF(OR(C1208="",D1208=""),"",IFERROR(INDEX('Qida bazası'!$E$2:$E$103,MATCH(C1208,'Qida bazası'!$A$2:$A$103,0))*D1208/100,"?"))</f>
        <v/>
      </c>
      <c r="G1208" s="19">
        <f>IF(OR(C1208="",D1208=""),"",IFERROR(INDEX('Qida bazası'!$F$2:$F$103,MATCH(C1208,'Qida bazası'!$A$2:$A$103,0))*D1208/100,"?"))</f>
        <v/>
      </c>
      <c r="H1208" s="19">
        <f>IF(OR(C1208="",D1208=""),"",IFERROR(INDEX('Qida bazası'!$G$2:$G$103,MATCH(C1208,'Qida bazası'!$A$2:$A$103,0))*D1208/100,"?"))</f>
        <v/>
      </c>
    </row>
    <row r="1209">
      <c r="A1209" s="21" t="n"/>
      <c r="E1209" s="18">
        <f>IF(OR(C1209="",D1209=""),"",IFERROR(INDEX('Qida bazası'!$D$2:$D$103,MATCH(C1209,'Qida bazası'!$A$2:$A$103,0))*D1209/100,"?"))</f>
        <v/>
      </c>
      <c r="F1209" s="19">
        <f>IF(OR(C1209="",D1209=""),"",IFERROR(INDEX('Qida bazası'!$E$2:$E$103,MATCH(C1209,'Qida bazası'!$A$2:$A$103,0))*D1209/100,"?"))</f>
        <v/>
      </c>
      <c r="G1209" s="19">
        <f>IF(OR(C1209="",D1209=""),"",IFERROR(INDEX('Qida bazası'!$F$2:$F$103,MATCH(C1209,'Qida bazası'!$A$2:$A$103,0))*D1209/100,"?"))</f>
        <v/>
      </c>
      <c r="H1209" s="19">
        <f>IF(OR(C1209="",D1209=""),"",IFERROR(INDEX('Qida bazası'!$G$2:$G$103,MATCH(C1209,'Qida bazası'!$A$2:$A$103,0))*D1209/100,"?"))</f>
        <v/>
      </c>
    </row>
    <row r="1210">
      <c r="A1210" s="21" t="n"/>
      <c r="E1210" s="18">
        <f>IF(OR(C1210="",D1210=""),"",IFERROR(INDEX('Qida bazası'!$D$2:$D$103,MATCH(C1210,'Qida bazası'!$A$2:$A$103,0))*D1210/100,"?"))</f>
        <v/>
      </c>
      <c r="F1210" s="19">
        <f>IF(OR(C1210="",D1210=""),"",IFERROR(INDEX('Qida bazası'!$E$2:$E$103,MATCH(C1210,'Qida bazası'!$A$2:$A$103,0))*D1210/100,"?"))</f>
        <v/>
      </c>
      <c r="G1210" s="19">
        <f>IF(OR(C1210="",D1210=""),"",IFERROR(INDEX('Qida bazası'!$F$2:$F$103,MATCH(C1210,'Qida bazası'!$A$2:$A$103,0))*D1210/100,"?"))</f>
        <v/>
      </c>
      <c r="H1210" s="19">
        <f>IF(OR(C1210="",D1210=""),"",IFERROR(INDEX('Qida bazası'!$G$2:$G$103,MATCH(C1210,'Qida bazası'!$A$2:$A$103,0))*D1210/100,"?"))</f>
        <v/>
      </c>
    </row>
    <row r="1211">
      <c r="A1211" s="21" t="n"/>
      <c r="E1211" s="18">
        <f>IF(OR(C1211="",D1211=""),"",IFERROR(INDEX('Qida bazası'!$D$2:$D$103,MATCH(C1211,'Qida bazası'!$A$2:$A$103,0))*D1211/100,"?"))</f>
        <v/>
      </c>
      <c r="F1211" s="19">
        <f>IF(OR(C1211="",D1211=""),"",IFERROR(INDEX('Qida bazası'!$E$2:$E$103,MATCH(C1211,'Qida bazası'!$A$2:$A$103,0))*D1211/100,"?"))</f>
        <v/>
      </c>
      <c r="G1211" s="19">
        <f>IF(OR(C1211="",D1211=""),"",IFERROR(INDEX('Qida bazası'!$F$2:$F$103,MATCH(C1211,'Qida bazası'!$A$2:$A$103,0))*D1211/100,"?"))</f>
        <v/>
      </c>
      <c r="H1211" s="19">
        <f>IF(OR(C1211="",D1211=""),"",IFERROR(INDEX('Qida bazası'!$G$2:$G$103,MATCH(C1211,'Qida bazası'!$A$2:$A$103,0))*D1211/100,"?"))</f>
        <v/>
      </c>
    </row>
    <row r="1212">
      <c r="A1212" s="21" t="n"/>
      <c r="E1212" s="18">
        <f>IF(OR(C1212="",D1212=""),"",IFERROR(INDEX('Qida bazası'!$D$2:$D$103,MATCH(C1212,'Qida bazası'!$A$2:$A$103,0))*D1212/100,"?"))</f>
        <v/>
      </c>
      <c r="F1212" s="19">
        <f>IF(OR(C1212="",D1212=""),"",IFERROR(INDEX('Qida bazası'!$E$2:$E$103,MATCH(C1212,'Qida bazası'!$A$2:$A$103,0))*D1212/100,"?"))</f>
        <v/>
      </c>
      <c r="G1212" s="19">
        <f>IF(OR(C1212="",D1212=""),"",IFERROR(INDEX('Qida bazası'!$F$2:$F$103,MATCH(C1212,'Qida bazası'!$A$2:$A$103,0))*D1212/100,"?"))</f>
        <v/>
      </c>
      <c r="H1212" s="19">
        <f>IF(OR(C1212="",D1212=""),"",IFERROR(INDEX('Qida bazası'!$G$2:$G$103,MATCH(C1212,'Qida bazası'!$A$2:$A$103,0))*D1212/100,"?"))</f>
        <v/>
      </c>
    </row>
    <row r="1213">
      <c r="A1213" s="21" t="n"/>
      <c r="E1213" s="18">
        <f>IF(OR(C1213="",D1213=""),"",IFERROR(INDEX('Qida bazası'!$D$2:$D$103,MATCH(C1213,'Qida bazası'!$A$2:$A$103,0))*D1213/100,"?"))</f>
        <v/>
      </c>
      <c r="F1213" s="19">
        <f>IF(OR(C1213="",D1213=""),"",IFERROR(INDEX('Qida bazası'!$E$2:$E$103,MATCH(C1213,'Qida bazası'!$A$2:$A$103,0))*D1213/100,"?"))</f>
        <v/>
      </c>
      <c r="G1213" s="19">
        <f>IF(OR(C1213="",D1213=""),"",IFERROR(INDEX('Qida bazası'!$F$2:$F$103,MATCH(C1213,'Qida bazası'!$A$2:$A$103,0))*D1213/100,"?"))</f>
        <v/>
      </c>
      <c r="H1213" s="19">
        <f>IF(OR(C1213="",D1213=""),"",IFERROR(INDEX('Qida bazası'!$G$2:$G$103,MATCH(C1213,'Qida bazası'!$A$2:$A$103,0))*D1213/100,"?"))</f>
        <v/>
      </c>
    </row>
    <row r="1214">
      <c r="A1214" s="21" t="n"/>
      <c r="E1214" s="18">
        <f>IF(OR(C1214="",D1214=""),"",IFERROR(INDEX('Qida bazası'!$D$2:$D$103,MATCH(C1214,'Qida bazası'!$A$2:$A$103,0))*D1214/100,"?"))</f>
        <v/>
      </c>
      <c r="F1214" s="19">
        <f>IF(OR(C1214="",D1214=""),"",IFERROR(INDEX('Qida bazası'!$E$2:$E$103,MATCH(C1214,'Qida bazası'!$A$2:$A$103,0))*D1214/100,"?"))</f>
        <v/>
      </c>
      <c r="G1214" s="19">
        <f>IF(OR(C1214="",D1214=""),"",IFERROR(INDEX('Qida bazası'!$F$2:$F$103,MATCH(C1214,'Qida bazası'!$A$2:$A$103,0))*D1214/100,"?"))</f>
        <v/>
      </c>
      <c r="H1214" s="19">
        <f>IF(OR(C1214="",D1214=""),"",IFERROR(INDEX('Qida bazası'!$G$2:$G$103,MATCH(C1214,'Qida bazası'!$A$2:$A$103,0))*D1214/100,"?"))</f>
        <v/>
      </c>
    </row>
    <row r="1215">
      <c r="A1215" s="21" t="n"/>
      <c r="E1215" s="18">
        <f>IF(OR(C1215="",D1215=""),"",IFERROR(INDEX('Qida bazası'!$D$2:$D$103,MATCH(C1215,'Qida bazası'!$A$2:$A$103,0))*D1215/100,"?"))</f>
        <v/>
      </c>
      <c r="F1215" s="19">
        <f>IF(OR(C1215="",D1215=""),"",IFERROR(INDEX('Qida bazası'!$E$2:$E$103,MATCH(C1215,'Qida bazası'!$A$2:$A$103,0))*D1215/100,"?"))</f>
        <v/>
      </c>
      <c r="G1215" s="19">
        <f>IF(OR(C1215="",D1215=""),"",IFERROR(INDEX('Qida bazası'!$F$2:$F$103,MATCH(C1215,'Qida bazası'!$A$2:$A$103,0))*D1215/100,"?"))</f>
        <v/>
      </c>
      <c r="H1215" s="19">
        <f>IF(OR(C1215="",D1215=""),"",IFERROR(INDEX('Qida bazası'!$G$2:$G$103,MATCH(C1215,'Qida bazası'!$A$2:$A$103,0))*D1215/100,"?"))</f>
        <v/>
      </c>
    </row>
    <row r="1216">
      <c r="A1216" s="21" t="n"/>
      <c r="E1216" s="18">
        <f>IF(OR(C1216="",D1216=""),"",IFERROR(INDEX('Qida bazası'!$D$2:$D$103,MATCH(C1216,'Qida bazası'!$A$2:$A$103,0))*D1216/100,"?"))</f>
        <v/>
      </c>
      <c r="F1216" s="19">
        <f>IF(OR(C1216="",D1216=""),"",IFERROR(INDEX('Qida bazası'!$E$2:$E$103,MATCH(C1216,'Qida bazası'!$A$2:$A$103,0))*D1216/100,"?"))</f>
        <v/>
      </c>
      <c r="G1216" s="19">
        <f>IF(OR(C1216="",D1216=""),"",IFERROR(INDEX('Qida bazası'!$F$2:$F$103,MATCH(C1216,'Qida bazası'!$A$2:$A$103,0))*D1216/100,"?"))</f>
        <v/>
      </c>
      <c r="H1216" s="19">
        <f>IF(OR(C1216="",D1216=""),"",IFERROR(INDEX('Qida bazası'!$G$2:$G$103,MATCH(C1216,'Qida bazası'!$A$2:$A$103,0))*D1216/100,"?"))</f>
        <v/>
      </c>
    </row>
    <row r="1217">
      <c r="A1217" s="21" t="n"/>
      <c r="E1217" s="18">
        <f>IF(OR(C1217="",D1217=""),"",IFERROR(INDEX('Qida bazası'!$D$2:$D$103,MATCH(C1217,'Qida bazası'!$A$2:$A$103,0))*D1217/100,"?"))</f>
        <v/>
      </c>
      <c r="F1217" s="19">
        <f>IF(OR(C1217="",D1217=""),"",IFERROR(INDEX('Qida bazası'!$E$2:$E$103,MATCH(C1217,'Qida bazası'!$A$2:$A$103,0))*D1217/100,"?"))</f>
        <v/>
      </c>
      <c r="G1217" s="19">
        <f>IF(OR(C1217="",D1217=""),"",IFERROR(INDEX('Qida bazası'!$F$2:$F$103,MATCH(C1217,'Qida bazası'!$A$2:$A$103,0))*D1217/100,"?"))</f>
        <v/>
      </c>
      <c r="H1217" s="19">
        <f>IF(OR(C1217="",D1217=""),"",IFERROR(INDEX('Qida bazası'!$G$2:$G$103,MATCH(C1217,'Qida bazası'!$A$2:$A$103,0))*D1217/100,"?"))</f>
        <v/>
      </c>
    </row>
    <row r="1218">
      <c r="A1218" s="21" t="n"/>
      <c r="E1218" s="18">
        <f>IF(OR(C1218="",D1218=""),"",IFERROR(INDEX('Qida bazası'!$D$2:$D$103,MATCH(C1218,'Qida bazası'!$A$2:$A$103,0))*D1218/100,"?"))</f>
        <v/>
      </c>
      <c r="F1218" s="19">
        <f>IF(OR(C1218="",D1218=""),"",IFERROR(INDEX('Qida bazası'!$E$2:$E$103,MATCH(C1218,'Qida bazası'!$A$2:$A$103,0))*D1218/100,"?"))</f>
        <v/>
      </c>
      <c r="G1218" s="19">
        <f>IF(OR(C1218="",D1218=""),"",IFERROR(INDEX('Qida bazası'!$F$2:$F$103,MATCH(C1218,'Qida bazası'!$A$2:$A$103,0))*D1218/100,"?"))</f>
        <v/>
      </c>
      <c r="H1218" s="19">
        <f>IF(OR(C1218="",D1218=""),"",IFERROR(INDEX('Qida bazası'!$G$2:$G$103,MATCH(C1218,'Qida bazası'!$A$2:$A$103,0))*D1218/100,"?"))</f>
        <v/>
      </c>
    </row>
    <row r="1219">
      <c r="A1219" s="21" t="n"/>
      <c r="E1219" s="18">
        <f>IF(OR(C1219="",D1219=""),"",IFERROR(INDEX('Qida bazası'!$D$2:$D$103,MATCH(C1219,'Qida bazası'!$A$2:$A$103,0))*D1219/100,"?"))</f>
        <v/>
      </c>
      <c r="F1219" s="19">
        <f>IF(OR(C1219="",D1219=""),"",IFERROR(INDEX('Qida bazası'!$E$2:$E$103,MATCH(C1219,'Qida bazası'!$A$2:$A$103,0))*D1219/100,"?"))</f>
        <v/>
      </c>
      <c r="G1219" s="19">
        <f>IF(OR(C1219="",D1219=""),"",IFERROR(INDEX('Qida bazası'!$F$2:$F$103,MATCH(C1219,'Qida bazası'!$A$2:$A$103,0))*D1219/100,"?"))</f>
        <v/>
      </c>
      <c r="H1219" s="19">
        <f>IF(OR(C1219="",D1219=""),"",IFERROR(INDEX('Qida bazası'!$G$2:$G$103,MATCH(C1219,'Qida bazası'!$A$2:$A$103,0))*D1219/100,"?"))</f>
        <v/>
      </c>
    </row>
    <row r="1220">
      <c r="A1220" s="21" t="n"/>
      <c r="E1220" s="18">
        <f>IF(OR(C1220="",D1220=""),"",IFERROR(INDEX('Qida bazası'!$D$2:$D$103,MATCH(C1220,'Qida bazası'!$A$2:$A$103,0))*D1220/100,"?"))</f>
        <v/>
      </c>
      <c r="F1220" s="19">
        <f>IF(OR(C1220="",D1220=""),"",IFERROR(INDEX('Qida bazası'!$E$2:$E$103,MATCH(C1220,'Qida bazası'!$A$2:$A$103,0))*D1220/100,"?"))</f>
        <v/>
      </c>
      <c r="G1220" s="19">
        <f>IF(OR(C1220="",D1220=""),"",IFERROR(INDEX('Qida bazası'!$F$2:$F$103,MATCH(C1220,'Qida bazası'!$A$2:$A$103,0))*D1220/100,"?"))</f>
        <v/>
      </c>
      <c r="H1220" s="19">
        <f>IF(OR(C1220="",D1220=""),"",IFERROR(INDEX('Qida bazası'!$G$2:$G$103,MATCH(C1220,'Qida bazası'!$A$2:$A$103,0))*D1220/100,"?"))</f>
        <v/>
      </c>
    </row>
    <row r="1221">
      <c r="A1221" s="21" t="n"/>
      <c r="E1221" s="18">
        <f>IF(OR(C1221="",D1221=""),"",IFERROR(INDEX('Qida bazası'!$D$2:$D$103,MATCH(C1221,'Qida bazası'!$A$2:$A$103,0))*D1221/100,"?"))</f>
        <v/>
      </c>
      <c r="F1221" s="19">
        <f>IF(OR(C1221="",D1221=""),"",IFERROR(INDEX('Qida bazası'!$E$2:$E$103,MATCH(C1221,'Qida bazası'!$A$2:$A$103,0))*D1221/100,"?"))</f>
        <v/>
      </c>
      <c r="G1221" s="19">
        <f>IF(OR(C1221="",D1221=""),"",IFERROR(INDEX('Qida bazası'!$F$2:$F$103,MATCH(C1221,'Qida bazası'!$A$2:$A$103,0))*D1221/100,"?"))</f>
        <v/>
      </c>
      <c r="H1221" s="19">
        <f>IF(OR(C1221="",D1221=""),"",IFERROR(INDEX('Qida bazası'!$G$2:$G$103,MATCH(C1221,'Qida bazası'!$A$2:$A$103,0))*D1221/100,"?"))</f>
        <v/>
      </c>
    </row>
    <row r="1222">
      <c r="A1222" s="21" t="n"/>
      <c r="E1222" s="18">
        <f>IF(OR(C1222="",D1222=""),"",IFERROR(INDEX('Qida bazası'!$D$2:$D$103,MATCH(C1222,'Qida bazası'!$A$2:$A$103,0))*D1222/100,"?"))</f>
        <v/>
      </c>
      <c r="F1222" s="19">
        <f>IF(OR(C1222="",D1222=""),"",IFERROR(INDEX('Qida bazası'!$E$2:$E$103,MATCH(C1222,'Qida bazası'!$A$2:$A$103,0))*D1222/100,"?"))</f>
        <v/>
      </c>
      <c r="G1222" s="19">
        <f>IF(OR(C1222="",D1222=""),"",IFERROR(INDEX('Qida bazası'!$F$2:$F$103,MATCH(C1222,'Qida bazası'!$A$2:$A$103,0))*D1222/100,"?"))</f>
        <v/>
      </c>
      <c r="H1222" s="19">
        <f>IF(OR(C1222="",D1222=""),"",IFERROR(INDEX('Qida bazası'!$G$2:$G$103,MATCH(C1222,'Qida bazası'!$A$2:$A$103,0))*D1222/100,"?"))</f>
        <v/>
      </c>
    </row>
    <row r="1223">
      <c r="A1223" s="21" t="n"/>
      <c r="E1223" s="18">
        <f>IF(OR(C1223="",D1223=""),"",IFERROR(INDEX('Qida bazası'!$D$2:$D$103,MATCH(C1223,'Qida bazası'!$A$2:$A$103,0))*D1223/100,"?"))</f>
        <v/>
      </c>
      <c r="F1223" s="19">
        <f>IF(OR(C1223="",D1223=""),"",IFERROR(INDEX('Qida bazası'!$E$2:$E$103,MATCH(C1223,'Qida bazası'!$A$2:$A$103,0))*D1223/100,"?"))</f>
        <v/>
      </c>
      <c r="G1223" s="19">
        <f>IF(OR(C1223="",D1223=""),"",IFERROR(INDEX('Qida bazası'!$F$2:$F$103,MATCH(C1223,'Qida bazası'!$A$2:$A$103,0))*D1223/100,"?"))</f>
        <v/>
      </c>
      <c r="H1223" s="19">
        <f>IF(OR(C1223="",D1223=""),"",IFERROR(INDEX('Qida bazası'!$G$2:$G$103,MATCH(C1223,'Qida bazası'!$A$2:$A$103,0))*D1223/100,"?"))</f>
        <v/>
      </c>
    </row>
    <row r="1224">
      <c r="A1224" s="21" t="n"/>
      <c r="E1224" s="18">
        <f>IF(OR(C1224="",D1224=""),"",IFERROR(INDEX('Qida bazası'!$D$2:$D$103,MATCH(C1224,'Qida bazası'!$A$2:$A$103,0))*D1224/100,"?"))</f>
        <v/>
      </c>
      <c r="F1224" s="19">
        <f>IF(OR(C1224="",D1224=""),"",IFERROR(INDEX('Qida bazası'!$E$2:$E$103,MATCH(C1224,'Qida bazası'!$A$2:$A$103,0))*D1224/100,"?"))</f>
        <v/>
      </c>
      <c r="G1224" s="19">
        <f>IF(OR(C1224="",D1224=""),"",IFERROR(INDEX('Qida bazası'!$F$2:$F$103,MATCH(C1224,'Qida bazası'!$A$2:$A$103,0))*D1224/100,"?"))</f>
        <v/>
      </c>
      <c r="H1224" s="19">
        <f>IF(OR(C1224="",D1224=""),"",IFERROR(INDEX('Qida bazası'!$G$2:$G$103,MATCH(C1224,'Qida bazası'!$A$2:$A$103,0))*D1224/100,"?"))</f>
        <v/>
      </c>
    </row>
    <row r="1225">
      <c r="A1225" s="21" t="n"/>
      <c r="E1225" s="18">
        <f>IF(OR(C1225="",D1225=""),"",IFERROR(INDEX('Qida bazası'!$D$2:$D$103,MATCH(C1225,'Qida bazası'!$A$2:$A$103,0))*D1225/100,"?"))</f>
        <v/>
      </c>
      <c r="F1225" s="19">
        <f>IF(OR(C1225="",D1225=""),"",IFERROR(INDEX('Qida bazası'!$E$2:$E$103,MATCH(C1225,'Qida bazası'!$A$2:$A$103,0))*D1225/100,"?"))</f>
        <v/>
      </c>
      <c r="G1225" s="19">
        <f>IF(OR(C1225="",D1225=""),"",IFERROR(INDEX('Qida bazası'!$F$2:$F$103,MATCH(C1225,'Qida bazası'!$A$2:$A$103,0))*D1225/100,"?"))</f>
        <v/>
      </c>
      <c r="H1225" s="19">
        <f>IF(OR(C1225="",D1225=""),"",IFERROR(INDEX('Qida bazası'!$G$2:$G$103,MATCH(C1225,'Qida bazası'!$A$2:$A$103,0))*D1225/100,"?"))</f>
        <v/>
      </c>
    </row>
    <row r="1226">
      <c r="A1226" s="21" t="n"/>
      <c r="E1226" s="18">
        <f>IF(OR(C1226="",D1226=""),"",IFERROR(INDEX('Qida bazası'!$D$2:$D$103,MATCH(C1226,'Qida bazası'!$A$2:$A$103,0))*D1226/100,"?"))</f>
        <v/>
      </c>
      <c r="F1226" s="19">
        <f>IF(OR(C1226="",D1226=""),"",IFERROR(INDEX('Qida bazası'!$E$2:$E$103,MATCH(C1226,'Qida bazası'!$A$2:$A$103,0))*D1226/100,"?"))</f>
        <v/>
      </c>
      <c r="G1226" s="19">
        <f>IF(OR(C1226="",D1226=""),"",IFERROR(INDEX('Qida bazası'!$F$2:$F$103,MATCH(C1226,'Qida bazası'!$A$2:$A$103,0))*D1226/100,"?"))</f>
        <v/>
      </c>
      <c r="H1226" s="19">
        <f>IF(OR(C1226="",D1226=""),"",IFERROR(INDEX('Qida bazası'!$G$2:$G$103,MATCH(C1226,'Qida bazası'!$A$2:$A$103,0))*D1226/100,"?"))</f>
        <v/>
      </c>
    </row>
    <row r="1227">
      <c r="A1227" s="21" t="n"/>
      <c r="E1227" s="18">
        <f>IF(OR(C1227="",D1227=""),"",IFERROR(INDEX('Qida bazası'!$D$2:$D$103,MATCH(C1227,'Qida bazası'!$A$2:$A$103,0))*D1227/100,"?"))</f>
        <v/>
      </c>
      <c r="F1227" s="19">
        <f>IF(OR(C1227="",D1227=""),"",IFERROR(INDEX('Qida bazası'!$E$2:$E$103,MATCH(C1227,'Qida bazası'!$A$2:$A$103,0))*D1227/100,"?"))</f>
        <v/>
      </c>
      <c r="G1227" s="19">
        <f>IF(OR(C1227="",D1227=""),"",IFERROR(INDEX('Qida bazası'!$F$2:$F$103,MATCH(C1227,'Qida bazası'!$A$2:$A$103,0))*D1227/100,"?"))</f>
        <v/>
      </c>
      <c r="H1227" s="19">
        <f>IF(OR(C1227="",D1227=""),"",IFERROR(INDEX('Qida bazası'!$G$2:$G$103,MATCH(C1227,'Qida bazası'!$A$2:$A$103,0))*D1227/100,"?"))</f>
        <v/>
      </c>
    </row>
    <row r="1228">
      <c r="A1228" s="21" t="n"/>
      <c r="E1228" s="18">
        <f>IF(OR(C1228="",D1228=""),"",IFERROR(INDEX('Qida bazası'!$D$2:$D$103,MATCH(C1228,'Qida bazası'!$A$2:$A$103,0))*D1228/100,"?"))</f>
        <v/>
      </c>
      <c r="F1228" s="19">
        <f>IF(OR(C1228="",D1228=""),"",IFERROR(INDEX('Qida bazası'!$E$2:$E$103,MATCH(C1228,'Qida bazası'!$A$2:$A$103,0))*D1228/100,"?"))</f>
        <v/>
      </c>
      <c r="G1228" s="19">
        <f>IF(OR(C1228="",D1228=""),"",IFERROR(INDEX('Qida bazası'!$F$2:$F$103,MATCH(C1228,'Qida bazası'!$A$2:$A$103,0))*D1228/100,"?"))</f>
        <v/>
      </c>
      <c r="H1228" s="19">
        <f>IF(OR(C1228="",D1228=""),"",IFERROR(INDEX('Qida bazası'!$G$2:$G$103,MATCH(C1228,'Qida bazası'!$A$2:$A$103,0))*D1228/100,"?"))</f>
        <v/>
      </c>
    </row>
    <row r="1229">
      <c r="A1229" s="21" t="n"/>
      <c r="E1229" s="18">
        <f>IF(OR(C1229="",D1229=""),"",IFERROR(INDEX('Qida bazası'!$D$2:$D$103,MATCH(C1229,'Qida bazası'!$A$2:$A$103,0))*D1229/100,"?"))</f>
        <v/>
      </c>
      <c r="F1229" s="19">
        <f>IF(OR(C1229="",D1229=""),"",IFERROR(INDEX('Qida bazası'!$E$2:$E$103,MATCH(C1229,'Qida bazası'!$A$2:$A$103,0))*D1229/100,"?"))</f>
        <v/>
      </c>
      <c r="G1229" s="19">
        <f>IF(OR(C1229="",D1229=""),"",IFERROR(INDEX('Qida bazası'!$F$2:$F$103,MATCH(C1229,'Qida bazası'!$A$2:$A$103,0))*D1229/100,"?"))</f>
        <v/>
      </c>
      <c r="H1229" s="19">
        <f>IF(OR(C1229="",D1229=""),"",IFERROR(INDEX('Qida bazası'!$G$2:$G$103,MATCH(C1229,'Qida bazası'!$A$2:$A$103,0))*D1229/100,"?"))</f>
        <v/>
      </c>
    </row>
    <row r="1230">
      <c r="A1230" s="21" t="n"/>
      <c r="E1230" s="18">
        <f>IF(OR(C1230="",D1230=""),"",IFERROR(INDEX('Qida bazası'!$D$2:$D$103,MATCH(C1230,'Qida bazası'!$A$2:$A$103,0))*D1230/100,"?"))</f>
        <v/>
      </c>
      <c r="F1230" s="19">
        <f>IF(OR(C1230="",D1230=""),"",IFERROR(INDEX('Qida bazası'!$E$2:$E$103,MATCH(C1230,'Qida bazası'!$A$2:$A$103,0))*D1230/100,"?"))</f>
        <v/>
      </c>
      <c r="G1230" s="19">
        <f>IF(OR(C1230="",D1230=""),"",IFERROR(INDEX('Qida bazası'!$F$2:$F$103,MATCH(C1230,'Qida bazası'!$A$2:$A$103,0))*D1230/100,"?"))</f>
        <v/>
      </c>
      <c r="H1230" s="19">
        <f>IF(OR(C1230="",D1230=""),"",IFERROR(INDEX('Qida bazası'!$G$2:$G$103,MATCH(C1230,'Qida bazası'!$A$2:$A$103,0))*D1230/100,"?"))</f>
        <v/>
      </c>
    </row>
    <row r="1231">
      <c r="A1231" s="21" t="n"/>
      <c r="E1231" s="18">
        <f>IF(OR(C1231="",D1231=""),"",IFERROR(INDEX('Qida bazası'!$D$2:$D$103,MATCH(C1231,'Qida bazası'!$A$2:$A$103,0))*D1231/100,"?"))</f>
        <v/>
      </c>
      <c r="F1231" s="19">
        <f>IF(OR(C1231="",D1231=""),"",IFERROR(INDEX('Qida bazası'!$E$2:$E$103,MATCH(C1231,'Qida bazası'!$A$2:$A$103,0))*D1231/100,"?"))</f>
        <v/>
      </c>
      <c r="G1231" s="19">
        <f>IF(OR(C1231="",D1231=""),"",IFERROR(INDEX('Qida bazası'!$F$2:$F$103,MATCH(C1231,'Qida bazası'!$A$2:$A$103,0))*D1231/100,"?"))</f>
        <v/>
      </c>
      <c r="H1231" s="19">
        <f>IF(OR(C1231="",D1231=""),"",IFERROR(INDEX('Qida bazası'!$G$2:$G$103,MATCH(C1231,'Qida bazası'!$A$2:$A$103,0))*D1231/100,"?"))</f>
        <v/>
      </c>
    </row>
    <row r="1232">
      <c r="A1232" s="21" t="n"/>
      <c r="E1232" s="18">
        <f>IF(OR(C1232="",D1232=""),"",IFERROR(INDEX('Qida bazası'!$D$2:$D$103,MATCH(C1232,'Qida bazası'!$A$2:$A$103,0))*D1232/100,"?"))</f>
        <v/>
      </c>
      <c r="F1232" s="19">
        <f>IF(OR(C1232="",D1232=""),"",IFERROR(INDEX('Qida bazası'!$E$2:$E$103,MATCH(C1232,'Qida bazası'!$A$2:$A$103,0))*D1232/100,"?"))</f>
        <v/>
      </c>
      <c r="G1232" s="19">
        <f>IF(OR(C1232="",D1232=""),"",IFERROR(INDEX('Qida bazası'!$F$2:$F$103,MATCH(C1232,'Qida bazası'!$A$2:$A$103,0))*D1232/100,"?"))</f>
        <v/>
      </c>
      <c r="H1232" s="19">
        <f>IF(OR(C1232="",D1232=""),"",IFERROR(INDEX('Qida bazası'!$G$2:$G$103,MATCH(C1232,'Qida bazası'!$A$2:$A$103,0))*D1232/100,"?"))</f>
        <v/>
      </c>
    </row>
    <row r="1233">
      <c r="A1233" s="21" t="n"/>
      <c r="E1233" s="18">
        <f>IF(OR(C1233="",D1233=""),"",IFERROR(INDEX('Qida bazası'!$D$2:$D$103,MATCH(C1233,'Qida bazası'!$A$2:$A$103,0))*D1233/100,"?"))</f>
        <v/>
      </c>
      <c r="F1233" s="19">
        <f>IF(OR(C1233="",D1233=""),"",IFERROR(INDEX('Qida bazası'!$E$2:$E$103,MATCH(C1233,'Qida bazası'!$A$2:$A$103,0))*D1233/100,"?"))</f>
        <v/>
      </c>
      <c r="G1233" s="19">
        <f>IF(OR(C1233="",D1233=""),"",IFERROR(INDEX('Qida bazası'!$F$2:$F$103,MATCH(C1233,'Qida bazası'!$A$2:$A$103,0))*D1233/100,"?"))</f>
        <v/>
      </c>
      <c r="H1233" s="19">
        <f>IF(OR(C1233="",D1233=""),"",IFERROR(INDEX('Qida bazası'!$G$2:$G$103,MATCH(C1233,'Qida bazası'!$A$2:$A$103,0))*D1233/100,"?"))</f>
        <v/>
      </c>
    </row>
    <row r="1234">
      <c r="A1234" s="21" t="n"/>
      <c r="E1234" s="18">
        <f>IF(OR(C1234="",D1234=""),"",IFERROR(INDEX('Qida bazası'!$D$2:$D$103,MATCH(C1234,'Qida bazası'!$A$2:$A$103,0))*D1234/100,"?"))</f>
        <v/>
      </c>
      <c r="F1234" s="19">
        <f>IF(OR(C1234="",D1234=""),"",IFERROR(INDEX('Qida bazası'!$E$2:$E$103,MATCH(C1234,'Qida bazası'!$A$2:$A$103,0))*D1234/100,"?"))</f>
        <v/>
      </c>
      <c r="G1234" s="19">
        <f>IF(OR(C1234="",D1234=""),"",IFERROR(INDEX('Qida bazası'!$F$2:$F$103,MATCH(C1234,'Qida bazası'!$A$2:$A$103,0))*D1234/100,"?"))</f>
        <v/>
      </c>
      <c r="H1234" s="19">
        <f>IF(OR(C1234="",D1234=""),"",IFERROR(INDEX('Qida bazası'!$G$2:$G$103,MATCH(C1234,'Qida bazası'!$A$2:$A$103,0))*D1234/100,"?"))</f>
        <v/>
      </c>
    </row>
    <row r="1235">
      <c r="A1235" s="21" t="n"/>
      <c r="E1235" s="18">
        <f>IF(OR(C1235="",D1235=""),"",IFERROR(INDEX('Qida bazası'!$D$2:$D$103,MATCH(C1235,'Qida bazası'!$A$2:$A$103,0))*D1235/100,"?"))</f>
        <v/>
      </c>
      <c r="F1235" s="19">
        <f>IF(OR(C1235="",D1235=""),"",IFERROR(INDEX('Qida bazası'!$E$2:$E$103,MATCH(C1235,'Qida bazası'!$A$2:$A$103,0))*D1235/100,"?"))</f>
        <v/>
      </c>
      <c r="G1235" s="19">
        <f>IF(OR(C1235="",D1235=""),"",IFERROR(INDEX('Qida bazası'!$F$2:$F$103,MATCH(C1235,'Qida bazası'!$A$2:$A$103,0))*D1235/100,"?"))</f>
        <v/>
      </c>
      <c r="H1235" s="19">
        <f>IF(OR(C1235="",D1235=""),"",IFERROR(INDEX('Qida bazası'!$G$2:$G$103,MATCH(C1235,'Qida bazası'!$A$2:$A$103,0))*D1235/100,"?"))</f>
        <v/>
      </c>
    </row>
    <row r="1236">
      <c r="A1236" s="21" t="n"/>
      <c r="E1236" s="18">
        <f>IF(OR(C1236="",D1236=""),"",IFERROR(INDEX('Qida bazası'!$D$2:$D$103,MATCH(C1236,'Qida bazası'!$A$2:$A$103,0))*D1236/100,"?"))</f>
        <v/>
      </c>
      <c r="F1236" s="19">
        <f>IF(OR(C1236="",D1236=""),"",IFERROR(INDEX('Qida bazası'!$E$2:$E$103,MATCH(C1236,'Qida bazası'!$A$2:$A$103,0))*D1236/100,"?"))</f>
        <v/>
      </c>
      <c r="G1236" s="19">
        <f>IF(OR(C1236="",D1236=""),"",IFERROR(INDEX('Qida bazası'!$F$2:$F$103,MATCH(C1236,'Qida bazası'!$A$2:$A$103,0))*D1236/100,"?"))</f>
        <v/>
      </c>
      <c r="H1236" s="19">
        <f>IF(OR(C1236="",D1236=""),"",IFERROR(INDEX('Qida bazası'!$G$2:$G$103,MATCH(C1236,'Qida bazası'!$A$2:$A$103,0))*D1236/100,"?"))</f>
        <v/>
      </c>
    </row>
    <row r="1237">
      <c r="A1237" s="21" t="n"/>
      <c r="E1237" s="18">
        <f>IF(OR(C1237="",D1237=""),"",IFERROR(INDEX('Qida bazası'!$D$2:$D$103,MATCH(C1237,'Qida bazası'!$A$2:$A$103,0))*D1237/100,"?"))</f>
        <v/>
      </c>
      <c r="F1237" s="19">
        <f>IF(OR(C1237="",D1237=""),"",IFERROR(INDEX('Qida bazası'!$E$2:$E$103,MATCH(C1237,'Qida bazası'!$A$2:$A$103,0))*D1237/100,"?"))</f>
        <v/>
      </c>
      <c r="G1237" s="19">
        <f>IF(OR(C1237="",D1237=""),"",IFERROR(INDEX('Qida bazası'!$F$2:$F$103,MATCH(C1237,'Qida bazası'!$A$2:$A$103,0))*D1237/100,"?"))</f>
        <v/>
      </c>
      <c r="H1237" s="19">
        <f>IF(OR(C1237="",D1237=""),"",IFERROR(INDEX('Qida bazası'!$G$2:$G$103,MATCH(C1237,'Qida bazası'!$A$2:$A$103,0))*D1237/100,"?"))</f>
        <v/>
      </c>
    </row>
    <row r="1238">
      <c r="A1238" s="21" t="n"/>
      <c r="E1238" s="18">
        <f>IF(OR(C1238="",D1238=""),"",IFERROR(INDEX('Qida bazası'!$D$2:$D$103,MATCH(C1238,'Qida bazası'!$A$2:$A$103,0))*D1238/100,"?"))</f>
        <v/>
      </c>
      <c r="F1238" s="19">
        <f>IF(OR(C1238="",D1238=""),"",IFERROR(INDEX('Qida bazası'!$E$2:$E$103,MATCH(C1238,'Qida bazası'!$A$2:$A$103,0))*D1238/100,"?"))</f>
        <v/>
      </c>
      <c r="G1238" s="19">
        <f>IF(OR(C1238="",D1238=""),"",IFERROR(INDEX('Qida bazası'!$F$2:$F$103,MATCH(C1238,'Qida bazası'!$A$2:$A$103,0))*D1238/100,"?"))</f>
        <v/>
      </c>
      <c r="H1238" s="19">
        <f>IF(OR(C1238="",D1238=""),"",IFERROR(INDEX('Qida bazası'!$G$2:$G$103,MATCH(C1238,'Qida bazası'!$A$2:$A$103,0))*D1238/100,"?"))</f>
        <v/>
      </c>
    </row>
    <row r="1239">
      <c r="A1239" s="21" t="n"/>
      <c r="E1239" s="18">
        <f>IF(OR(C1239="",D1239=""),"",IFERROR(INDEX('Qida bazası'!$D$2:$D$103,MATCH(C1239,'Qida bazası'!$A$2:$A$103,0))*D1239/100,"?"))</f>
        <v/>
      </c>
      <c r="F1239" s="19">
        <f>IF(OR(C1239="",D1239=""),"",IFERROR(INDEX('Qida bazası'!$E$2:$E$103,MATCH(C1239,'Qida bazası'!$A$2:$A$103,0))*D1239/100,"?"))</f>
        <v/>
      </c>
      <c r="G1239" s="19">
        <f>IF(OR(C1239="",D1239=""),"",IFERROR(INDEX('Qida bazası'!$F$2:$F$103,MATCH(C1239,'Qida bazası'!$A$2:$A$103,0))*D1239/100,"?"))</f>
        <v/>
      </c>
      <c r="H1239" s="19">
        <f>IF(OR(C1239="",D1239=""),"",IFERROR(INDEX('Qida bazası'!$G$2:$G$103,MATCH(C1239,'Qida bazası'!$A$2:$A$103,0))*D1239/100,"?"))</f>
        <v/>
      </c>
    </row>
    <row r="1240">
      <c r="A1240" s="21" t="n"/>
      <c r="E1240" s="18">
        <f>IF(OR(C1240="",D1240=""),"",IFERROR(INDEX('Qida bazası'!$D$2:$D$103,MATCH(C1240,'Qida bazası'!$A$2:$A$103,0))*D1240/100,"?"))</f>
        <v/>
      </c>
      <c r="F1240" s="19">
        <f>IF(OR(C1240="",D1240=""),"",IFERROR(INDEX('Qida bazası'!$E$2:$E$103,MATCH(C1240,'Qida bazası'!$A$2:$A$103,0))*D1240/100,"?"))</f>
        <v/>
      </c>
      <c r="G1240" s="19">
        <f>IF(OR(C1240="",D1240=""),"",IFERROR(INDEX('Qida bazası'!$F$2:$F$103,MATCH(C1240,'Qida bazası'!$A$2:$A$103,0))*D1240/100,"?"))</f>
        <v/>
      </c>
      <c r="H1240" s="19">
        <f>IF(OR(C1240="",D1240=""),"",IFERROR(INDEX('Qida bazası'!$G$2:$G$103,MATCH(C1240,'Qida bazası'!$A$2:$A$103,0))*D1240/100,"?"))</f>
        <v/>
      </c>
    </row>
    <row r="1241">
      <c r="A1241" s="21" t="n"/>
      <c r="E1241" s="18">
        <f>IF(OR(C1241="",D1241=""),"",IFERROR(INDEX('Qida bazası'!$D$2:$D$103,MATCH(C1241,'Qida bazası'!$A$2:$A$103,0))*D1241/100,"?"))</f>
        <v/>
      </c>
      <c r="F1241" s="19">
        <f>IF(OR(C1241="",D1241=""),"",IFERROR(INDEX('Qida bazası'!$E$2:$E$103,MATCH(C1241,'Qida bazası'!$A$2:$A$103,0))*D1241/100,"?"))</f>
        <v/>
      </c>
      <c r="G1241" s="19">
        <f>IF(OR(C1241="",D1241=""),"",IFERROR(INDEX('Qida bazası'!$F$2:$F$103,MATCH(C1241,'Qida bazası'!$A$2:$A$103,0))*D1241/100,"?"))</f>
        <v/>
      </c>
      <c r="H1241" s="19">
        <f>IF(OR(C1241="",D1241=""),"",IFERROR(INDEX('Qida bazası'!$G$2:$G$103,MATCH(C1241,'Qida bazası'!$A$2:$A$103,0))*D1241/100,"?"))</f>
        <v/>
      </c>
    </row>
    <row r="1242">
      <c r="A1242" s="21" t="n"/>
      <c r="E1242" s="18">
        <f>IF(OR(C1242="",D1242=""),"",IFERROR(INDEX('Qida bazası'!$D$2:$D$103,MATCH(C1242,'Qida bazası'!$A$2:$A$103,0))*D1242/100,"?"))</f>
        <v/>
      </c>
      <c r="F1242" s="19">
        <f>IF(OR(C1242="",D1242=""),"",IFERROR(INDEX('Qida bazası'!$E$2:$E$103,MATCH(C1242,'Qida bazası'!$A$2:$A$103,0))*D1242/100,"?"))</f>
        <v/>
      </c>
      <c r="G1242" s="19">
        <f>IF(OR(C1242="",D1242=""),"",IFERROR(INDEX('Qida bazası'!$F$2:$F$103,MATCH(C1242,'Qida bazası'!$A$2:$A$103,0))*D1242/100,"?"))</f>
        <v/>
      </c>
      <c r="H1242" s="19">
        <f>IF(OR(C1242="",D1242=""),"",IFERROR(INDEX('Qida bazası'!$G$2:$G$103,MATCH(C1242,'Qida bazası'!$A$2:$A$103,0))*D1242/100,"?"))</f>
        <v/>
      </c>
    </row>
    <row r="1243">
      <c r="A1243" s="21" t="n"/>
      <c r="E1243" s="18">
        <f>IF(OR(C1243="",D1243=""),"",IFERROR(INDEX('Qida bazası'!$D$2:$D$103,MATCH(C1243,'Qida bazası'!$A$2:$A$103,0))*D1243/100,"?"))</f>
        <v/>
      </c>
      <c r="F1243" s="19">
        <f>IF(OR(C1243="",D1243=""),"",IFERROR(INDEX('Qida bazası'!$E$2:$E$103,MATCH(C1243,'Qida bazası'!$A$2:$A$103,0))*D1243/100,"?"))</f>
        <v/>
      </c>
      <c r="G1243" s="19">
        <f>IF(OR(C1243="",D1243=""),"",IFERROR(INDEX('Qida bazası'!$F$2:$F$103,MATCH(C1243,'Qida bazası'!$A$2:$A$103,0))*D1243/100,"?"))</f>
        <v/>
      </c>
      <c r="H1243" s="19">
        <f>IF(OR(C1243="",D1243=""),"",IFERROR(INDEX('Qida bazası'!$G$2:$G$103,MATCH(C1243,'Qida bazası'!$A$2:$A$103,0))*D1243/100,"?"))</f>
        <v/>
      </c>
    </row>
    <row r="1244">
      <c r="A1244" s="21" t="n"/>
      <c r="E1244" s="18">
        <f>IF(OR(C1244="",D1244=""),"",IFERROR(INDEX('Qida bazası'!$D$2:$D$103,MATCH(C1244,'Qida bazası'!$A$2:$A$103,0))*D1244/100,"?"))</f>
        <v/>
      </c>
      <c r="F1244" s="19">
        <f>IF(OR(C1244="",D1244=""),"",IFERROR(INDEX('Qida bazası'!$E$2:$E$103,MATCH(C1244,'Qida bazası'!$A$2:$A$103,0))*D1244/100,"?"))</f>
        <v/>
      </c>
      <c r="G1244" s="19">
        <f>IF(OR(C1244="",D1244=""),"",IFERROR(INDEX('Qida bazası'!$F$2:$F$103,MATCH(C1244,'Qida bazası'!$A$2:$A$103,0))*D1244/100,"?"))</f>
        <v/>
      </c>
      <c r="H1244" s="19">
        <f>IF(OR(C1244="",D1244=""),"",IFERROR(INDEX('Qida bazası'!$G$2:$G$103,MATCH(C1244,'Qida bazası'!$A$2:$A$103,0))*D1244/100,"?"))</f>
        <v/>
      </c>
    </row>
    <row r="1245">
      <c r="A1245" s="21" t="n"/>
      <c r="E1245" s="18">
        <f>IF(OR(C1245="",D1245=""),"",IFERROR(INDEX('Qida bazası'!$D$2:$D$103,MATCH(C1245,'Qida bazası'!$A$2:$A$103,0))*D1245/100,"?"))</f>
        <v/>
      </c>
      <c r="F1245" s="19">
        <f>IF(OR(C1245="",D1245=""),"",IFERROR(INDEX('Qida bazası'!$E$2:$E$103,MATCH(C1245,'Qida bazası'!$A$2:$A$103,0))*D1245/100,"?"))</f>
        <v/>
      </c>
      <c r="G1245" s="19">
        <f>IF(OR(C1245="",D1245=""),"",IFERROR(INDEX('Qida bazası'!$F$2:$F$103,MATCH(C1245,'Qida bazası'!$A$2:$A$103,0))*D1245/100,"?"))</f>
        <v/>
      </c>
      <c r="H1245" s="19">
        <f>IF(OR(C1245="",D1245=""),"",IFERROR(INDEX('Qida bazası'!$G$2:$G$103,MATCH(C1245,'Qida bazası'!$A$2:$A$103,0))*D1245/100,"?"))</f>
        <v/>
      </c>
    </row>
    <row r="1246">
      <c r="A1246" s="21" t="n"/>
      <c r="E1246" s="18">
        <f>IF(OR(C1246="",D1246=""),"",IFERROR(INDEX('Qida bazası'!$D$2:$D$103,MATCH(C1246,'Qida bazası'!$A$2:$A$103,0))*D1246/100,"?"))</f>
        <v/>
      </c>
      <c r="F1246" s="19">
        <f>IF(OR(C1246="",D1246=""),"",IFERROR(INDEX('Qida bazası'!$E$2:$E$103,MATCH(C1246,'Qida bazası'!$A$2:$A$103,0))*D1246/100,"?"))</f>
        <v/>
      </c>
      <c r="G1246" s="19">
        <f>IF(OR(C1246="",D1246=""),"",IFERROR(INDEX('Qida bazası'!$F$2:$F$103,MATCH(C1246,'Qida bazası'!$A$2:$A$103,0))*D1246/100,"?"))</f>
        <v/>
      </c>
      <c r="H1246" s="19">
        <f>IF(OR(C1246="",D1246=""),"",IFERROR(INDEX('Qida bazası'!$G$2:$G$103,MATCH(C1246,'Qida bazası'!$A$2:$A$103,0))*D1246/100,"?"))</f>
        <v/>
      </c>
    </row>
    <row r="1247">
      <c r="A1247" s="21" t="n"/>
      <c r="E1247" s="18">
        <f>IF(OR(C1247="",D1247=""),"",IFERROR(INDEX('Qida bazası'!$D$2:$D$103,MATCH(C1247,'Qida bazası'!$A$2:$A$103,0))*D1247/100,"?"))</f>
        <v/>
      </c>
      <c r="F1247" s="19">
        <f>IF(OR(C1247="",D1247=""),"",IFERROR(INDEX('Qida bazası'!$E$2:$E$103,MATCH(C1247,'Qida bazası'!$A$2:$A$103,0))*D1247/100,"?"))</f>
        <v/>
      </c>
      <c r="G1247" s="19">
        <f>IF(OR(C1247="",D1247=""),"",IFERROR(INDEX('Qida bazası'!$F$2:$F$103,MATCH(C1247,'Qida bazası'!$A$2:$A$103,0))*D1247/100,"?"))</f>
        <v/>
      </c>
      <c r="H1247" s="19">
        <f>IF(OR(C1247="",D1247=""),"",IFERROR(INDEX('Qida bazası'!$G$2:$G$103,MATCH(C1247,'Qida bazası'!$A$2:$A$103,0))*D1247/100,"?"))</f>
        <v/>
      </c>
    </row>
    <row r="1248">
      <c r="A1248" s="21" t="n"/>
      <c r="E1248" s="18">
        <f>IF(OR(C1248="",D1248=""),"",IFERROR(INDEX('Qida bazası'!$D$2:$D$103,MATCH(C1248,'Qida bazası'!$A$2:$A$103,0))*D1248/100,"?"))</f>
        <v/>
      </c>
      <c r="F1248" s="19">
        <f>IF(OR(C1248="",D1248=""),"",IFERROR(INDEX('Qida bazası'!$E$2:$E$103,MATCH(C1248,'Qida bazası'!$A$2:$A$103,0))*D1248/100,"?"))</f>
        <v/>
      </c>
      <c r="G1248" s="19">
        <f>IF(OR(C1248="",D1248=""),"",IFERROR(INDEX('Qida bazası'!$F$2:$F$103,MATCH(C1248,'Qida bazası'!$A$2:$A$103,0))*D1248/100,"?"))</f>
        <v/>
      </c>
      <c r="H1248" s="19">
        <f>IF(OR(C1248="",D1248=""),"",IFERROR(INDEX('Qida bazası'!$G$2:$G$103,MATCH(C1248,'Qida bazası'!$A$2:$A$103,0))*D1248/100,"?"))</f>
        <v/>
      </c>
    </row>
    <row r="1249">
      <c r="A1249" s="21" t="n"/>
      <c r="E1249" s="18">
        <f>IF(OR(C1249="",D1249=""),"",IFERROR(INDEX('Qida bazası'!$D$2:$D$103,MATCH(C1249,'Qida bazası'!$A$2:$A$103,0))*D1249/100,"?"))</f>
        <v/>
      </c>
      <c r="F1249" s="19">
        <f>IF(OR(C1249="",D1249=""),"",IFERROR(INDEX('Qida bazası'!$E$2:$E$103,MATCH(C1249,'Qida bazası'!$A$2:$A$103,0))*D1249/100,"?"))</f>
        <v/>
      </c>
      <c r="G1249" s="19">
        <f>IF(OR(C1249="",D1249=""),"",IFERROR(INDEX('Qida bazası'!$F$2:$F$103,MATCH(C1249,'Qida bazası'!$A$2:$A$103,0))*D1249/100,"?"))</f>
        <v/>
      </c>
      <c r="H1249" s="19">
        <f>IF(OR(C1249="",D1249=""),"",IFERROR(INDEX('Qida bazası'!$G$2:$G$103,MATCH(C1249,'Qida bazası'!$A$2:$A$103,0))*D1249/100,"?"))</f>
        <v/>
      </c>
    </row>
    <row r="1250">
      <c r="A1250" s="21" t="n"/>
      <c r="E1250" s="18">
        <f>IF(OR(C1250="",D1250=""),"",IFERROR(INDEX('Qida bazası'!$D$2:$D$103,MATCH(C1250,'Qida bazası'!$A$2:$A$103,0))*D1250/100,"?"))</f>
        <v/>
      </c>
      <c r="F1250" s="19">
        <f>IF(OR(C1250="",D1250=""),"",IFERROR(INDEX('Qida bazası'!$E$2:$E$103,MATCH(C1250,'Qida bazası'!$A$2:$A$103,0))*D1250/100,"?"))</f>
        <v/>
      </c>
      <c r="G1250" s="19">
        <f>IF(OR(C1250="",D1250=""),"",IFERROR(INDEX('Qida bazası'!$F$2:$F$103,MATCH(C1250,'Qida bazası'!$A$2:$A$103,0))*D1250/100,"?"))</f>
        <v/>
      </c>
      <c r="H1250" s="19">
        <f>IF(OR(C1250="",D1250=""),"",IFERROR(INDEX('Qida bazası'!$G$2:$G$103,MATCH(C1250,'Qida bazası'!$A$2:$A$103,0))*D1250/100,"?"))</f>
        <v/>
      </c>
    </row>
    <row r="1251">
      <c r="A1251" s="21" t="n"/>
      <c r="E1251" s="18">
        <f>IF(OR(C1251="",D1251=""),"",IFERROR(INDEX('Qida bazası'!$D$2:$D$103,MATCH(C1251,'Qida bazası'!$A$2:$A$103,0))*D1251/100,"?"))</f>
        <v/>
      </c>
      <c r="F1251" s="19">
        <f>IF(OR(C1251="",D1251=""),"",IFERROR(INDEX('Qida bazası'!$E$2:$E$103,MATCH(C1251,'Qida bazası'!$A$2:$A$103,0))*D1251/100,"?"))</f>
        <v/>
      </c>
      <c r="G1251" s="19">
        <f>IF(OR(C1251="",D1251=""),"",IFERROR(INDEX('Qida bazası'!$F$2:$F$103,MATCH(C1251,'Qida bazası'!$A$2:$A$103,0))*D1251/100,"?"))</f>
        <v/>
      </c>
      <c r="H1251" s="19">
        <f>IF(OR(C1251="",D1251=""),"",IFERROR(INDEX('Qida bazası'!$G$2:$G$103,MATCH(C1251,'Qida bazası'!$A$2:$A$103,0))*D1251/100,"?"))</f>
        <v/>
      </c>
    </row>
    <row r="1252">
      <c r="A1252" s="21" t="n"/>
      <c r="E1252" s="18">
        <f>IF(OR(C1252="",D1252=""),"",IFERROR(INDEX('Qida bazası'!$D$2:$D$103,MATCH(C1252,'Qida bazası'!$A$2:$A$103,0))*D1252/100,"?"))</f>
        <v/>
      </c>
      <c r="F1252" s="19">
        <f>IF(OR(C1252="",D1252=""),"",IFERROR(INDEX('Qida bazası'!$E$2:$E$103,MATCH(C1252,'Qida bazası'!$A$2:$A$103,0))*D1252/100,"?"))</f>
        <v/>
      </c>
      <c r="G1252" s="19">
        <f>IF(OR(C1252="",D1252=""),"",IFERROR(INDEX('Qida bazası'!$F$2:$F$103,MATCH(C1252,'Qida bazası'!$A$2:$A$103,0))*D1252/100,"?"))</f>
        <v/>
      </c>
      <c r="H1252" s="19">
        <f>IF(OR(C1252="",D1252=""),"",IFERROR(INDEX('Qida bazası'!$G$2:$G$103,MATCH(C1252,'Qida bazası'!$A$2:$A$103,0))*D1252/100,"?"))</f>
        <v/>
      </c>
    </row>
    <row r="1253">
      <c r="A1253" s="21" t="n"/>
      <c r="E1253" s="18">
        <f>IF(OR(C1253="",D1253=""),"",IFERROR(INDEX('Qida bazası'!$D$2:$D$103,MATCH(C1253,'Qida bazası'!$A$2:$A$103,0))*D1253/100,"?"))</f>
        <v/>
      </c>
      <c r="F1253" s="19">
        <f>IF(OR(C1253="",D1253=""),"",IFERROR(INDEX('Qida bazası'!$E$2:$E$103,MATCH(C1253,'Qida bazası'!$A$2:$A$103,0))*D1253/100,"?"))</f>
        <v/>
      </c>
      <c r="G1253" s="19">
        <f>IF(OR(C1253="",D1253=""),"",IFERROR(INDEX('Qida bazası'!$F$2:$F$103,MATCH(C1253,'Qida bazası'!$A$2:$A$103,0))*D1253/100,"?"))</f>
        <v/>
      </c>
      <c r="H1253" s="19">
        <f>IF(OR(C1253="",D1253=""),"",IFERROR(INDEX('Qida bazası'!$G$2:$G$103,MATCH(C1253,'Qida bazası'!$A$2:$A$103,0))*D1253/100,"?"))</f>
        <v/>
      </c>
    </row>
    <row r="1254">
      <c r="A1254" s="21" t="n"/>
      <c r="E1254" s="18">
        <f>IF(OR(C1254="",D1254=""),"",IFERROR(INDEX('Qida bazası'!$D$2:$D$103,MATCH(C1254,'Qida bazası'!$A$2:$A$103,0))*D1254/100,"?"))</f>
        <v/>
      </c>
      <c r="F1254" s="19">
        <f>IF(OR(C1254="",D1254=""),"",IFERROR(INDEX('Qida bazası'!$E$2:$E$103,MATCH(C1254,'Qida bazası'!$A$2:$A$103,0))*D1254/100,"?"))</f>
        <v/>
      </c>
      <c r="G1254" s="19">
        <f>IF(OR(C1254="",D1254=""),"",IFERROR(INDEX('Qida bazası'!$F$2:$F$103,MATCH(C1254,'Qida bazası'!$A$2:$A$103,0))*D1254/100,"?"))</f>
        <v/>
      </c>
      <c r="H1254" s="19">
        <f>IF(OR(C1254="",D1254=""),"",IFERROR(INDEX('Qida bazası'!$G$2:$G$103,MATCH(C1254,'Qida bazası'!$A$2:$A$103,0))*D1254/100,"?"))</f>
        <v/>
      </c>
    </row>
    <row r="1255">
      <c r="A1255" s="21" t="n"/>
      <c r="E1255" s="18">
        <f>IF(OR(C1255="",D1255=""),"",IFERROR(INDEX('Qida bazası'!$D$2:$D$103,MATCH(C1255,'Qida bazası'!$A$2:$A$103,0))*D1255/100,"?"))</f>
        <v/>
      </c>
      <c r="F1255" s="19">
        <f>IF(OR(C1255="",D1255=""),"",IFERROR(INDEX('Qida bazası'!$E$2:$E$103,MATCH(C1255,'Qida bazası'!$A$2:$A$103,0))*D1255/100,"?"))</f>
        <v/>
      </c>
      <c r="G1255" s="19">
        <f>IF(OR(C1255="",D1255=""),"",IFERROR(INDEX('Qida bazası'!$F$2:$F$103,MATCH(C1255,'Qida bazası'!$A$2:$A$103,0))*D1255/100,"?"))</f>
        <v/>
      </c>
      <c r="H1255" s="19">
        <f>IF(OR(C1255="",D1255=""),"",IFERROR(INDEX('Qida bazası'!$G$2:$G$103,MATCH(C1255,'Qida bazası'!$A$2:$A$103,0))*D1255/100,"?"))</f>
        <v/>
      </c>
    </row>
    <row r="1256">
      <c r="A1256" s="21" t="n"/>
      <c r="E1256" s="18">
        <f>IF(OR(C1256="",D1256=""),"",IFERROR(INDEX('Qida bazası'!$D$2:$D$103,MATCH(C1256,'Qida bazası'!$A$2:$A$103,0))*D1256/100,"?"))</f>
        <v/>
      </c>
      <c r="F1256" s="19">
        <f>IF(OR(C1256="",D1256=""),"",IFERROR(INDEX('Qida bazası'!$E$2:$E$103,MATCH(C1256,'Qida bazası'!$A$2:$A$103,0))*D1256/100,"?"))</f>
        <v/>
      </c>
      <c r="G1256" s="19">
        <f>IF(OR(C1256="",D1256=""),"",IFERROR(INDEX('Qida bazası'!$F$2:$F$103,MATCH(C1256,'Qida bazası'!$A$2:$A$103,0))*D1256/100,"?"))</f>
        <v/>
      </c>
      <c r="H1256" s="19">
        <f>IF(OR(C1256="",D1256=""),"",IFERROR(INDEX('Qida bazası'!$G$2:$G$103,MATCH(C1256,'Qida bazası'!$A$2:$A$103,0))*D1256/100,"?"))</f>
        <v/>
      </c>
    </row>
    <row r="1257">
      <c r="A1257" s="21" t="n"/>
      <c r="E1257" s="18">
        <f>IF(OR(C1257="",D1257=""),"",IFERROR(INDEX('Qida bazası'!$D$2:$D$103,MATCH(C1257,'Qida bazası'!$A$2:$A$103,0))*D1257/100,"?"))</f>
        <v/>
      </c>
      <c r="F1257" s="19">
        <f>IF(OR(C1257="",D1257=""),"",IFERROR(INDEX('Qida bazası'!$E$2:$E$103,MATCH(C1257,'Qida bazası'!$A$2:$A$103,0))*D1257/100,"?"))</f>
        <v/>
      </c>
      <c r="G1257" s="19">
        <f>IF(OR(C1257="",D1257=""),"",IFERROR(INDEX('Qida bazası'!$F$2:$F$103,MATCH(C1257,'Qida bazası'!$A$2:$A$103,0))*D1257/100,"?"))</f>
        <v/>
      </c>
      <c r="H1257" s="19">
        <f>IF(OR(C1257="",D1257=""),"",IFERROR(INDEX('Qida bazası'!$G$2:$G$103,MATCH(C1257,'Qida bazası'!$A$2:$A$103,0))*D1257/100,"?"))</f>
        <v/>
      </c>
    </row>
    <row r="1258">
      <c r="A1258" s="21" t="n"/>
      <c r="E1258" s="18">
        <f>IF(OR(C1258="",D1258=""),"",IFERROR(INDEX('Qida bazası'!$D$2:$D$103,MATCH(C1258,'Qida bazası'!$A$2:$A$103,0))*D1258/100,"?"))</f>
        <v/>
      </c>
      <c r="F1258" s="19">
        <f>IF(OR(C1258="",D1258=""),"",IFERROR(INDEX('Qida bazası'!$E$2:$E$103,MATCH(C1258,'Qida bazası'!$A$2:$A$103,0))*D1258/100,"?"))</f>
        <v/>
      </c>
      <c r="G1258" s="19">
        <f>IF(OR(C1258="",D1258=""),"",IFERROR(INDEX('Qida bazası'!$F$2:$F$103,MATCH(C1258,'Qida bazası'!$A$2:$A$103,0))*D1258/100,"?"))</f>
        <v/>
      </c>
      <c r="H1258" s="19">
        <f>IF(OR(C1258="",D1258=""),"",IFERROR(INDEX('Qida bazası'!$G$2:$G$103,MATCH(C1258,'Qida bazası'!$A$2:$A$103,0))*D1258/100,"?"))</f>
        <v/>
      </c>
    </row>
    <row r="1259">
      <c r="A1259" s="21" t="n"/>
      <c r="E1259" s="18">
        <f>IF(OR(C1259="",D1259=""),"",IFERROR(INDEX('Qida bazası'!$D$2:$D$103,MATCH(C1259,'Qida bazası'!$A$2:$A$103,0))*D1259/100,"?"))</f>
        <v/>
      </c>
      <c r="F1259" s="19">
        <f>IF(OR(C1259="",D1259=""),"",IFERROR(INDEX('Qida bazası'!$E$2:$E$103,MATCH(C1259,'Qida bazası'!$A$2:$A$103,0))*D1259/100,"?"))</f>
        <v/>
      </c>
      <c r="G1259" s="19">
        <f>IF(OR(C1259="",D1259=""),"",IFERROR(INDEX('Qida bazası'!$F$2:$F$103,MATCH(C1259,'Qida bazası'!$A$2:$A$103,0))*D1259/100,"?"))</f>
        <v/>
      </c>
      <c r="H1259" s="19">
        <f>IF(OR(C1259="",D1259=""),"",IFERROR(INDEX('Qida bazası'!$G$2:$G$103,MATCH(C1259,'Qida bazası'!$A$2:$A$103,0))*D1259/100,"?"))</f>
        <v/>
      </c>
    </row>
    <row r="1260">
      <c r="A1260" s="21" t="n"/>
      <c r="E1260" s="18">
        <f>IF(OR(C1260="",D1260=""),"",IFERROR(INDEX('Qida bazası'!$D$2:$D$103,MATCH(C1260,'Qida bazası'!$A$2:$A$103,0))*D1260/100,"?"))</f>
        <v/>
      </c>
      <c r="F1260" s="19">
        <f>IF(OR(C1260="",D1260=""),"",IFERROR(INDEX('Qida bazası'!$E$2:$E$103,MATCH(C1260,'Qida bazası'!$A$2:$A$103,0))*D1260/100,"?"))</f>
        <v/>
      </c>
      <c r="G1260" s="19">
        <f>IF(OR(C1260="",D1260=""),"",IFERROR(INDEX('Qida bazası'!$F$2:$F$103,MATCH(C1260,'Qida bazası'!$A$2:$A$103,0))*D1260/100,"?"))</f>
        <v/>
      </c>
      <c r="H1260" s="19">
        <f>IF(OR(C1260="",D1260=""),"",IFERROR(INDEX('Qida bazası'!$G$2:$G$103,MATCH(C1260,'Qida bazası'!$A$2:$A$103,0))*D1260/100,"?"))</f>
        <v/>
      </c>
    </row>
    <row r="1261">
      <c r="A1261" s="21" t="n"/>
      <c r="E1261" s="18">
        <f>IF(OR(C1261="",D1261=""),"",IFERROR(INDEX('Qida bazası'!$D$2:$D$103,MATCH(C1261,'Qida bazası'!$A$2:$A$103,0))*D1261/100,"?"))</f>
        <v/>
      </c>
      <c r="F1261" s="19">
        <f>IF(OR(C1261="",D1261=""),"",IFERROR(INDEX('Qida bazası'!$E$2:$E$103,MATCH(C1261,'Qida bazası'!$A$2:$A$103,0))*D1261/100,"?"))</f>
        <v/>
      </c>
      <c r="G1261" s="19">
        <f>IF(OR(C1261="",D1261=""),"",IFERROR(INDEX('Qida bazası'!$F$2:$F$103,MATCH(C1261,'Qida bazası'!$A$2:$A$103,0))*D1261/100,"?"))</f>
        <v/>
      </c>
      <c r="H1261" s="19">
        <f>IF(OR(C1261="",D1261=""),"",IFERROR(INDEX('Qida bazası'!$G$2:$G$103,MATCH(C1261,'Qida bazası'!$A$2:$A$103,0))*D1261/100,"?"))</f>
        <v/>
      </c>
    </row>
    <row r="1262">
      <c r="A1262" s="21" t="n"/>
      <c r="E1262" s="18">
        <f>IF(OR(C1262="",D1262=""),"",IFERROR(INDEX('Qida bazası'!$D$2:$D$103,MATCH(C1262,'Qida bazası'!$A$2:$A$103,0))*D1262/100,"?"))</f>
        <v/>
      </c>
      <c r="F1262" s="19">
        <f>IF(OR(C1262="",D1262=""),"",IFERROR(INDEX('Qida bazası'!$E$2:$E$103,MATCH(C1262,'Qida bazası'!$A$2:$A$103,0))*D1262/100,"?"))</f>
        <v/>
      </c>
      <c r="G1262" s="19">
        <f>IF(OR(C1262="",D1262=""),"",IFERROR(INDEX('Qida bazası'!$F$2:$F$103,MATCH(C1262,'Qida bazası'!$A$2:$A$103,0))*D1262/100,"?"))</f>
        <v/>
      </c>
      <c r="H1262" s="19">
        <f>IF(OR(C1262="",D1262=""),"",IFERROR(INDEX('Qida bazası'!$G$2:$G$103,MATCH(C1262,'Qida bazası'!$A$2:$A$103,0))*D1262/100,"?"))</f>
        <v/>
      </c>
    </row>
    <row r="1263">
      <c r="A1263" s="21" t="n"/>
      <c r="E1263" s="18">
        <f>IF(OR(C1263="",D1263=""),"",IFERROR(INDEX('Qida bazası'!$D$2:$D$103,MATCH(C1263,'Qida bazası'!$A$2:$A$103,0))*D1263/100,"?"))</f>
        <v/>
      </c>
      <c r="F1263" s="19">
        <f>IF(OR(C1263="",D1263=""),"",IFERROR(INDEX('Qida bazası'!$E$2:$E$103,MATCH(C1263,'Qida bazası'!$A$2:$A$103,0))*D1263/100,"?"))</f>
        <v/>
      </c>
      <c r="G1263" s="19">
        <f>IF(OR(C1263="",D1263=""),"",IFERROR(INDEX('Qida bazası'!$F$2:$F$103,MATCH(C1263,'Qida bazası'!$A$2:$A$103,0))*D1263/100,"?"))</f>
        <v/>
      </c>
      <c r="H1263" s="19">
        <f>IF(OR(C1263="",D1263=""),"",IFERROR(INDEX('Qida bazası'!$G$2:$G$103,MATCH(C1263,'Qida bazası'!$A$2:$A$103,0))*D1263/100,"?"))</f>
        <v/>
      </c>
    </row>
    <row r="1264">
      <c r="A1264" s="21" t="n"/>
      <c r="E1264" s="18">
        <f>IF(OR(C1264="",D1264=""),"",IFERROR(INDEX('Qida bazası'!$D$2:$D$103,MATCH(C1264,'Qida bazası'!$A$2:$A$103,0))*D1264/100,"?"))</f>
        <v/>
      </c>
      <c r="F1264" s="19">
        <f>IF(OR(C1264="",D1264=""),"",IFERROR(INDEX('Qida bazası'!$E$2:$E$103,MATCH(C1264,'Qida bazası'!$A$2:$A$103,0))*D1264/100,"?"))</f>
        <v/>
      </c>
      <c r="G1264" s="19">
        <f>IF(OR(C1264="",D1264=""),"",IFERROR(INDEX('Qida bazası'!$F$2:$F$103,MATCH(C1264,'Qida bazası'!$A$2:$A$103,0))*D1264/100,"?"))</f>
        <v/>
      </c>
      <c r="H1264" s="19">
        <f>IF(OR(C1264="",D1264=""),"",IFERROR(INDEX('Qida bazası'!$G$2:$G$103,MATCH(C1264,'Qida bazası'!$A$2:$A$103,0))*D1264/100,"?"))</f>
        <v/>
      </c>
    </row>
    <row r="1265">
      <c r="A1265" s="21" t="n"/>
      <c r="E1265" s="18">
        <f>IF(OR(C1265="",D1265=""),"",IFERROR(INDEX('Qida bazası'!$D$2:$D$103,MATCH(C1265,'Qida bazası'!$A$2:$A$103,0))*D1265/100,"?"))</f>
        <v/>
      </c>
      <c r="F1265" s="19">
        <f>IF(OR(C1265="",D1265=""),"",IFERROR(INDEX('Qida bazası'!$E$2:$E$103,MATCH(C1265,'Qida bazası'!$A$2:$A$103,0))*D1265/100,"?"))</f>
        <v/>
      </c>
      <c r="G1265" s="19">
        <f>IF(OR(C1265="",D1265=""),"",IFERROR(INDEX('Qida bazası'!$F$2:$F$103,MATCH(C1265,'Qida bazası'!$A$2:$A$103,0))*D1265/100,"?"))</f>
        <v/>
      </c>
      <c r="H1265" s="19">
        <f>IF(OR(C1265="",D1265=""),"",IFERROR(INDEX('Qida bazası'!$G$2:$G$103,MATCH(C1265,'Qida bazası'!$A$2:$A$103,0))*D1265/100,"?"))</f>
        <v/>
      </c>
    </row>
    <row r="1266">
      <c r="A1266" s="21" t="n"/>
      <c r="E1266" s="18">
        <f>IF(OR(C1266="",D1266=""),"",IFERROR(INDEX('Qida bazası'!$D$2:$D$103,MATCH(C1266,'Qida bazası'!$A$2:$A$103,0))*D1266/100,"?"))</f>
        <v/>
      </c>
      <c r="F1266" s="19">
        <f>IF(OR(C1266="",D1266=""),"",IFERROR(INDEX('Qida bazası'!$E$2:$E$103,MATCH(C1266,'Qida bazası'!$A$2:$A$103,0))*D1266/100,"?"))</f>
        <v/>
      </c>
      <c r="G1266" s="19">
        <f>IF(OR(C1266="",D1266=""),"",IFERROR(INDEX('Qida bazası'!$F$2:$F$103,MATCH(C1266,'Qida bazası'!$A$2:$A$103,0))*D1266/100,"?"))</f>
        <v/>
      </c>
      <c r="H1266" s="19">
        <f>IF(OR(C1266="",D1266=""),"",IFERROR(INDEX('Qida bazası'!$G$2:$G$103,MATCH(C1266,'Qida bazası'!$A$2:$A$103,0))*D1266/100,"?"))</f>
        <v/>
      </c>
    </row>
    <row r="1267">
      <c r="A1267" s="21" t="n"/>
      <c r="E1267" s="18">
        <f>IF(OR(C1267="",D1267=""),"",IFERROR(INDEX('Qida bazası'!$D$2:$D$103,MATCH(C1267,'Qida bazası'!$A$2:$A$103,0))*D1267/100,"?"))</f>
        <v/>
      </c>
      <c r="F1267" s="19">
        <f>IF(OR(C1267="",D1267=""),"",IFERROR(INDEX('Qida bazası'!$E$2:$E$103,MATCH(C1267,'Qida bazası'!$A$2:$A$103,0))*D1267/100,"?"))</f>
        <v/>
      </c>
      <c r="G1267" s="19">
        <f>IF(OR(C1267="",D1267=""),"",IFERROR(INDEX('Qida bazası'!$F$2:$F$103,MATCH(C1267,'Qida bazası'!$A$2:$A$103,0))*D1267/100,"?"))</f>
        <v/>
      </c>
      <c r="H1267" s="19">
        <f>IF(OR(C1267="",D1267=""),"",IFERROR(INDEX('Qida bazası'!$G$2:$G$103,MATCH(C1267,'Qida bazası'!$A$2:$A$103,0))*D1267/100,"?"))</f>
        <v/>
      </c>
    </row>
    <row r="1268">
      <c r="A1268" s="21" t="n"/>
      <c r="E1268" s="18">
        <f>IF(OR(C1268="",D1268=""),"",IFERROR(INDEX('Qida bazası'!$D$2:$D$103,MATCH(C1268,'Qida bazası'!$A$2:$A$103,0))*D1268/100,"?"))</f>
        <v/>
      </c>
      <c r="F1268" s="19">
        <f>IF(OR(C1268="",D1268=""),"",IFERROR(INDEX('Qida bazası'!$E$2:$E$103,MATCH(C1268,'Qida bazası'!$A$2:$A$103,0))*D1268/100,"?"))</f>
        <v/>
      </c>
      <c r="G1268" s="19">
        <f>IF(OR(C1268="",D1268=""),"",IFERROR(INDEX('Qida bazası'!$F$2:$F$103,MATCH(C1268,'Qida bazası'!$A$2:$A$103,0))*D1268/100,"?"))</f>
        <v/>
      </c>
      <c r="H1268" s="19">
        <f>IF(OR(C1268="",D1268=""),"",IFERROR(INDEX('Qida bazası'!$G$2:$G$103,MATCH(C1268,'Qida bazası'!$A$2:$A$103,0))*D1268/100,"?"))</f>
        <v/>
      </c>
    </row>
    <row r="1269">
      <c r="A1269" s="21" t="n"/>
      <c r="E1269" s="18">
        <f>IF(OR(C1269="",D1269=""),"",IFERROR(INDEX('Qida bazası'!$D$2:$D$103,MATCH(C1269,'Qida bazası'!$A$2:$A$103,0))*D1269/100,"?"))</f>
        <v/>
      </c>
      <c r="F1269" s="19">
        <f>IF(OR(C1269="",D1269=""),"",IFERROR(INDEX('Qida bazası'!$E$2:$E$103,MATCH(C1269,'Qida bazası'!$A$2:$A$103,0))*D1269/100,"?"))</f>
        <v/>
      </c>
      <c r="G1269" s="19">
        <f>IF(OR(C1269="",D1269=""),"",IFERROR(INDEX('Qida bazası'!$F$2:$F$103,MATCH(C1269,'Qida bazası'!$A$2:$A$103,0))*D1269/100,"?"))</f>
        <v/>
      </c>
      <c r="H1269" s="19">
        <f>IF(OR(C1269="",D1269=""),"",IFERROR(INDEX('Qida bazası'!$G$2:$G$103,MATCH(C1269,'Qida bazası'!$A$2:$A$103,0))*D1269/100,"?"))</f>
        <v/>
      </c>
    </row>
    <row r="1270">
      <c r="A1270" s="21" t="n"/>
      <c r="E1270" s="18">
        <f>IF(OR(C1270="",D1270=""),"",IFERROR(INDEX('Qida bazası'!$D$2:$D$103,MATCH(C1270,'Qida bazası'!$A$2:$A$103,0))*D1270/100,"?"))</f>
        <v/>
      </c>
      <c r="F1270" s="19">
        <f>IF(OR(C1270="",D1270=""),"",IFERROR(INDEX('Qida bazası'!$E$2:$E$103,MATCH(C1270,'Qida bazası'!$A$2:$A$103,0))*D1270/100,"?"))</f>
        <v/>
      </c>
      <c r="G1270" s="19">
        <f>IF(OR(C1270="",D1270=""),"",IFERROR(INDEX('Qida bazası'!$F$2:$F$103,MATCH(C1270,'Qida bazası'!$A$2:$A$103,0))*D1270/100,"?"))</f>
        <v/>
      </c>
      <c r="H1270" s="19">
        <f>IF(OR(C1270="",D1270=""),"",IFERROR(INDEX('Qida bazası'!$G$2:$G$103,MATCH(C1270,'Qida bazası'!$A$2:$A$103,0))*D1270/100,"?"))</f>
        <v/>
      </c>
    </row>
    <row r="1271">
      <c r="A1271" s="21" t="n"/>
      <c r="E1271" s="18">
        <f>IF(OR(C1271="",D1271=""),"",IFERROR(INDEX('Qida bazası'!$D$2:$D$103,MATCH(C1271,'Qida bazası'!$A$2:$A$103,0))*D1271/100,"?"))</f>
        <v/>
      </c>
      <c r="F1271" s="19">
        <f>IF(OR(C1271="",D1271=""),"",IFERROR(INDEX('Qida bazası'!$E$2:$E$103,MATCH(C1271,'Qida bazası'!$A$2:$A$103,0))*D1271/100,"?"))</f>
        <v/>
      </c>
      <c r="G1271" s="19">
        <f>IF(OR(C1271="",D1271=""),"",IFERROR(INDEX('Qida bazası'!$F$2:$F$103,MATCH(C1271,'Qida bazası'!$A$2:$A$103,0))*D1271/100,"?"))</f>
        <v/>
      </c>
      <c r="H1271" s="19">
        <f>IF(OR(C1271="",D1271=""),"",IFERROR(INDEX('Qida bazası'!$G$2:$G$103,MATCH(C1271,'Qida bazası'!$A$2:$A$103,0))*D1271/100,"?"))</f>
        <v/>
      </c>
    </row>
    <row r="1272">
      <c r="A1272" s="21" t="n"/>
      <c r="E1272" s="18">
        <f>IF(OR(C1272="",D1272=""),"",IFERROR(INDEX('Qida bazası'!$D$2:$D$103,MATCH(C1272,'Qida bazası'!$A$2:$A$103,0))*D1272/100,"?"))</f>
        <v/>
      </c>
      <c r="F1272" s="19">
        <f>IF(OR(C1272="",D1272=""),"",IFERROR(INDEX('Qida bazası'!$E$2:$E$103,MATCH(C1272,'Qida bazası'!$A$2:$A$103,0))*D1272/100,"?"))</f>
        <v/>
      </c>
      <c r="G1272" s="19">
        <f>IF(OR(C1272="",D1272=""),"",IFERROR(INDEX('Qida bazası'!$F$2:$F$103,MATCH(C1272,'Qida bazası'!$A$2:$A$103,0))*D1272/100,"?"))</f>
        <v/>
      </c>
      <c r="H1272" s="19">
        <f>IF(OR(C1272="",D1272=""),"",IFERROR(INDEX('Qida bazası'!$G$2:$G$103,MATCH(C1272,'Qida bazası'!$A$2:$A$103,0))*D1272/100,"?"))</f>
        <v/>
      </c>
    </row>
    <row r="1273">
      <c r="A1273" s="21" t="n"/>
      <c r="E1273" s="18">
        <f>IF(OR(C1273="",D1273=""),"",IFERROR(INDEX('Qida bazası'!$D$2:$D$103,MATCH(C1273,'Qida bazası'!$A$2:$A$103,0))*D1273/100,"?"))</f>
        <v/>
      </c>
      <c r="F1273" s="19">
        <f>IF(OR(C1273="",D1273=""),"",IFERROR(INDEX('Qida bazası'!$E$2:$E$103,MATCH(C1273,'Qida bazası'!$A$2:$A$103,0))*D1273/100,"?"))</f>
        <v/>
      </c>
      <c r="G1273" s="19">
        <f>IF(OR(C1273="",D1273=""),"",IFERROR(INDEX('Qida bazası'!$F$2:$F$103,MATCH(C1273,'Qida bazası'!$A$2:$A$103,0))*D1273/100,"?"))</f>
        <v/>
      </c>
      <c r="H1273" s="19">
        <f>IF(OR(C1273="",D1273=""),"",IFERROR(INDEX('Qida bazası'!$G$2:$G$103,MATCH(C1273,'Qida bazası'!$A$2:$A$103,0))*D1273/100,"?"))</f>
        <v/>
      </c>
    </row>
    <row r="1274">
      <c r="A1274" s="21" t="n"/>
      <c r="E1274" s="18">
        <f>IF(OR(C1274="",D1274=""),"",IFERROR(INDEX('Qida bazası'!$D$2:$D$103,MATCH(C1274,'Qida bazası'!$A$2:$A$103,0))*D1274/100,"?"))</f>
        <v/>
      </c>
      <c r="F1274" s="19">
        <f>IF(OR(C1274="",D1274=""),"",IFERROR(INDEX('Qida bazası'!$E$2:$E$103,MATCH(C1274,'Qida bazası'!$A$2:$A$103,0))*D1274/100,"?"))</f>
        <v/>
      </c>
      <c r="G1274" s="19">
        <f>IF(OR(C1274="",D1274=""),"",IFERROR(INDEX('Qida bazası'!$F$2:$F$103,MATCH(C1274,'Qida bazası'!$A$2:$A$103,0))*D1274/100,"?"))</f>
        <v/>
      </c>
      <c r="H1274" s="19">
        <f>IF(OR(C1274="",D1274=""),"",IFERROR(INDEX('Qida bazası'!$G$2:$G$103,MATCH(C1274,'Qida bazası'!$A$2:$A$103,0))*D1274/100,"?"))</f>
        <v/>
      </c>
    </row>
    <row r="1275">
      <c r="A1275" s="21" t="n"/>
      <c r="E1275" s="18">
        <f>IF(OR(C1275="",D1275=""),"",IFERROR(INDEX('Qida bazası'!$D$2:$D$103,MATCH(C1275,'Qida bazası'!$A$2:$A$103,0))*D1275/100,"?"))</f>
        <v/>
      </c>
      <c r="F1275" s="19">
        <f>IF(OR(C1275="",D1275=""),"",IFERROR(INDEX('Qida bazası'!$E$2:$E$103,MATCH(C1275,'Qida bazası'!$A$2:$A$103,0))*D1275/100,"?"))</f>
        <v/>
      </c>
      <c r="G1275" s="19">
        <f>IF(OR(C1275="",D1275=""),"",IFERROR(INDEX('Qida bazası'!$F$2:$F$103,MATCH(C1275,'Qida bazası'!$A$2:$A$103,0))*D1275/100,"?"))</f>
        <v/>
      </c>
      <c r="H1275" s="19">
        <f>IF(OR(C1275="",D1275=""),"",IFERROR(INDEX('Qida bazası'!$G$2:$G$103,MATCH(C1275,'Qida bazası'!$A$2:$A$103,0))*D1275/100,"?"))</f>
        <v/>
      </c>
    </row>
    <row r="1276">
      <c r="A1276" s="21" t="n"/>
      <c r="E1276" s="18">
        <f>IF(OR(C1276="",D1276=""),"",IFERROR(INDEX('Qida bazası'!$D$2:$D$103,MATCH(C1276,'Qida bazası'!$A$2:$A$103,0))*D1276/100,"?"))</f>
        <v/>
      </c>
      <c r="F1276" s="19">
        <f>IF(OR(C1276="",D1276=""),"",IFERROR(INDEX('Qida bazası'!$E$2:$E$103,MATCH(C1276,'Qida bazası'!$A$2:$A$103,0))*D1276/100,"?"))</f>
        <v/>
      </c>
      <c r="G1276" s="19">
        <f>IF(OR(C1276="",D1276=""),"",IFERROR(INDEX('Qida bazası'!$F$2:$F$103,MATCH(C1276,'Qida bazası'!$A$2:$A$103,0))*D1276/100,"?"))</f>
        <v/>
      </c>
      <c r="H1276" s="19">
        <f>IF(OR(C1276="",D1276=""),"",IFERROR(INDEX('Qida bazası'!$G$2:$G$103,MATCH(C1276,'Qida bazası'!$A$2:$A$103,0))*D1276/100,"?"))</f>
        <v/>
      </c>
    </row>
    <row r="1277">
      <c r="A1277" s="21" t="n"/>
      <c r="E1277" s="18">
        <f>IF(OR(C1277="",D1277=""),"",IFERROR(INDEX('Qida bazası'!$D$2:$D$103,MATCH(C1277,'Qida bazası'!$A$2:$A$103,0))*D1277/100,"?"))</f>
        <v/>
      </c>
      <c r="F1277" s="19">
        <f>IF(OR(C1277="",D1277=""),"",IFERROR(INDEX('Qida bazası'!$E$2:$E$103,MATCH(C1277,'Qida bazası'!$A$2:$A$103,0))*D1277/100,"?"))</f>
        <v/>
      </c>
      <c r="G1277" s="19">
        <f>IF(OR(C1277="",D1277=""),"",IFERROR(INDEX('Qida bazası'!$F$2:$F$103,MATCH(C1277,'Qida bazası'!$A$2:$A$103,0))*D1277/100,"?"))</f>
        <v/>
      </c>
      <c r="H1277" s="19">
        <f>IF(OR(C1277="",D1277=""),"",IFERROR(INDEX('Qida bazası'!$G$2:$G$103,MATCH(C1277,'Qida bazası'!$A$2:$A$103,0))*D1277/100,"?"))</f>
        <v/>
      </c>
    </row>
    <row r="1278">
      <c r="A1278" s="21" t="n"/>
      <c r="E1278" s="18">
        <f>IF(OR(C1278="",D1278=""),"",IFERROR(INDEX('Qida bazası'!$D$2:$D$103,MATCH(C1278,'Qida bazası'!$A$2:$A$103,0))*D1278/100,"?"))</f>
        <v/>
      </c>
      <c r="F1278" s="19">
        <f>IF(OR(C1278="",D1278=""),"",IFERROR(INDEX('Qida bazası'!$E$2:$E$103,MATCH(C1278,'Qida bazası'!$A$2:$A$103,0))*D1278/100,"?"))</f>
        <v/>
      </c>
      <c r="G1278" s="19">
        <f>IF(OR(C1278="",D1278=""),"",IFERROR(INDEX('Qida bazası'!$F$2:$F$103,MATCH(C1278,'Qida bazası'!$A$2:$A$103,0))*D1278/100,"?"))</f>
        <v/>
      </c>
      <c r="H1278" s="19">
        <f>IF(OR(C1278="",D1278=""),"",IFERROR(INDEX('Qida bazası'!$G$2:$G$103,MATCH(C1278,'Qida bazası'!$A$2:$A$103,0))*D1278/100,"?"))</f>
        <v/>
      </c>
    </row>
    <row r="1279">
      <c r="A1279" s="21" t="n"/>
      <c r="E1279" s="18">
        <f>IF(OR(C1279="",D1279=""),"",IFERROR(INDEX('Qida bazası'!$D$2:$D$103,MATCH(C1279,'Qida bazası'!$A$2:$A$103,0))*D1279/100,"?"))</f>
        <v/>
      </c>
      <c r="F1279" s="19">
        <f>IF(OR(C1279="",D1279=""),"",IFERROR(INDEX('Qida bazası'!$E$2:$E$103,MATCH(C1279,'Qida bazası'!$A$2:$A$103,0))*D1279/100,"?"))</f>
        <v/>
      </c>
      <c r="G1279" s="19">
        <f>IF(OR(C1279="",D1279=""),"",IFERROR(INDEX('Qida bazası'!$F$2:$F$103,MATCH(C1279,'Qida bazası'!$A$2:$A$103,0))*D1279/100,"?"))</f>
        <v/>
      </c>
      <c r="H1279" s="19">
        <f>IF(OR(C1279="",D1279=""),"",IFERROR(INDEX('Qida bazası'!$G$2:$G$103,MATCH(C1279,'Qida bazası'!$A$2:$A$103,0))*D1279/100,"?"))</f>
        <v/>
      </c>
    </row>
    <row r="1280">
      <c r="A1280" s="21" t="n"/>
      <c r="E1280" s="18">
        <f>IF(OR(C1280="",D1280=""),"",IFERROR(INDEX('Qida bazası'!$D$2:$D$103,MATCH(C1280,'Qida bazası'!$A$2:$A$103,0))*D1280/100,"?"))</f>
        <v/>
      </c>
      <c r="F1280" s="19">
        <f>IF(OR(C1280="",D1280=""),"",IFERROR(INDEX('Qida bazası'!$E$2:$E$103,MATCH(C1280,'Qida bazası'!$A$2:$A$103,0))*D1280/100,"?"))</f>
        <v/>
      </c>
      <c r="G1280" s="19">
        <f>IF(OR(C1280="",D1280=""),"",IFERROR(INDEX('Qida bazası'!$F$2:$F$103,MATCH(C1280,'Qida bazası'!$A$2:$A$103,0))*D1280/100,"?"))</f>
        <v/>
      </c>
      <c r="H1280" s="19">
        <f>IF(OR(C1280="",D1280=""),"",IFERROR(INDEX('Qida bazası'!$G$2:$G$103,MATCH(C1280,'Qida bazası'!$A$2:$A$103,0))*D1280/100,"?"))</f>
        <v/>
      </c>
    </row>
    <row r="1281">
      <c r="A1281" s="21" t="n"/>
      <c r="E1281" s="18">
        <f>IF(OR(C1281="",D1281=""),"",IFERROR(INDEX('Qida bazası'!$D$2:$D$103,MATCH(C1281,'Qida bazası'!$A$2:$A$103,0))*D1281/100,"?"))</f>
        <v/>
      </c>
      <c r="F1281" s="19">
        <f>IF(OR(C1281="",D1281=""),"",IFERROR(INDEX('Qida bazası'!$E$2:$E$103,MATCH(C1281,'Qida bazası'!$A$2:$A$103,0))*D1281/100,"?"))</f>
        <v/>
      </c>
      <c r="G1281" s="19">
        <f>IF(OR(C1281="",D1281=""),"",IFERROR(INDEX('Qida bazası'!$F$2:$F$103,MATCH(C1281,'Qida bazası'!$A$2:$A$103,0))*D1281/100,"?"))</f>
        <v/>
      </c>
      <c r="H1281" s="19">
        <f>IF(OR(C1281="",D1281=""),"",IFERROR(INDEX('Qida bazası'!$G$2:$G$103,MATCH(C1281,'Qida bazası'!$A$2:$A$103,0))*D1281/100,"?"))</f>
        <v/>
      </c>
    </row>
    <row r="1282">
      <c r="A1282" s="21" t="n"/>
      <c r="E1282" s="18">
        <f>IF(OR(C1282="",D1282=""),"",IFERROR(INDEX('Qida bazası'!$D$2:$D$103,MATCH(C1282,'Qida bazası'!$A$2:$A$103,0))*D1282/100,"?"))</f>
        <v/>
      </c>
      <c r="F1282" s="19">
        <f>IF(OR(C1282="",D1282=""),"",IFERROR(INDEX('Qida bazası'!$E$2:$E$103,MATCH(C1282,'Qida bazası'!$A$2:$A$103,0))*D1282/100,"?"))</f>
        <v/>
      </c>
      <c r="G1282" s="19">
        <f>IF(OR(C1282="",D1282=""),"",IFERROR(INDEX('Qida bazası'!$F$2:$F$103,MATCH(C1282,'Qida bazası'!$A$2:$A$103,0))*D1282/100,"?"))</f>
        <v/>
      </c>
      <c r="H1282" s="19">
        <f>IF(OR(C1282="",D1282=""),"",IFERROR(INDEX('Qida bazası'!$G$2:$G$103,MATCH(C1282,'Qida bazası'!$A$2:$A$103,0))*D1282/100,"?"))</f>
        <v/>
      </c>
    </row>
    <row r="1283">
      <c r="A1283" s="21" t="n"/>
      <c r="E1283" s="18">
        <f>IF(OR(C1283="",D1283=""),"",IFERROR(INDEX('Qida bazası'!$D$2:$D$103,MATCH(C1283,'Qida bazası'!$A$2:$A$103,0))*D1283/100,"?"))</f>
        <v/>
      </c>
      <c r="F1283" s="19">
        <f>IF(OR(C1283="",D1283=""),"",IFERROR(INDEX('Qida bazası'!$E$2:$E$103,MATCH(C1283,'Qida bazası'!$A$2:$A$103,0))*D1283/100,"?"))</f>
        <v/>
      </c>
      <c r="G1283" s="19">
        <f>IF(OR(C1283="",D1283=""),"",IFERROR(INDEX('Qida bazası'!$F$2:$F$103,MATCH(C1283,'Qida bazası'!$A$2:$A$103,0))*D1283/100,"?"))</f>
        <v/>
      </c>
      <c r="H1283" s="19">
        <f>IF(OR(C1283="",D1283=""),"",IFERROR(INDEX('Qida bazası'!$G$2:$G$103,MATCH(C1283,'Qida bazası'!$A$2:$A$103,0))*D1283/100,"?"))</f>
        <v/>
      </c>
    </row>
    <row r="1284">
      <c r="A1284" s="21" t="n"/>
      <c r="E1284" s="18">
        <f>IF(OR(C1284="",D1284=""),"",IFERROR(INDEX('Qida bazası'!$D$2:$D$103,MATCH(C1284,'Qida bazası'!$A$2:$A$103,0))*D1284/100,"?"))</f>
        <v/>
      </c>
      <c r="F1284" s="19">
        <f>IF(OR(C1284="",D1284=""),"",IFERROR(INDEX('Qida bazası'!$E$2:$E$103,MATCH(C1284,'Qida bazası'!$A$2:$A$103,0))*D1284/100,"?"))</f>
        <v/>
      </c>
      <c r="G1284" s="19">
        <f>IF(OR(C1284="",D1284=""),"",IFERROR(INDEX('Qida bazası'!$F$2:$F$103,MATCH(C1284,'Qida bazası'!$A$2:$A$103,0))*D1284/100,"?"))</f>
        <v/>
      </c>
      <c r="H1284" s="19">
        <f>IF(OR(C1284="",D1284=""),"",IFERROR(INDEX('Qida bazası'!$G$2:$G$103,MATCH(C1284,'Qida bazası'!$A$2:$A$103,0))*D1284/100,"?"))</f>
        <v/>
      </c>
    </row>
    <row r="1285">
      <c r="A1285" s="21" t="n"/>
      <c r="E1285" s="18">
        <f>IF(OR(C1285="",D1285=""),"",IFERROR(INDEX('Qida bazası'!$D$2:$D$103,MATCH(C1285,'Qida bazası'!$A$2:$A$103,0))*D1285/100,"?"))</f>
        <v/>
      </c>
      <c r="F1285" s="19">
        <f>IF(OR(C1285="",D1285=""),"",IFERROR(INDEX('Qida bazası'!$E$2:$E$103,MATCH(C1285,'Qida bazası'!$A$2:$A$103,0))*D1285/100,"?"))</f>
        <v/>
      </c>
      <c r="G1285" s="19">
        <f>IF(OR(C1285="",D1285=""),"",IFERROR(INDEX('Qida bazası'!$F$2:$F$103,MATCH(C1285,'Qida bazası'!$A$2:$A$103,0))*D1285/100,"?"))</f>
        <v/>
      </c>
      <c r="H1285" s="19">
        <f>IF(OR(C1285="",D1285=""),"",IFERROR(INDEX('Qida bazası'!$G$2:$G$103,MATCH(C1285,'Qida bazası'!$A$2:$A$103,0))*D1285/100,"?"))</f>
        <v/>
      </c>
    </row>
    <row r="1286">
      <c r="A1286" s="21" t="n"/>
      <c r="E1286" s="18">
        <f>IF(OR(C1286="",D1286=""),"",IFERROR(INDEX('Qida bazası'!$D$2:$D$103,MATCH(C1286,'Qida bazası'!$A$2:$A$103,0))*D1286/100,"?"))</f>
        <v/>
      </c>
      <c r="F1286" s="19">
        <f>IF(OR(C1286="",D1286=""),"",IFERROR(INDEX('Qida bazası'!$E$2:$E$103,MATCH(C1286,'Qida bazası'!$A$2:$A$103,0))*D1286/100,"?"))</f>
        <v/>
      </c>
      <c r="G1286" s="19">
        <f>IF(OR(C1286="",D1286=""),"",IFERROR(INDEX('Qida bazası'!$F$2:$F$103,MATCH(C1286,'Qida bazası'!$A$2:$A$103,0))*D1286/100,"?"))</f>
        <v/>
      </c>
      <c r="H1286" s="19">
        <f>IF(OR(C1286="",D1286=""),"",IFERROR(INDEX('Qida bazası'!$G$2:$G$103,MATCH(C1286,'Qida bazası'!$A$2:$A$103,0))*D1286/100,"?"))</f>
        <v/>
      </c>
    </row>
    <row r="1287">
      <c r="A1287" s="21" t="n"/>
      <c r="E1287" s="18">
        <f>IF(OR(C1287="",D1287=""),"",IFERROR(INDEX('Qida bazası'!$D$2:$D$103,MATCH(C1287,'Qida bazası'!$A$2:$A$103,0))*D1287/100,"?"))</f>
        <v/>
      </c>
      <c r="F1287" s="19">
        <f>IF(OR(C1287="",D1287=""),"",IFERROR(INDEX('Qida bazası'!$E$2:$E$103,MATCH(C1287,'Qida bazası'!$A$2:$A$103,0))*D1287/100,"?"))</f>
        <v/>
      </c>
      <c r="G1287" s="19">
        <f>IF(OR(C1287="",D1287=""),"",IFERROR(INDEX('Qida bazası'!$F$2:$F$103,MATCH(C1287,'Qida bazası'!$A$2:$A$103,0))*D1287/100,"?"))</f>
        <v/>
      </c>
      <c r="H1287" s="19">
        <f>IF(OR(C1287="",D1287=""),"",IFERROR(INDEX('Qida bazası'!$G$2:$G$103,MATCH(C1287,'Qida bazası'!$A$2:$A$103,0))*D1287/100,"?"))</f>
        <v/>
      </c>
    </row>
    <row r="1288">
      <c r="A1288" s="21" t="n"/>
      <c r="E1288" s="18">
        <f>IF(OR(C1288="",D1288=""),"",IFERROR(INDEX('Qida bazası'!$D$2:$D$103,MATCH(C1288,'Qida bazası'!$A$2:$A$103,0))*D1288/100,"?"))</f>
        <v/>
      </c>
      <c r="F1288" s="19">
        <f>IF(OR(C1288="",D1288=""),"",IFERROR(INDEX('Qida bazası'!$E$2:$E$103,MATCH(C1288,'Qida bazası'!$A$2:$A$103,0))*D1288/100,"?"))</f>
        <v/>
      </c>
      <c r="G1288" s="19">
        <f>IF(OR(C1288="",D1288=""),"",IFERROR(INDEX('Qida bazası'!$F$2:$F$103,MATCH(C1288,'Qida bazası'!$A$2:$A$103,0))*D1288/100,"?"))</f>
        <v/>
      </c>
      <c r="H1288" s="19">
        <f>IF(OR(C1288="",D1288=""),"",IFERROR(INDEX('Qida bazası'!$G$2:$G$103,MATCH(C1288,'Qida bazası'!$A$2:$A$103,0))*D1288/100,"?"))</f>
        <v/>
      </c>
    </row>
    <row r="1289">
      <c r="A1289" s="21" t="n"/>
      <c r="E1289" s="18">
        <f>IF(OR(C1289="",D1289=""),"",IFERROR(INDEX('Qida bazası'!$D$2:$D$103,MATCH(C1289,'Qida bazası'!$A$2:$A$103,0))*D1289/100,"?"))</f>
        <v/>
      </c>
      <c r="F1289" s="19">
        <f>IF(OR(C1289="",D1289=""),"",IFERROR(INDEX('Qida bazası'!$E$2:$E$103,MATCH(C1289,'Qida bazası'!$A$2:$A$103,0))*D1289/100,"?"))</f>
        <v/>
      </c>
      <c r="G1289" s="19">
        <f>IF(OR(C1289="",D1289=""),"",IFERROR(INDEX('Qida bazası'!$F$2:$F$103,MATCH(C1289,'Qida bazası'!$A$2:$A$103,0))*D1289/100,"?"))</f>
        <v/>
      </c>
      <c r="H1289" s="19">
        <f>IF(OR(C1289="",D1289=""),"",IFERROR(INDEX('Qida bazası'!$G$2:$G$103,MATCH(C1289,'Qida bazası'!$A$2:$A$103,0))*D1289/100,"?"))</f>
        <v/>
      </c>
    </row>
    <row r="1290">
      <c r="A1290" s="21" t="n"/>
      <c r="E1290" s="18">
        <f>IF(OR(C1290="",D1290=""),"",IFERROR(INDEX('Qida bazası'!$D$2:$D$103,MATCH(C1290,'Qida bazası'!$A$2:$A$103,0))*D1290/100,"?"))</f>
        <v/>
      </c>
      <c r="F1290" s="19">
        <f>IF(OR(C1290="",D1290=""),"",IFERROR(INDEX('Qida bazası'!$E$2:$E$103,MATCH(C1290,'Qida bazası'!$A$2:$A$103,0))*D1290/100,"?"))</f>
        <v/>
      </c>
      <c r="G1290" s="19">
        <f>IF(OR(C1290="",D1290=""),"",IFERROR(INDEX('Qida bazası'!$F$2:$F$103,MATCH(C1290,'Qida bazası'!$A$2:$A$103,0))*D1290/100,"?"))</f>
        <v/>
      </c>
      <c r="H1290" s="19">
        <f>IF(OR(C1290="",D1290=""),"",IFERROR(INDEX('Qida bazası'!$G$2:$G$103,MATCH(C1290,'Qida bazası'!$A$2:$A$103,0))*D1290/100,"?"))</f>
        <v/>
      </c>
    </row>
    <row r="1291">
      <c r="A1291" s="21" t="n"/>
      <c r="E1291" s="18">
        <f>IF(OR(C1291="",D1291=""),"",IFERROR(INDEX('Qida bazası'!$D$2:$D$103,MATCH(C1291,'Qida bazası'!$A$2:$A$103,0))*D1291/100,"?"))</f>
        <v/>
      </c>
      <c r="F1291" s="19">
        <f>IF(OR(C1291="",D1291=""),"",IFERROR(INDEX('Qida bazası'!$E$2:$E$103,MATCH(C1291,'Qida bazası'!$A$2:$A$103,0))*D1291/100,"?"))</f>
        <v/>
      </c>
      <c r="G1291" s="19">
        <f>IF(OR(C1291="",D1291=""),"",IFERROR(INDEX('Qida bazası'!$F$2:$F$103,MATCH(C1291,'Qida bazası'!$A$2:$A$103,0))*D1291/100,"?"))</f>
        <v/>
      </c>
      <c r="H1291" s="19">
        <f>IF(OR(C1291="",D1291=""),"",IFERROR(INDEX('Qida bazası'!$G$2:$G$103,MATCH(C1291,'Qida bazası'!$A$2:$A$103,0))*D1291/100,"?"))</f>
        <v/>
      </c>
    </row>
    <row r="1292">
      <c r="A1292" s="21" t="n"/>
      <c r="E1292" s="18">
        <f>IF(OR(C1292="",D1292=""),"",IFERROR(INDEX('Qida bazası'!$D$2:$D$103,MATCH(C1292,'Qida bazası'!$A$2:$A$103,0))*D1292/100,"?"))</f>
        <v/>
      </c>
      <c r="F1292" s="19">
        <f>IF(OR(C1292="",D1292=""),"",IFERROR(INDEX('Qida bazası'!$E$2:$E$103,MATCH(C1292,'Qida bazası'!$A$2:$A$103,0))*D1292/100,"?"))</f>
        <v/>
      </c>
      <c r="G1292" s="19">
        <f>IF(OR(C1292="",D1292=""),"",IFERROR(INDEX('Qida bazası'!$F$2:$F$103,MATCH(C1292,'Qida bazası'!$A$2:$A$103,0))*D1292/100,"?"))</f>
        <v/>
      </c>
      <c r="H1292" s="19">
        <f>IF(OR(C1292="",D1292=""),"",IFERROR(INDEX('Qida bazası'!$G$2:$G$103,MATCH(C1292,'Qida bazası'!$A$2:$A$103,0))*D1292/100,"?"))</f>
        <v/>
      </c>
    </row>
    <row r="1293">
      <c r="A1293" s="21" t="n"/>
      <c r="E1293" s="18">
        <f>IF(OR(C1293="",D1293=""),"",IFERROR(INDEX('Qida bazası'!$D$2:$D$103,MATCH(C1293,'Qida bazası'!$A$2:$A$103,0))*D1293/100,"?"))</f>
        <v/>
      </c>
      <c r="F1293" s="19">
        <f>IF(OR(C1293="",D1293=""),"",IFERROR(INDEX('Qida bazası'!$E$2:$E$103,MATCH(C1293,'Qida bazası'!$A$2:$A$103,0))*D1293/100,"?"))</f>
        <v/>
      </c>
      <c r="G1293" s="19">
        <f>IF(OR(C1293="",D1293=""),"",IFERROR(INDEX('Qida bazası'!$F$2:$F$103,MATCH(C1293,'Qida bazası'!$A$2:$A$103,0))*D1293/100,"?"))</f>
        <v/>
      </c>
      <c r="H1293" s="19">
        <f>IF(OR(C1293="",D1293=""),"",IFERROR(INDEX('Qida bazası'!$G$2:$G$103,MATCH(C1293,'Qida bazası'!$A$2:$A$103,0))*D1293/100,"?"))</f>
        <v/>
      </c>
    </row>
    <row r="1294">
      <c r="A1294" s="21" t="n"/>
      <c r="E1294" s="18">
        <f>IF(OR(C1294="",D1294=""),"",IFERROR(INDEX('Qida bazası'!$D$2:$D$103,MATCH(C1294,'Qida bazası'!$A$2:$A$103,0))*D1294/100,"?"))</f>
        <v/>
      </c>
      <c r="F1294" s="19">
        <f>IF(OR(C1294="",D1294=""),"",IFERROR(INDEX('Qida bazası'!$E$2:$E$103,MATCH(C1294,'Qida bazası'!$A$2:$A$103,0))*D1294/100,"?"))</f>
        <v/>
      </c>
      <c r="G1294" s="19">
        <f>IF(OR(C1294="",D1294=""),"",IFERROR(INDEX('Qida bazası'!$F$2:$F$103,MATCH(C1294,'Qida bazası'!$A$2:$A$103,0))*D1294/100,"?"))</f>
        <v/>
      </c>
      <c r="H1294" s="19">
        <f>IF(OR(C1294="",D1294=""),"",IFERROR(INDEX('Qida bazası'!$G$2:$G$103,MATCH(C1294,'Qida bazası'!$A$2:$A$103,0))*D1294/100,"?"))</f>
        <v/>
      </c>
    </row>
    <row r="1295">
      <c r="A1295" s="21" t="n"/>
      <c r="E1295" s="18">
        <f>IF(OR(C1295="",D1295=""),"",IFERROR(INDEX('Qida bazası'!$D$2:$D$103,MATCH(C1295,'Qida bazası'!$A$2:$A$103,0))*D1295/100,"?"))</f>
        <v/>
      </c>
      <c r="F1295" s="19">
        <f>IF(OR(C1295="",D1295=""),"",IFERROR(INDEX('Qida bazası'!$E$2:$E$103,MATCH(C1295,'Qida bazası'!$A$2:$A$103,0))*D1295/100,"?"))</f>
        <v/>
      </c>
      <c r="G1295" s="19">
        <f>IF(OR(C1295="",D1295=""),"",IFERROR(INDEX('Qida bazası'!$F$2:$F$103,MATCH(C1295,'Qida bazası'!$A$2:$A$103,0))*D1295/100,"?"))</f>
        <v/>
      </c>
      <c r="H1295" s="19">
        <f>IF(OR(C1295="",D1295=""),"",IFERROR(INDEX('Qida bazası'!$G$2:$G$103,MATCH(C1295,'Qida bazası'!$A$2:$A$103,0))*D1295/100,"?"))</f>
        <v/>
      </c>
    </row>
    <row r="1296">
      <c r="A1296" s="21" t="n"/>
      <c r="E1296" s="18">
        <f>IF(OR(C1296="",D1296=""),"",IFERROR(INDEX('Qida bazası'!$D$2:$D$103,MATCH(C1296,'Qida bazası'!$A$2:$A$103,0))*D1296/100,"?"))</f>
        <v/>
      </c>
      <c r="F1296" s="19">
        <f>IF(OR(C1296="",D1296=""),"",IFERROR(INDEX('Qida bazası'!$E$2:$E$103,MATCH(C1296,'Qida bazası'!$A$2:$A$103,0))*D1296/100,"?"))</f>
        <v/>
      </c>
      <c r="G1296" s="19">
        <f>IF(OR(C1296="",D1296=""),"",IFERROR(INDEX('Qida bazası'!$F$2:$F$103,MATCH(C1296,'Qida bazası'!$A$2:$A$103,0))*D1296/100,"?"))</f>
        <v/>
      </c>
      <c r="H1296" s="19">
        <f>IF(OR(C1296="",D1296=""),"",IFERROR(INDEX('Qida bazası'!$G$2:$G$103,MATCH(C1296,'Qida bazası'!$A$2:$A$103,0))*D1296/100,"?"))</f>
        <v/>
      </c>
    </row>
    <row r="1297">
      <c r="A1297" s="21" t="n"/>
      <c r="E1297" s="18">
        <f>IF(OR(C1297="",D1297=""),"",IFERROR(INDEX('Qida bazası'!$D$2:$D$103,MATCH(C1297,'Qida bazası'!$A$2:$A$103,0))*D1297/100,"?"))</f>
        <v/>
      </c>
      <c r="F1297" s="19">
        <f>IF(OR(C1297="",D1297=""),"",IFERROR(INDEX('Qida bazası'!$E$2:$E$103,MATCH(C1297,'Qida bazası'!$A$2:$A$103,0))*D1297/100,"?"))</f>
        <v/>
      </c>
      <c r="G1297" s="19">
        <f>IF(OR(C1297="",D1297=""),"",IFERROR(INDEX('Qida bazası'!$F$2:$F$103,MATCH(C1297,'Qida bazası'!$A$2:$A$103,0))*D1297/100,"?"))</f>
        <v/>
      </c>
      <c r="H1297" s="19">
        <f>IF(OR(C1297="",D1297=""),"",IFERROR(INDEX('Qida bazası'!$G$2:$G$103,MATCH(C1297,'Qida bazası'!$A$2:$A$103,0))*D1297/100,"?"))</f>
        <v/>
      </c>
    </row>
    <row r="1298">
      <c r="A1298" s="21" t="n"/>
      <c r="E1298" s="18">
        <f>IF(OR(C1298="",D1298=""),"",IFERROR(INDEX('Qida bazası'!$D$2:$D$103,MATCH(C1298,'Qida bazası'!$A$2:$A$103,0))*D1298/100,"?"))</f>
        <v/>
      </c>
      <c r="F1298" s="19">
        <f>IF(OR(C1298="",D1298=""),"",IFERROR(INDEX('Qida bazası'!$E$2:$E$103,MATCH(C1298,'Qida bazası'!$A$2:$A$103,0))*D1298/100,"?"))</f>
        <v/>
      </c>
      <c r="G1298" s="19">
        <f>IF(OR(C1298="",D1298=""),"",IFERROR(INDEX('Qida bazası'!$F$2:$F$103,MATCH(C1298,'Qida bazası'!$A$2:$A$103,0))*D1298/100,"?"))</f>
        <v/>
      </c>
      <c r="H1298" s="19">
        <f>IF(OR(C1298="",D1298=""),"",IFERROR(INDEX('Qida bazası'!$G$2:$G$103,MATCH(C1298,'Qida bazası'!$A$2:$A$103,0))*D1298/100,"?"))</f>
        <v/>
      </c>
    </row>
    <row r="1299">
      <c r="A1299" s="21" t="n"/>
      <c r="E1299" s="18">
        <f>IF(OR(C1299="",D1299=""),"",IFERROR(INDEX('Qida bazası'!$D$2:$D$103,MATCH(C1299,'Qida bazası'!$A$2:$A$103,0))*D1299/100,"?"))</f>
        <v/>
      </c>
      <c r="F1299" s="19">
        <f>IF(OR(C1299="",D1299=""),"",IFERROR(INDEX('Qida bazası'!$E$2:$E$103,MATCH(C1299,'Qida bazası'!$A$2:$A$103,0))*D1299/100,"?"))</f>
        <v/>
      </c>
      <c r="G1299" s="19">
        <f>IF(OR(C1299="",D1299=""),"",IFERROR(INDEX('Qida bazası'!$F$2:$F$103,MATCH(C1299,'Qida bazası'!$A$2:$A$103,0))*D1299/100,"?"))</f>
        <v/>
      </c>
      <c r="H1299" s="19">
        <f>IF(OR(C1299="",D1299=""),"",IFERROR(INDEX('Qida bazası'!$G$2:$G$103,MATCH(C1299,'Qida bazası'!$A$2:$A$103,0))*D1299/100,"?"))</f>
        <v/>
      </c>
    </row>
    <row r="1300">
      <c r="A1300" s="21" t="n"/>
      <c r="E1300" s="18">
        <f>IF(OR(C1300="",D1300=""),"",IFERROR(INDEX('Qida bazası'!$D$2:$D$103,MATCH(C1300,'Qida bazası'!$A$2:$A$103,0))*D1300/100,"?"))</f>
        <v/>
      </c>
      <c r="F1300" s="19">
        <f>IF(OR(C1300="",D1300=""),"",IFERROR(INDEX('Qida bazası'!$E$2:$E$103,MATCH(C1300,'Qida bazası'!$A$2:$A$103,0))*D1300/100,"?"))</f>
        <v/>
      </c>
      <c r="G1300" s="19">
        <f>IF(OR(C1300="",D1300=""),"",IFERROR(INDEX('Qida bazası'!$F$2:$F$103,MATCH(C1300,'Qida bazası'!$A$2:$A$103,0))*D1300/100,"?"))</f>
        <v/>
      </c>
      <c r="H1300" s="19">
        <f>IF(OR(C1300="",D1300=""),"",IFERROR(INDEX('Qida bazası'!$G$2:$G$103,MATCH(C1300,'Qida bazası'!$A$2:$A$103,0))*D1300/100,"?"))</f>
        <v/>
      </c>
    </row>
    <row r="1301">
      <c r="A1301" s="21" t="n"/>
      <c r="E1301" s="18">
        <f>IF(OR(C1301="",D1301=""),"",IFERROR(INDEX('Qida bazası'!$D$2:$D$103,MATCH(C1301,'Qida bazası'!$A$2:$A$103,0))*D1301/100,"?"))</f>
        <v/>
      </c>
      <c r="F1301" s="19">
        <f>IF(OR(C1301="",D1301=""),"",IFERROR(INDEX('Qida bazası'!$E$2:$E$103,MATCH(C1301,'Qida bazası'!$A$2:$A$103,0))*D1301/100,"?"))</f>
        <v/>
      </c>
      <c r="G1301" s="19">
        <f>IF(OR(C1301="",D1301=""),"",IFERROR(INDEX('Qida bazası'!$F$2:$F$103,MATCH(C1301,'Qida bazası'!$A$2:$A$103,0))*D1301/100,"?"))</f>
        <v/>
      </c>
      <c r="H1301" s="19">
        <f>IF(OR(C1301="",D1301=""),"",IFERROR(INDEX('Qida bazası'!$G$2:$G$103,MATCH(C1301,'Qida bazası'!$A$2:$A$103,0))*D1301/100,"?"))</f>
        <v/>
      </c>
    </row>
    <row r="1302">
      <c r="A1302" s="21" t="n"/>
      <c r="E1302" s="18">
        <f>IF(OR(C1302="",D1302=""),"",IFERROR(INDEX('Qida bazası'!$D$2:$D$103,MATCH(C1302,'Qida bazası'!$A$2:$A$103,0))*D1302/100,"?"))</f>
        <v/>
      </c>
      <c r="F1302" s="19">
        <f>IF(OR(C1302="",D1302=""),"",IFERROR(INDEX('Qida bazası'!$E$2:$E$103,MATCH(C1302,'Qida bazası'!$A$2:$A$103,0))*D1302/100,"?"))</f>
        <v/>
      </c>
      <c r="G1302" s="19">
        <f>IF(OR(C1302="",D1302=""),"",IFERROR(INDEX('Qida bazası'!$F$2:$F$103,MATCH(C1302,'Qida bazası'!$A$2:$A$103,0))*D1302/100,"?"))</f>
        <v/>
      </c>
      <c r="H1302" s="19">
        <f>IF(OR(C1302="",D1302=""),"",IFERROR(INDEX('Qida bazası'!$G$2:$G$103,MATCH(C1302,'Qida bazası'!$A$2:$A$103,0))*D1302/100,"?"))</f>
        <v/>
      </c>
    </row>
    <row r="1303">
      <c r="A1303" s="21" t="n"/>
      <c r="E1303" s="18">
        <f>IF(OR(C1303="",D1303=""),"",IFERROR(INDEX('Qida bazası'!$D$2:$D$103,MATCH(C1303,'Qida bazası'!$A$2:$A$103,0))*D1303/100,"?"))</f>
        <v/>
      </c>
      <c r="F1303" s="19">
        <f>IF(OR(C1303="",D1303=""),"",IFERROR(INDEX('Qida bazası'!$E$2:$E$103,MATCH(C1303,'Qida bazası'!$A$2:$A$103,0))*D1303/100,"?"))</f>
        <v/>
      </c>
      <c r="G1303" s="19">
        <f>IF(OR(C1303="",D1303=""),"",IFERROR(INDEX('Qida bazası'!$F$2:$F$103,MATCH(C1303,'Qida bazası'!$A$2:$A$103,0))*D1303/100,"?"))</f>
        <v/>
      </c>
      <c r="H1303" s="19">
        <f>IF(OR(C1303="",D1303=""),"",IFERROR(INDEX('Qida bazası'!$G$2:$G$103,MATCH(C1303,'Qida bazası'!$A$2:$A$103,0))*D1303/100,"?"))</f>
        <v/>
      </c>
    </row>
    <row r="1304">
      <c r="A1304" s="21" t="n"/>
      <c r="E1304" s="18">
        <f>IF(OR(C1304="",D1304=""),"",IFERROR(INDEX('Qida bazası'!$D$2:$D$103,MATCH(C1304,'Qida bazası'!$A$2:$A$103,0))*D1304/100,"?"))</f>
        <v/>
      </c>
      <c r="F1304" s="19">
        <f>IF(OR(C1304="",D1304=""),"",IFERROR(INDEX('Qida bazası'!$E$2:$E$103,MATCH(C1304,'Qida bazası'!$A$2:$A$103,0))*D1304/100,"?"))</f>
        <v/>
      </c>
      <c r="G1304" s="19">
        <f>IF(OR(C1304="",D1304=""),"",IFERROR(INDEX('Qida bazası'!$F$2:$F$103,MATCH(C1304,'Qida bazası'!$A$2:$A$103,0))*D1304/100,"?"))</f>
        <v/>
      </c>
      <c r="H1304" s="19">
        <f>IF(OR(C1304="",D1304=""),"",IFERROR(INDEX('Qida bazası'!$G$2:$G$103,MATCH(C1304,'Qida bazası'!$A$2:$A$103,0))*D1304/100,"?"))</f>
        <v/>
      </c>
    </row>
    <row r="1305">
      <c r="A1305" s="21" t="n"/>
      <c r="E1305" s="18">
        <f>IF(OR(C1305="",D1305=""),"",IFERROR(INDEX('Qida bazası'!$D$2:$D$103,MATCH(C1305,'Qida bazası'!$A$2:$A$103,0))*D1305/100,"?"))</f>
        <v/>
      </c>
      <c r="F1305" s="19">
        <f>IF(OR(C1305="",D1305=""),"",IFERROR(INDEX('Qida bazası'!$E$2:$E$103,MATCH(C1305,'Qida bazası'!$A$2:$A$103,0))*D1305/100,"?"))</f>
        <v/>
      </c>
      <c r="G1305" s="19">
        <f>IF(OR(C1305="",D1305=""),"",IFERROR(INDEX('Qida bazası'!$F$2:$F$103,MATCH(C1305,'Qida bazası'!$A$2:$A$103,0))*D1305/100,"?"))</f>
        <v/>
      </c>
      <c r="H1305" s="19">
        <f>IF(OR(C1305="",D1305=""),"",IFERROR(INDEX('Qida bazası'!$G$2:$G$103,MATCH(C1305,'Qida bazası'!$A$2:$A$103,0))*D1305/100,"?"))</f>
        <v/>
      </c>
    </row>
    <row r="1306">
      <c r="A1306" s="21" t="n"/>
      <c r="E1306" s="18">
        <f>IF(OR(C1306="",D1306=""),"",IFERROR(INDEX('Qida bazası'!$D$2:$D$103,MATCH(C1306,'Qida bazası'!$A$2:$A$103,0))*D1306/100,"?"))</f>
        <v/>
      </c>
      <c r="F1306" s="19">
        <f>IF(OR(C1306="",D1306=""),"",IFERROR(INDEX('Qida bazası'!$E$2:$E$103,MATCH(C1306,'Qida bazası'!$A$2:$A$103,0))*D1306/100,"?"))</f>
        <v/>
      </c>
      <c r="G1306" s="19">
        <f>IF(OR(C1306="",D1306=""),"",IFERROR(INDEX('Qida bazası'!$F$2:$F$103,MATCH(C1306,'Qida bazası'!$A$2:$A$103,0))*D1306/100,"?"))</f>
        <v/>
      </c>
      <c r="H1306" s="19">
        <f>IF(OR(C1306="",D1306=""),"",IFERROR(INDEX('Qida bazası'!$G$2:$G$103,MATCH(C1306,'Qida bazası'!$A$2:$A$103,0))*D1306/100,"?"))</f>
        <v/>
      </c>
    </row>
    <row r="1307">
      <c r="A1307" s="21" t="n"/>
      <c r="E1307" s="18">
        <f>IF(OR(C1307="",D1307=""),"",IFERROR(INDEX('Qida bazası'!$D$2:$D$103,MATCH(C1307,'Qida bazası'!$A$2:$A$103,0))*D1307/100,"?"))</f>
        <v/>
      </c>
      <c r="F1307" s="19">
        <f>IF(OR(C1307="",D1307=""),"",IFERROR(INDEX('Qida bazası'!$E$2:$E$103,MATCH(C1307,'Qida bazası'!$A$2:$A$103,0))*D1307/100,"?"))</f>
        <v/>
      </c>
      <c r="G1307" s="19">
        <f>IF(OR(C1307="",D1307=""),"",IFERROR(INDEX('Qida bazası'!$F$2:$F$103,MATCH(C1307,'Qida bazası'!$A$2:$A$103,0))*D1307/100,"?"))</f>
        <v/>
      </c>
      <c r="H1307" s="19">
        <f>IF(OR(C1307="",D1307=""),"",IFERROR(INDEX('Qida bazası'!$G$2:$G$103,MATCH(C1307,'Qida bazası'!$A$2:$A$103,0))*D1307/100,"?"))</f>
        <v/>
      </c>
    </row>
    <row r="1308">
      <c r="A1308" s="21" t="n"/>
      <c r="E1308" s="18">
        <f>IF(OR(C1308="",D1308=""),"",IFERROR(INDEX('Qida bazası'!$D$2:$D$103,MATCH(C1308,'Qida bazası'!$A$2:$A$103,0))*D1308/100,"?"))</f>
        <v/>
      </c>
      <c r="F1308" s="19">
        <f>IF(OR(C1308="",D1308=""),"",IFERROR(INDEX('Qida bazası'!$E$2:$E$103,MATCH(C1308,'Qida bazası'!$A$2:$A$103,0))*D1308/100,"?"))</f>
        <v/>
      </c>
      <c r="G1308" s="19">
        <f>IF(OR(C1308="",D1308=""),"",IFERROR(INDEX('Qida bazası'!$F$2:$F$103,MATCH(C1308,'Qida bazası'!$A$2:$A$103,0))*D1308/100,"?"))</f>
        <v/>
      </c>
      <c r="H1308" s="19">
        <f>IF(OR(C1308="",D1308=""),"",IFERROR(INDEX('Qida bazası'!$G$2:$G$103,MATCH(C1308,'Qida bazası'!$A$2:$A$103,0))*D1308/100,"?"))</f>
        <v/>
      </c>
    </row>
    <row r="1309">
      <c r="A1309" s="21" t="n"/>
      <c r="E1309" s="18">
        <f>IF(OR(C1309="",D1309=""),"",IFERROR(INDEX('Qida bazası'!$D$2:$D$103,MATCH(C1309,'Qida bazası'!$A$2:$A$103,0))*D1309/100,"?"))</f>
        <v/>
      </c>
      <c r="F1309" s="19">
        <f>IF(OR(C1309="",D1309=""),"",IFERROR(INDEX('Qida bazası'!$E$2:$E$103,MATCH(C1309,'Qida bazası'!$A$2:$A$103,0))*D1309/100,"?"))</f>
        <v/>
      </c>
      <c r="G1309" s="19">
        <f>IF(OR(C1309="",D1309=""),"",IFERROR(INDEX('Qida bazası'!$F$2:$F$103,MATCH(C1309,'Qida bazası'!$A$2:$A$103,0))*D1309/100,"?"))</f>
        <v/>
      </c>
      <c r="H1309" s="19">
        <f>IF(OR(C1309="",D1309=""),"",IFERROR(INDEX('Qida bazası'!$G$2:$G$103,MATCH(C1309,'Qida bazası'!$A$2:$A$103,0))*D1309/100,"?"))</f>
        <v/>
      </c>
    </row>
    <row r="1310">
      <c r="A1310" s="21" t="n"/>
      <c r="E1310" s="18">
        <f>IF(OR(C1310="",D1310=""),"",IFERROR(INDEX('Qida bazası'!$D$2:$D$103,MATCH(C1310,'Qida bazası'!$A$2:$A$103,0))*D1310/100,"?"))</f>
        <v/>
      </c>
      <c r="F1310" s="19">
        <f>IF(OR(C1310="",D1310=""),"",IFERROR(INDEX('Qida bazası'!$E$2:$E$103,MATCH(C1310,'Qida bazası'!$A$2:$A$103,0))*D1310/100,"?"))</f>
        <v/>
      </c>
      <c r="G1310" s="19">
        <f>IF(OR(C1310="",D1310=""),"",IFERROR(INDEX('Qida bazası'!$F$2:$F$103,MATCH(C1310,'Qida bazası'!$A$2:$A$103,0))*D1310/100,"?"))</f>
        <v/>
      </c>
      <c r="H1310" s="19">
        <f>IF(OR(C1310="",D1310=""),"",IFERROR(INDEX('Qida bazası'!$G$2:$G$103,MATCH(C1310,'Qida bazası'!$A$2:$A$103,0))*D1310/100,"?"))</f>
        <v/>
      </c>
    </row>
    <row r="1311">
      <c r="A1311" s="21" t="n"/>
      <c r="E1311" s="18">
        <f>IF(OR(C1311="",D1311=""),"",IFERROR(INDEX('Qida bazası'!$D$2:$D$103,MATCH(C1311,'Qida bazası'!$A$2:$A$103,0))*D1311/100,"?"))</f>
        <v/>
      </c>
      <c r="F1311" s="19">
        <f>IF(OR(C1311="",D1311=""),"",IFERROR(INDEX('Qida bazası'!$E$2:$E$103,MATCH(C1311,'Qida bazası'!$A$2:$A$103,0))*D1311/100,"?"))</f>
        <v/>
      </c>
      <c r="G1311" s="19">
        <f>IF(OR(C1311="",D1311=""),"",IFERROR(INDEX('Qida bazası'!$F$2:$F$103,MATCH(C1311,'Qida bazası'!$A$2:$A$103,0))*D1311/100,"?"))</f>
        <v/>
      </c>
      <c r="H1311" s="19">
        <f>IF(OR(C1311="",D1311=""),"",IFERROR(INDEX('Qida bazası'!$G$2:$G$103,MATCH(C1311,'Qida bazası'!$A$2:$A$103,0))*D1311/100,"?"))</f>
        <v/>
      </c>
    </row>
    <row r="1312">
      <c r="A1312" s="21" t="n"/>
      <c r="E1312" s="18">
        <f>IF(OR(C1312="",D1312=""),"",IFERROR(INDEX('Qida bazası'!$D$2:$D$103,MATCH(C1312,'Qida bazası'!$A$2:$A$103,0))*D1312/100,"?"))</f>
        <v/>
      </c>
      <c r="F1312" s="19">
        <f>IF(OR(C1312="",D1312=""),"",IFERROR(INDEX('Qida bazası'!$E$2:$E$103,MATCH(C1312,'Qida bazası'!$A$2:$A$103,0))*D1312/100,"?"))</f>
        <v/>
      </c>
      <c r="G1312" s="19">
        <f>IF(OR(C1312="",D1312=""),"",IFERROR(INDEX('Qida bazası'!$F$2:$F$103,MATCH(C1312,'Qida bazası'!$A$2:$A$103,0))*D1312/100,"?"))</f>
        <v/>
      </c>
      <c r="H1312" s="19">
        <f>IF(OR(C1312="",D1312=""),"",IFERROR(INDEX('Qida bazası'!$G$2:$G$103,MATCH(C1312,'Qida bazası'!$A$2:$A$103,0))*D1312/100,"?"))</f>
        <v/>
      </c>
    </row>
    <row r="1313">
      <c r="A1313" s="21" t="n"/>
      <c r="E1313" s="18">
        <f>IF(OR(C1313="",D1313=""),"",IFERROR(INDEX('Qida bazası'!$D$2:$D$103,MATCH(C1313,'Qida bazası'!$A$2:$A$103,0))*D1313/100,"?"))</f>
        <v/>
      </c>
      <c r="F1313" s="19">
        <f>IF(OR(C1313="",D1313=""),"",IFERROR(INDEX('Qida bazası'!$E$2:$E$103,MATCH(C1313,'Qida bazası'!$A$2:$A$103,0))*D1313/100,"?"))</f>
        <v/>
      </c>
      <c r="G1313" s="19">
        <f>IF(OR(C1313="",D1313=""),"",IFERROR(INDEX('Qida bazası'!$F$2:$F$103,MATCH(C1313,'Qida bazası'!$A$2:$A$103,0))*D1313/100,"?"))</f>
        <v/>
      </c>
      <c r="H1313" s="19">
        <f>IF(OR(C1313="",D1313=""),"",IFERROR(INDEX('Qida bazası'!$G$2:$G$103,MATCH(C1313,'Qida bazası'!$A$2:$A$103,0))*D1313/100,"?"))</f>
        <v/>
      </c>
    </row>
    <row r="1314">
      <c r="A1314" s="21" t="n"/>
      <c r="E1314" s="18">
        <f>IF(OR(C1314="",D1314=""),"",IFERROR(INDEX('Qida bazası'!$D$2:$D$103,MATCH(C1314,'Qida bazası'!$A$2:$A$103,0))*D1314/100,"?"))</f>
        <v/>
      </c>
      <c r="F1314" s="19">
        <f>IF(OR(C1314="",D1314=""),"",IFERROR(INDEX('Qida bazası'!$E$2:$E$103,MATCH(C1314,'Qida bazası'!$A$2:$A$103,0))*D1314/100,"?"))</f>
        <v/>
      </c>
      <c r="G1314" s="19">
        <f>IF(OR(C1314="",D1314=""),"",IFERROR(INDEX('Qida bazası'!$F$2:$F$103,MATCH(C1314,'Qida bazası'!$A$2:$A$103,0))*D1314/100,"?"))</f>
        <v/>
      </c>
      <c r="H1314" s="19">
        <f>IF(OR(C1314="",D1314=""),"",IFERROR(INDEX('Qida bazası'!$G$2:$G$103,MATCH(C1314,'Qida bazası'!$A$2:$A$103,0))*D1314/100,"?"))</f>
        <v/>
      </c>
    </row>
    <row r="1315">
      <c r="A1315" s="21" t="n"/>
      <c r="E1315" s="18">
        <f>IF(OR(C1315="",D1315=""),"",IFERROR(INDEX('Qida bazası'!$D$2:$D$103,MATCH(C1315,'Qida bazası'!$A$2:$A$103,0))*D1315/100,"?"))</f>
        <v/>
      </c>
      <c r="F1315" s="19">
        <f>IF(OR(C1315="",D1315=""),"",IFERROR(INDEX('Qida bazası'!$E$2:$E$103,MATCH(C1315,'Qida bazası'!$A$2:$A$103,0))*D1315/100,"?"))</f>
        <v/>
      </c>
      <c r="G1315" s="19">
        <f>IF(OR(C1315="",D1315=""),"",IFERROR(INDEX('Qida bazası'!$F$2:$F$103,MATCH(C1315,'Qida bazası'!$A$2:$A$103,0))*D1315/100,"?"))</f>
        <v/>
      </c>
      <c r="H1315" s="19">
        <f>IF(OR(C1315="",D1315=""),"",IFERROR(INDEX('Qida bazası'!$G$2:$G$103,MATCH(C1315,'Qida bazası'!$A$2:$A$103,0))*D1315/100,"?"))</f>
        <v/>
      </c>
    </row>
    <row r="1316">
      <c r="A1316" s="21" t="n"/>
      <c r="E1316" s="18">
        <f>IF(OR(C1316="",D1316=""),"",IFERROR(INDEX('Qida bazası'!$D$2:$D$103,MATCH(C1316,'Qida bazası'!$A$2:$A$103,0))*D1316/100,"?"))</f>
        <v/>
      </c>
      <c r="F1316" s="19">
        <f>IF(OR(C1316="",D1316=""),"",IFERROR(INDEX('Qida bazası'!$E$2:$E$103,MATCH(C1316,'Qida bazası'!$A$2:$A$103,0))*D1316/100,"?"))</f>
        <v/>
      </c>
      <c r="G1316" s="19">
        <f>IF(OR(C1316="",D1316=""),"",IFERROR(INDEX('Qida bazası'!$F$2:$F$103,MATCH(C1316,'Qida bazası'!$A$2:$A$103,0))*D1316/100,"?"))</f>
        <v/>
      </c>
      <c r="H1316" s="19">
        <f>IF(OR(C1316="",D1316=""),"",IFERROR(INDEX('Qida bazası'!$G$2:$G$103,MATCH(C1316,'Qida bazası'!$A$2:$A$103,0))*D1316/100,"?"))</f>
        <v/>
      </c>
    </row>
    <row r="1317">
      <c r="A1317" s="21" t="n"/>
      <c r="E1317" s="18">
        <f>IF(OR(C1317="",D1317=""),"",IFERROR(INDEX('Qida bazası'!$D$2:$D$103,MATCH(C1317,'Qida bazası'!$A$2:$A$103,0))*D1317/100,"?"))</f>
        <v/>
      </c>
      <c r="F1317" s="19">
        <f>IF(OR(C1317="",D1317=""),"",IFERROR(INDEX('Qida bazası'!$E$2:$E$103,MATCH(C1317,'Qida bazası'!$A$2:$A$103,0))*D1317/100,"?"))</f>
        <v/>
      </c>
      <c r="G1317" s="19">
        <f>IF(OR(C1317="",D1317=""),"",IFERROR(INDEX('Qida bazası'!$F$2:$F$103,MATCH(C1317,'Qida bazası'!$A$2:$A$103,0))*D1317/100,"?"))</f>
        <v/>
      </c>
      <c r="H1317" s="19">
        <f>IF(OR(C1317="",D1317=""),"",IFERROR(INDEX('Qida bazası'!$G$2:$G$103,MATCH(C1317,'Qida bazası'!$A$2:$A$103,0))*D1317/100,"?"))</f>
        <v/>
      </c>
    </row>
    <row r="1318">
      <c r="A1318" s="21" t="n"/>
      <c r="E1318" s="18">
        <f>IF(OR(C1318="",D1318=""),"",IFERROR(INDEX('Qida bazası'!$D$2:$D$103,MATCH(C1318,'Qida bazası'!$A$2:$A$103,0))*D1318/100,"?"))</f>
        <v/>
      </c>
      <c r="F1318" s="19">
        <f>IF(OR(C1318="",D1318=""),"",IFERROR(INDEX('Qida bazası'!$E$2:$E$103,MATCH(C1318,'Qida bazası'!$A$2:$A$103,0))*D1318/100,"?"))</f>
        <v/>
      </c>
      <c r="G1318" s="19">
        <f>IF(OR(C1318="",D1318=""),"",IFERROR(INDEX('Qida bazası'!$F$2:$F$103,MATCH(C1318,'Qida bazası'!$A$2:$A$103,0))*D1318/100,"?"))</f>
        <v/>
      </c>
      <c r="H1318" s="19">
        <f>IF(OR(C1318="",D1318=""),"",IFERROR(INDEX('Qida bazası'!$G$2:$G$103,MATCH(C1318,'Qida bazası'!$A$2:$A$103,0))*D1318/100,"?"))</f>
        <v/>
      </c>
    </row>
    <row r="1319">
      <c r="A1319" s="21" t="n"/>
      <c r="E1319" s="18">
        <f>IF(OR(C1319="",D1319=""),"",IFERROR(INDEX('Qida bazası'!$D$2:$D$103,MATCH(C1319,'Qida bazası'!$A$2:$A$103,0))*D1319/100,"?"))</f>
        <v/>
      </c>
      <c r="F1319" s="19">
        <f>IF(OR(C1319="",D1319=""),"",IFERROR(INDEX('Qida bazası'!$E$2:$E$103,MATCH(C1319,'Qida bazası'!$A$2:$A$103,0))*D1319/100,"?"))</f>
        <v/>
      </c>
      <c r="G1319" s="19">
        <f>IF(OR(C1319="",D1319=""),"",IFERROR(INDEX('Qida bazası'!$F$2:$F$103,MATCH(C1319,'Qida bazası'!$A$2:$A$103,0))*D1319/100,"?"))</f>
        <v/>
      </c>
      <c r="H1319" s="19">
        <f>IF(OR(C1319="",D1319=""),"",IFERROR(INDEX('Qida bazası'!$G$2:$G$103,MATCH(C1319,'Qida bazası'!$A$2:$A$103,0))*D1319/100,"?"))</f>
        <v/>
      </c>
    </row>
    <row r="1320">
      <c r="A1320" s="21" t="n"/>
      <c r="E1320" s="18">
        <f>IF(OR(C1320="",D1320=""),"",IFERROR(INDEX('Qida bazası'!$D$2:$D$103,MATCH(C1320,'Qida bazası'!$A$2:$A$103,0))*D1320/100,"?"))</f>
        <v/>
      </c>
      <c r="F1320" s="19">
        <f>IF(OR(C1320="",D1320=""),"",IFERROR(INDEX('Qida bazası'!$E$2:$E$103,MATCH(C1320,'Qida bazası'!$A$2:$A$103,0))*D1320/100,"?"))</f>
        <v/>
      </c>
      <c r="G1320" s="19">
        <f>IF(OR(C1320="",D1320=""),"",IFERROR(INDEX('Qida bazası'!$F$2:$F$103,MATCH(C1320,'Qida bazası'!$A$2:$A$103,0))*D1320/100,"?"))</f>
        <v/>
      </c>
      <c r="H1320" s="19">
        <f>IF(OR(C1320="",D1320=""),"",IFERROR(INDEX('Qida bazası'!$G$2:$G$103,MATCH(C1320,'Qida bazası'!$A$2:$A$103,0))*D1320/100,"?"))</f>
        <v/>
      </c>
    </row>
    <row r="1321">
      <c r="A1321" s="21" t="n"/>
      <c r="E1321" s="18">
        <f>IF(OR(C1321="",D1321=""),"",IFERROR(INDEX('Qida bazası'!$D$2:$D$103,MATCH(C1321,'Qida bazası'!$A$2:$A$103,0))*D1321/100,"?"))</f>
        <v/>
      </c>
      <c r="F1321" s="19">
        <f>IF(OR(C1321="",D1321=""),"",IFERROR(INDEX('Qida bazası'!$E$2:$E$103,MATCH(C1321,'Qida bazası'!$A$2:$A$103,0))*D1321/100,"?"))</f>
        <v/>
      </c>
      <c r="G1321" s="19">
        <f>IF(OR(C1321="",D1321=""),"",IFERROR(INDEX('Qida bazası'!$F$2:$F$103,MATCH(C1321,'Qida bazası'!$A$2:$A$103,0))*D1321/100,"?"))</f>
        <v/>
      </c>
      <c r="H1321" s="19">
        <f>IF(OR(C1321="",D1321=""),"",IFERROR(INDEX('Qida bazası'!$G$2:$G$103,MATCH(C1321,'Qida bazası'!$A$2:$A$103,0))*D1321/100,"?"))</f>
        <v/>
      </c>
    </row>
    <row r="1322">
      <c r="A1322" s="21" t="n"/>
      <c r="E1322" s="18">
        <f>IF(OR(C1322="",D1322=""),"",IFERROR(INDEX('Qida bazası'!$D$2:$D$103,MATCH(C1322,'Qida bazası'!$A$2:$A$103,0))*D1322/100,"?"))</f>
        <v/>
      </c>
      <c r="F1322" s="19">
        <f>IF(OR(C1322="",D1322=""),"",IFERROR(INDEX('Qida bazası'!$E$2:$E$103,MATCH(C1322,'Qida bazası'!$A$2:$A$103,0))*D1322/100,"?"))</f>
        <v/>
      </c>
      <c r="G1322" s="19">
        <f>IF(OR(C1322="",D1322=""),"",IFERROR(INDEX('Qida bazası'!$F$2:$F$103,MATCH(C1322,'Qida bazası'!$A$2:$A$103,0))*D1322/100,"?"))</f>
        <v/>
      </c>
      <c r="H1322" s="19">
        <f>IF(OR(C1322="",D1322=""),"",IFERROR(INDEX('Qida bazası'!$G$2:$G$103,MATCH(C1322,'Qida bazası'!$A$2:$A$103,0))*D1322/100,"?"))</f>
        <v/>
      </c>
    </row>
    <row r="1323">
      <c r="A1323" s="21" t="n"/>
      <c r="E1323" s="18">
        <f>IF(OR(C1323="",D1323=""),"",IFERROR(INDEX('Qida bazası'!$D$2:$D$103,MATCH(C1323,'Qida bazası'!$A$2:$A$103,0))*D1323/100,"?"))</f>
        <v/>
      </c>
      <c r="F1323" s="19">
        <f>IF(OR(C1323="",D1323=""),"",IFERROR(INDEX('Qida bazası'!$E$2:$E$103,MATCH(C1323,'Qida bazası'!$A$2:$A$103,0))*D1323/100,"?"))</f>
        <v/>
      </c>
      <c r="G1323" s="19">
        <f>IF(OR(C1323="",D1323=""),"",IFERROR(INDEX('Qida bazası'!$F$2:$F$103,MATCH(C1323,'Qida bazası'!$A$2:$A$103,0))*D1323/100,"?"))</f>
        <v/>
      </c>
      <c r="H1323" s="19">
        <f>IF(OR(C1323="",D1323=""),"",IFERROR(INDEX('Qida bazası'!$G$2:$G$103,MATCH(C1323,'Qida bazası'!$A$2:$A$103,0))*D1323/100,"?"))</f>
        <v/>
      </c>
    </row>
    <row r="1324">
      <c r="A1324" s="21" t="n"/>
      <c r="E1324" s="18">
        <f>IF(OR(C1324="",D1324=""),"",IFERROR(INDEX('Qida bazası'!$D$2:$D$103,MATCH(C1324,'Qida bazası'!$A$2:$A$103,0))*D1324/100,"?"))</f>
        <v/>
      </c>
      <c r="F1324" s="19">
        <f>IF(OR(C1324="",D1324=""),"",IFERROR(INDEX('Qida bazası'!$E$2:$E$103,MATCH(C1324,'Qida bazası'!$A$2:$A$103,0))*D1324/100,"?"))</f>
        <v/>
      </c>
      <c r="G1324" s="19">
        <f>IF(OR(C1324="",D1324=""),"",IFERROR(INDEX('Qida bazası'!$F$2:$F$103,MATCH(C1324,'Qida bazası'!$A$2:$A$103,0))*D1324/100,"?"))</f>
        <v/>
      </c>
      <c r="H1324" s="19">
        <f>IF(OR(C1324="",D1324=""),"",IFERROR(INDEX('Qida bazası'!$G$2:$G$103,MATCH(C1324,'Qida bazası'!$A$2:$A$103,0))*D1324/100,"?"))</f>
        <v/>
      </c>
    </row>
    <row r="1325">
      <c r="A1325" s="21" t="n"/>
      <c r="E1325" s="18">
        <f>IF(OR(C1325="",D1325=""),"",IFERROR(INDEX('Qida bazası'!$D$2:$D$103,MATCH(C1325,'Qida bazası'!$A$2:$A$103,0))*D1325/100,"?"))</f>
        <v/>
      </c>
      <c r="F1325" s="19">
        <f>IF(OR(C1325="",D1325=""),"",IFERROR(INDEX('Qida bazası'!$E$2:$E$103,MATCH(C1325,'Qida bazası'!$A$2:$A$103,0))*D1325/100,"?"))</f>
        <v/>
      </c>
      <c r="G1325" s="19">
        <f>IF(OR(C1325="",D1325=""),"",IFERROR(INDEX('Qida bazası'!$F$2:$F$103,MATCH(C1325,'Qida bazası'!$A$2:$A$103,0))*D1325/100,"?"))</f>
        <v/>
      </c>
      <c r="H1325" s="19">
        <f>IF(OR(C1325="",D1325=""),"",IFERROR(INDEX('Qida bazası'!$G$2:$G$103,MATCH(C1325,'Qida bazası'!$A$2:$A$103,0))*D1325/100,"?"))</f>
        <v/>
      </c>
    </row>
    <row r="1326">
      <c r="A1326" s="21" t="n"/>
      <c r="E1326" s="18">
        <f>IF(OR(C1326="",D1326=""),"",IFERROR(INDEX('Qida bazası'!$D$2:$D$103,MATCH(C1326,'Qida bazası'!$A$2:$A$103,0))*D1326/100,"?"))</f>
        <v/>
      </c>
      <c r="F1326" s="19">
        <f>IF(OR(C1326="",D1326=""),"",IFERROR(INDEX('Qida bazası'!$E$2:$E$103,MATCH(C1326,'Qida bazası'!$A$2:$A$103,0))*D1326/100,"?"))</f>
        <v/>
      </c>
      <c r="G1326" s="19">
        <f>IF(OR(C1326="",D1326=""),"",IFERROR(INDEX('Qida bazası'!$F$2:$F$103,MATCH(C1326,'Qida bazası'!$A$2:$A$103,0))*D1326/100,"?"))</f>
        <v/>
      </c>
      <c r="H1326" s="19">
        <f>IF(OR(C1326="",D1326=""),"",IFERROR(INDEX('Qida bazası'!$G$2:$G$103,MATCH(C1326,'Qida bazası'!$A$2:$A$103,0))*D1326/100,"?"))</f>
        <v/>
      </c>
    </row>
    <row r="1327">
      <c r="A1327" s="21" t="n"/>
      <c r="E1327" s="18">
        <f>IF(OR(C1327="",D1327=""),"",IFERROR(INDEX('Qida bazası'!$D$2:$D$103,MATCH(C1327,'Qida bazası'!$A$2:$A$103,0))*D1327/100,"?"))</f>
        <v/>
      </c>
      <c r="F1327" s="19">
        <f>IF(OR(C1327="",D1327=""),"",IFERROR(INDEX('Qida bazası'!$E$2:$E$103,MATCH(C1327,'Qida bazası'!$A$2:$A$103,0))*D1327/100,"?"))</f>
        <v/>
      </c>
      <c r="G1327" s="19">
        <f>IF(OR(C1327="",D1327=""),"",IFERROR(INDEX('Qida bazası'!$F$2:$F$103,MATCH(C1327,'Qida bazası'!$A$2:$A$103,0))*D1327/100,"?"))</f>
        <v/>
      </c>
      <c r="H1327" s="19">
        <f>IF(OR(C1327="",D1327=""),"",IFERROR(INDEX('Qida bazası'!$G$2:$G$103,MATCH(C1327,'Qida bazası'!$A$2:$A$103,0))*D1327/100,"?"))</f>
        <v/>
      </c>
    </row>
    <row r="1328">
      <c r="A1328" s="21" t="n"/>
      <c r="E1328" s="18">
        <f>IF(OR(C1328="",D1328=""),"",IFERROR(INDEX('Qida bazası'!$D$2:$D$103,MATCH(C1328,'Qida bazası'!$A$2:$A$103,0))*D1328/100,"?"))</f>
        <v/>
      </c>
      <c r="F1328" s="19">
        <f>IF(OR(C1328="",D1328=""),"",IFERROR(INDEX('Qida bazası'!$E$2:$E$103,MATCH(C1328,'Qida bazası'!$A$2:$A$103,0))*D1328/100,"?"))</f>
        <v/>
      </c>
      <c r="G1328" s="19">
        <f>IF(OR(C1328="",D1328=""),"",IFERROR(INDEX('Qida bazası'!$F$2:$F$103,MATCH(C1328,'Qida bazası'!$A$2:$A$103,0))*D1328/100,"?"))</f>
        <v/>
      </c>
      <c r="H1328" s="19">
        <f>IF(OR(C1328="",D1328=""),"",IFERROR(INDEX('Qida bazası'!$G$2:$G$103,MATCH(C1328,'Qida bazası'!$A$2:$A$103,0))*D1328/100,"?"))</f>
        <v/>
      </c>
    </row>
    <row r="1329">
      <c r="A1329" s="21" t="n"/>
      <c r="E1329" s="18">
        <f>IF(OR(C1329="",D1329=""),"",IFERROR(INDEX('Qida bazası'!$D$2:$D$103,MATCH(C1329,'Qida bazası'!$A$2:$A$103,0))*D1329/100,"?"))</f>
        <v/>
      </c>
      <c r="F1329" s="19">
        <f>IF(OR(C1329="",D1329=""),"",IFERROR(INDEX('Qida bazası'!$E$2:$E$103,MATCH(C1329,'Qida bazası'!$A$2:$A$103,0))*D1329/100,"?"))</f>
        <v/>
      </c>
      <c r="G1329" s="19">
        <f>IF(OR(C1329="",D1329=""),"",IFERROR(INDEX('Qida bazası'!$F$2:$F$103,MATCH(C1329,'Qida bazası'!$A$2:$A$103,0))*D1329/100,"?"))</f>
        <v/>
      </c>
      <c r="H1329" s="19">
        <f>IF(OR(C1329="",D1329=""),"",IFERROR(INDEX('Qida bazası'!$G$2:$G$103,MATCH(C1329,'Qida bazası'!$A$2:$A$103,0))*D1329/100,"?"))</f>
        <v/>
      </c>
    </row>
    <row r="1330">
      <c r="A1330" s="21" t="n"/>
      <c r="E1330" s="18">
        <f>IF(OR(C1330="",D1330=""),"",IFERROR(INDEX('Qida bazası'!$D$2:$D$103,MATCH(C1330,'Qida bazası'!$A$2:$A$103,0))*D1330/100,"?"))</f>
        <v/>
      </c>
      <c r="F1330" s="19">
        <f>IF(OR(C1330="",D1330=""),"",IFERROR(INDEX('Qida bazası'!$E$2:$E$103,MATCH(C1330,'Qida bazası'!$A$2:$A$103,0))*D1330/100,"?"))</f>
        <v/>
      </c>
      <c r="G1330" s="19">
        <f>IF(OR(C1330="",D1330=""),"",IFERROR(INDEX('Qida bazası'!$F$2:$F$103,MATCH(C1330,'Qida bazası'!$A$2:$A$103,0))*D1330/100,"?"))</f>
        <v/>
      </c>
      <c r="H1330" s="19">
        <f>IF(OR(C1330="",D1330=""),"",IFERROR(INDEX('Qida bazası'!$G$2:$G$103,MATCH(C1330,'Qida bazası'!$A$2:$A$103,0))*D1330/100,"?"))</f>
        <v/>
      </c>
    </row>
    <row r="1331">
      <c r="A1331" s="21" t="n"/>
      <c r="E1331" s="18">
        <f>IF(OR(C1331="",D1331=""),"",IFERROR(INDEX('Qida bazası'!$D$2:$D$103,MATCH(C1331,'Qida bazası'!$A$2:$A$103,0))*D1331/100,"?"))</f>
        <v/>
      </c>
      <c r="F1331" s="19">
        <f>IF(OR(C1331="",D1331=""),"",IFERROR(INDEX('Qida bazası'!$E$2:$E$103,MATCH(C1331,'Qida bazası'!$A$2:$A$103,0))*D1331/100,"?"))</f>
        <v/>
      </c>
      <c r="G1331" s="19">
        <f>IF(OR(C1331="",D1331=""),"",IFERROR(INDEX('Qida bazası'!$F$2:$F$103,MATCH(C1331,'Qida bazası'!$A$2:$A$103,0))*D1331/100,"?"))</f>
        <v/>
      </c>
      <c r="H1331" s="19">
        <f>IF(OR(C1331="",D1331=""),"",IFERROR(INDEX('Qida bazası'!$G$2:$G$103,MATCH(C1331,'Qida bazası'!$A$2:$A$103,0))*D1331/100,"?"))</f>
        <v/>
      </c>
    </row>
    <row r="1332">
      <c r="A1332" s="21" t="n"/>
      <c r="E1332" s="18">
        <f>IF(OR(C1332="",D1332=""),"",IFERROR(INDEX('Qida bazası'!$D$2:$D$103,MATCH(C1332,'Qida bazası'!$A$2:$A$103,0))*D1332/100,"?"))</f>
        <v/>
      </c>
      <c r="F1332" s="19">
        <f>IF(OR(C1332="",D1332=""),"",IFERROR(INDEX('Qida bazası'!$E$2:$E$103,MATCH(C1332,'Qida bazası'!$A$2:$A$103,0))*D1332/100,"?"))</f>
        <v/>
      </c>
      <c r="G1332" s="19">
        <f>IF(OR(C1332="",D1332=""),"",IFERROR(INDEX('Qida bazası'!$F$2:$F$103,MATCH(C1332,'Qida bazası'!$A$2:$A$103,0))*D1332/100,"?"))</f>
        <v/>
      </c>
      <c r="H1332" s="19">
        <f>IF(OR(C1332="",D1332=""),"",IFERROR(INDEX('Qida bazası'!$G$2:$G$103,MATCH(C1332,'Qida bazası'!$A$2:$A$103,0))*D1332/100,"?"))</f>
        <v/>
      </c>
    </row>
    <row r="1333">
      <c r="A1333" s="21" t="n"/>
      <c r="E1333" s="18">
        <f>IF(OR(C1333="",D1333=""),"",IFERROR(INDEX('Qida bazası'!$D$2:$D$103,MATCH(C1333,'Qida bazası'!$A$2:$A$103,0))*D1333/100,"?"))</f>
        <v/>
      </c>
      <c r="F1333" s="19">
        <f>IF(OR(C1333="",D1333=""),"",IFERROR(INDEX('Qida bazası'!$E$2:$E$103,MATCH(C1333,'Qida bazası'!$A$2:$A$103,0))*D1333/100,"?"))</f>
        <v/>
      </c>
      <c r="G1333" s="19">
        <f>IF(OR(C1333="",D1333=""),"",IFERROR(INDEX('Qida bazası'!$F$2:$F$103,MATCH(C1333,'Qida bazası'!$A$2:$A$103,0))*D1333/100,"?"))</f>
        <v/>
      </c>
      <c r="H1333" s="19">
        <f>IF(OR(C1333="",D1333=""),"",IFERROR(INDEX('Qida bazası'!$G$2:$G$103,MATCH(C1333,'Qida bazası'!$A$2:$A$103,0))*D1333/100,"?"))</f>
        <v/>
      </c>
    </row>
    <row r="1334">
      <c r="A1334" s="21" t="n"/>
      <c r="E1334" s="18">
        <f>IF(OR(C1334="",D1334=""),"",IFERROR(INDEX('Qida bazası'!$D$2:$D$103,MATCH(C1334,'Qida bazası'!$A$2:$A$103,0))*D1334/100,"?"))</f>
        <v/>
      </c>
      <c r="F1334" s="19">
        <f>IF(OR(C1334="",D1334=""),"",IFERROR(INDEX('Qida bazası'!$E$2:$E$103,MATCH(C1334,'Qida bazası'!$A$2:$A$103,0))*D1334/100,"?"))</f>
        <v/>
      </c>
      <c r="G1334" s="19">
        <f>IF(OR(C1334="",D1334=""),"",IFERROR(INDEX('Qida bazası'!$F$2:$F$103,MATCH(C1334,'Qida bazası'!$A$2:$A$103,0))*D1334/100,"?"))</f>
        <v/>
      </c>
      <c r="H1334" s="19">
        <f>IF(OR(C1334="",D1334=""),"",IFERROR(INDEX('Qida bazası'!$G$2:$G$103,MATCH(C1334,'Qida bazası'!$A$2:$A$103,0))*D1334/100,"?"))</f>
        <v/>
      </c>
    </row>
    <row r="1335">
      <c r="A1335" s="21" t="n"/>
      <c r="E1335" s="18">
        <f>IF(OR(C1335="",D1335=""),"",IFERROR(INDEX('Qida bazası'!$D$2:$D$103,MATCH(C1335,'Qida bazası'!$A$2:$A$103,0))*D1335/100,"?"))</f>
        <v/>
      </c>
      <c r="F1335" s="19">
        <f>IF(OR(C1335="",D1335=""),"",IFERROR(INDEX('Qida bazası'!$E$2:$E$103,MATCH(C1335,'Qida bazası'!$A$2:$A$103,0))*D1335/100,"?"))</f>
        <v/>
      </c>
      <c r="G1335" s="19">
        <f>IF(OR(C1335="",D1335=""),"",IFERROR(INDEX('Qida bazası'!$F$2:$F$103,MATCH(C1335,'Qida bazası'!$A$2:$A$103,0))*D1335/100,"?"))</f>
        <v/>
      </c>
      <c r="H1335" s="19">
        <f>IF(OR(C1335="",D1335=""),"",IFERROR(INDEX('Qida bazası'!$G$2:$G$103,MATCH(C1335,'Qida bazası'!$A$2:$A$103,0))*D1335/100,"?"))</f>
        <v/>
      </c>
    </row>
    <row r="1336">
      <c r="A1336" s="21" t="n"/>
      <c r="E1336" s="18">
        <f>IF(OR(C1336="",D1336=""),"",IFERROR(INDEX('Qida bazası'!$D$2:$D$103,MATCH(C1336,'Qida bazası'!$A$2:$A$103,0))*D1336/100,"?"))</f>
        <v/>
      </c>
      <c r="F1336" s="19">
        <f>IF(OR(C1336="",D1336=""),"",IFERROR(INDEX('Qida bazası'!$E$2:$E$103,MATCH(C1336,'Qida bazası'!$A$2:$A$103,0))*D1336/100,"?"))</f>
        <v/>
      </c>
      <c r="G1336" s="19">
        <f>IF(OR(C1336="",D1336=""),"",IFERROR(INDEX('Qida bazası'!$F$2:$F$103,MATCH(C1336,'Qida bazası'!$A$2:$A$103,0))*D1336/100,"?"))</f>
        <v/>
      </c>
      <c r="H1336" s="19">
        <f>IF(OR(C1336="",D1336=""),"",IFERROR(INDEX('Qida bazası'!$G$2:$G$103,MATCH(C1336,'Qida bazası'!$A$2:$A$103,0))*D1336/100,"?"))</f>
        <v/>
      </c>
    </row>
    <row r="1337">
      <c r="A1337" s="21" t="n"/>
      <c r="E1337" s="18">
        <f>IF(OR(C1337="",D1337=""),"",IFERROR(INDEX('Qida bazası'!$D$2:$D$103,MATCH(C1337,'Qida bazası'!$A$2:$A$103,0))*D1337/100,"?"))</f>
        <v/>
      </c>
      <c r="F1337" s="19">
        <f>IF(OR(C1337="",D1337=""),"",IFERROR(INDEX('Qida bazası'!$E$2:$E$103,MATCH(C1337,'Qida bazası'!$A$2:$A$103,0))*D1337/100,"?"))</f>
        <v/>
      </c>
      <c r="G1337" s="19">
        <f>IF(OR(C1337="",D1337=""),"",IFERROR(INDEX('Qida bazası'!$F$2:$F$103,MATCH(C1337,'Qida bazası'!$A$2:$A$103,0))*D1337/100,"?"))</f>
        <v/>
      </c>
      <c r="H1337" s="19">
        <f>IF(OR(C1337="",D1337=""),"",IFERROR(INDEX('Qida bazası'!$G$2:$G$103,MATCH(C1337,'Qida bazası'!$A$2:$A$103,0))*D1337/100,"?"))</f>
        <v/>
      </c>
    </row>
    <row r="1338">
      <c r="A1338" s="21" t="n"/>
      <c r="E1338" s="18">
        <f>IF(OR(C1338="",D1338=""),"",IFERROR(INDEX('Qida bazası'!$D$2:$D$103,MATCH(C1338,'Qida bazası'!$A$2:$A$103,0))*D1338/100,"?"))</f>
        <v/>
      </c>
      <c r="F1338" s="19">
        <f>IF(OR(C1338="",D1338=""),"",IFERROR(INDEX('Qida bazası'!$E$2:$E$103,MATCH(C1338,'Qida bazası'!$A$2:$A$103,0))*D1338/100,"?"))</f>
        <v/>
      </c>
      <c r="G1338" s="19">
        <f>IF(OR(C1338="",D1338=""),"",IFERROR(INDEX('Qida bazası'!$F$2:$F$103,MATCH(C1338,'Qida bazası'!$A$2:$A$103,0))*D1338/100,"?"))</f>
        <v/>
      </c>
      <c r="H1338" s="19">
        <f>IF(OR(C1338="",D1338=""),"",IFERROR(INDEX('Qida bazası'!$G$2:$G$103,MATCH(C1338,'Qida bazası'!$A$2:$A$103,0))*D1338/100,"?"))</f>
        <v/>
      </c>
    </row>
    <row r="1339">
      <c r="A1339" s="21" t="n"/>
      <c r="E1339" s="18">
        <f>IF(OR(C1339="",D1339=""),"",IFERROR(INDEX('Qida bazası'!$D$2:$D$103,MATCH(C1339,'Qida bazası'!$A$2:$A$103,0))*D1339/100,"?"))</f>
        <v/>
      </c>
      <c r="F1339" s="19">
        <f>IF(OR(C1339="",D1339=""),"",IFERROR(INDEX('Qida bazası'!$E$2:$E$103,MATCH(C1339,'Qida bazası'!$A$2:$A$103,0))*D1339/100,"?"))</f>
        <v/>
      </c>
      <c r="G1339" s="19">
        <f>IF(OR(C1339="",D1339=""),"",IFERROR(INDEX('Qida bazası'!$F$2:$F$103,MATCH(C1339,'Qida bazası'!$A$2:$A$103,0))*D1339/100,"?"))</f>
        <v/>
      </c>
      <c r="H1339" s="19">
        <f>IF(OR(C1339="",D1339=""),"",IFERROR(INDEX('Qida bazası'!$G$2:$G$103,MATCH(C1339,'Qida bazası'!$A$2:$A$103,0))*D1339/100,"?"))</f>
        <v/>
      </c>
    </row>
    <row r="1340">
      <c r="A1340" s="21" t="n"/>
      <c r="E1340" s="18">
        <f>IF(OR(C1340="",D1340=""),"",IFERROR(INDEX('Qida bazası'!$D$2:$D$103,MATCH(C1340,'Qida bazası'!$A$2:$A$103,0))*D1340/100,"?"))</f>
        <v/>
      </c>
      <c r="F1340" s="19">
        <f>IF(OR(C1340="",D1340=""),"",IFERROR(INDEX('Qida bazası'!$E$2:$E$103,MATCH(C1340,'Qida bazası'!$A$2:$A$103,0))*D1340/100,"?"))</f>
        <v/>
      </c>
      <c r="G1340" s="19">
        <f>IF(OR(C1340="",D1340=""),"",IFERROR(INDEX('Qida bazası'!$F$2:$F$103,MATCH(C1340,'Qida bazası'!$A$2:$A$103,0))*D1340/100,"?"))</f>
        <v/>
      </c>
      <c r="H1340" s="19">
        <f>IF(OR(C1340="",D1340=""),"",IFERROR(INDEX('Qida bazası'!$G$2:$G$103,MATCH(C1340,'Qida bazası'!$A$2:$A$103,0))*D1340/100,"?"))</f>
        <v/>
      </c>
    </row>
    <row r="1341">
      <c r="A1341" s="21" t="n"/>
      <c r="E1341" s="18">
        <f>IF(OR(C1341="",D1341=""),"",IFERROR(INDEX('Qida bazası'!$D$2:$D$103,MATCH(C1341,'Qida bazası'!$A$2:$A$103,0))*D1341/100,"?"))</f>
        <v/>
      </c>
      <c r="F1341" s="19">
        <f>IF(OR(C1341="",D1341=""),"",IFERROR(INDEX('Qida bazası'!$E$2:$E$103,MATCH(C1341,'Qida bazası'!$A$2:$A$103,0))*D1341/100,"?"))</f>
        <v/>
      </c>
      <c r="G1341" s="19">
        <f>IF(OR(C1341="",D1341=""),"",IFERROR(INDEX('Qida bazası'!$F$2:$F$103,MATCH(C1341,'Qida bazası'!$A$2:$A$103,0))*D1341/100,"?"))</f>
        <v/>
      </c>
      <c r="H1341" s="19">
        <f>IF(OR(C1341="",D1341=""),"",IFERROR(INDEX('Qida bazası'!$G$2:$G$103,MATCH(C1341,'Qida bazası'!$A$2:$A$103,0))*D1341/100,"?"))</f>
        <v/>
      </c>
    </row>
    <row r="1342">
      <c r="A1342" s="21" t="n"/>
      <c r="E1342" s="18">
        <f>IF(OR(C1342="",D1342=""),"",IFERROR(INDEX('Qida bazası'!$D$2:$D$103,MATCH(C1342,'Qida bazası'!$A$2:$A$103,0))*D1342/100,"?"))</f>
        <v/>
      </c>
      <c r="F1342" s="19">
        <f>IF(OR(C1342="",D1342=""),"",IFERROR(INDEX('Qida bazası'!$E$2:$E$103,MATCH(C1342,'Qida bazası'!$A$2:$A$103,0))*D1342/100,"?"))</f>
        <v/>
      </c>
      <c r="G1342" s="19">
        <f>IF(OR(C1342="",D1342=""),"",IFERROR(INDEX('Qida bazası'!$F$2:$F$103,MATCH(C1342,'Qida bazası'!$A$2:$A$103,0))*D1342/100,"?"))</f>
        <v/>
      </c>
      <c r="H1342" s="19">
        <f>IF(OR(C1342="",D1342=""),"",IFERROR(INDEX('Qida bazası'!$G$2:$G$103,MATCH(C1342,'Qida bazası'!$A$2:$A$103,0))*D1342/100,"?"))</f>
        <v/>
      </c>
    </row>
    <row r="1343">
      <c r="A1343" s="21" t="n"/>
      <c r="E1343" s="18">
        <f>IF(OR(C1343="",D1343=""),"",IFERROR(INDEX('Qida bazası'!$D$2:$D$103,MATCH(C1343,'Qida bazası'!$A$2:$A$103,0))*D1343/100,"?"))</f>
        <v/>
      </c>
      <c r="F1343" s="19">
        <f>IF(OR(C1343="",D1343=""),"",IFERROR(INDEX('Qida bazası'!$E$2:$E$103,MATCH(C1343,'Qida bazası'!$A$2:$A$103,0))*D1343/100,"?"))</f>
        <v/>
      </c>
      <c r="G1343" s="19">
        <f>IF(OR(C1343="",D1343=""),"",IFERROR(INDEX('Qida bazası'!$F$2:$F$103,MATCH(C1343,'Qida bazası'!$A$2:$A$103,0))*D1343/100,"?"))</f>
        <v/>
      </c>
      <c r="H1343" s="19">
        <f>IF(OR(C1343="",D1343=""),"",IFERROR(INDEX('Qida bazası'!$G$2:$G$103,MATCH(C1343,'Qida bazası'!$A$2:$A$103,0))*D1343/100,"?"))</f>
        <v/>
      </c>
    </row>
    <row r="1344">
      <c r="A1344" s="21" t="n"/>
      <c r="E1344" s="18">
        <f>IF(OR(C1344="",D1344=""),"",IFERROR(INDEX('Qida bazası'!$D$2:$D$103,MATCH(C1344,'Qida bazası'!$A$2:$A$103,0))*D1344/100,"?"))</f>
        <v/>
      </c>
      <c r="F1344" s="19">
        <f>IF(OR(C1344="",D1344=""),"",IFERROR(INDEX('Qida bazası'!$E$2:$E$103,MATCH(C1344,'Qida bazası'!$A$2:$A$103,0))*D1344/100,"?"))</f>
        <v/>
      </c>
      <c r="G1344" s="19">
        <f>IF(OR(C1344="",D1344=""),"",IFERROR(INDEX('Qida bazası'!$F$2:$F$103,MATCH(C1344,'Qida bazası'!$A$2:$A$103,0))*D1344/100,"?"))</f>
        <v/>
      </c>
      <c r="H1344" s="19">
        <f>IF(OR(C1344="",D1344=""),"",IFERROR(INDEX('Qida bazası'!$G$2:$G$103,MATCH(C1344,'Qida bazası'!$A$2:$A$103,0))*D1344/100,"?"))</f>
        <v/>
      </c>
    </row>
    <row r="1345">
      <c r="A1345" s="21" t="n"/>
      <c r="E1345" s="18">
        <f>IF(OR(C1345="",D1345=""),"",IFERROR(INDEX('Qida bazası'!$D$2:$D$103,MATCH(C1345,'Qida bazası'!$A$2:$A$103,0))*D1345/100,"?"))</f>
        <v/>
      </c>
      <c r="F1345" s="19">
        <f>IF(OR(C1345="",D1345=""),"",IFERROR(INDEX('Qida bazası'!$E$2:$E$103,MATCH(C1345,'Qida bazası'!$A$2:$A$103,0))*D1345/100,"?"))</f>
        <v/>
      </c>
      <c r="G1345" s="19">
        <f>IF(OR(C1345="",D1345=""),"",IFERROR(INDEX('Qida bazası'!$F$2:$F$103,MATCH(C1345,'Qida bazası'!$A$2:$A$103,0))*D1345/100,"?"))</f>
        <v/>
      </c>
      <c r="H1345" s="19">
        <f>IF(OR(C1345="",D1345=""),"",IFERROR(INDEX('Qida bazası'!$G$2:$G$103,MATCH(C1345,'Qida bazası'!$A$2:$A$103,0))*D1345/100,"?"))</f>
        <v/>
      </c>
    </row>
    <row r="1346">
      <c r="A1346" s="21" t="n"/>
      <c r="E1346" s="18">
        <f>IF(OR(C1346="",D1346=""),"",IFERROR(INDEX('Qida bazası'!$D$2:$D$103,MATCH(C1346,'Qida bazası'!$A$2:$A$103,0))*D1346/100,"?"))</f>
        <v/>
      </c>
      <c r="F1346" s="19">
        <f>IF(OR(C1346="",D1346=""),"",IFERROR(INDEX('Qida bazası'!$E$2:$E$103,MATCH(C1346,'Qida bazası'!$A$2:$A$103,0))*D1346/100,"?"))</f>
        <v/>
      </c>
      <c r="G1346" s="19">
        <f>IF(OR(C1346="",D1346=""),"",IFERROR(INDEX('Qida bazası'!$F$2:$F$103,MATCH(C1346,'Qida bazası'!$A$2:$A$103,0))*D1346/100,"?"))</f>
        <v/>
      </c>
      <c r="H1346" s="19">
        <f>IF(OR(C1346="",D1346=""),"",IFERROR(INDEX('Qida bazası'!$G$2:$G$103,MATCH(C1346,'Qida bazası'!$A$2:$A$103,0))*D1346/100,"?"))</f>
        <v/>
      </c>
    </row>
    <row r="1347">
      <c r="A1347" s="21" t="n"/>
      <c r="E1347" s="18">
        <f>IF(OR(C1347="",D1347=""),"",IFERROR(INDEX('Qida bazası'!$D$2:$D$103,MATCH(C1347,'Qida bazası'!$A$2:$A$103,0))*D1347/100,"?"))</f>
        <v/>
      </c>
      <c r="F1347" s="19">
        <f>IF(OR(C1347="",D1347=""),"",IFERROR(INDEX('Qida bazası'!$E$2:$E$103,MATCH(C1347,'Qida bazası'!$A$2:$A$103,0))*D1347/100,"?"))</f>
        <v/>
      </c>
      <c r="G1347" s="19">
        <f>IF(OR(C1347="",D1347=""),"",IFERROR(INDEX('Qida bazası'!$F$2:$F$103,MATCH(C1347,'Qida bazası'!$A$2:$A$103,0))*D1347/100,"?"))</f>
        <v/>
      </c>
      <c r="H1347" s="19">
        <f>IF(OR(C1347="",D1347=""),"",IFERROR(INDEX('Qida bazası'!$G$2:$G$103,MATCH(C1347,'Qida bazası'!$A$2:$A$103,0))*D1347/100,"?"))</f>
        <v/>
      </c>
    </row>
    <row r="1348">
      <c r="A1348" s="21" t="n"/>
      <c r="E1348" s="18">
        <f>IF(OR(C1348="",D1348=""),"",IFERROR(INDEX('Qida bazası'!$D$2:$D$103,MATCH(C1348,'Qida bazası'!$A$2:$A$103,0))*D1348/100,"?"))</f>
        <v/>
      </c>
      <c r="F1348" s="19">
        <f>IF(OR(C1348="",D1348=""),"",IFERROR(INDEX('Qida bazası'!$E$2:$E$103,MATCH(C1348,'Qida bazası'!$A$2:$A$103,0))*D1348/100,"?"))</f>
        <v/>
      </c>
      <c r="G1348" s="19">
        <f>IF(OR(C1348="",D1348=""),"",IFERROR(INDEX('Qida bazası'!$F$2:$F$103,MATCH(C1348,'Qida bazası'!$A$2:$A$103,0))*D1348/100,"?"))</f>
        <v/>
      </c>
      <c r="H1348" s="19">
        <f>IF(OR(C1348="",D1348=""),"",IFERROR(INDEX('Qida bazası'!$G$2:$G$103,MATCH(C1348,'Qida bazası'!$A$2:$A$103,0))*D1348/100,"?"))</f>
        <v/>
      </c>
    </row>
    <row r="1349">
      <c r="A1349" s="21" t="n"/>
      <c r="E1349" s="18">
        <f>IF(OR(C1349="",D1349=""),"",IFERROR(INDEX('Qida bazası'!$D$2:$D$103,MATCH(C1349,'Qida bazası'!$A$2:$A$103,0))*D1349/100,"?"))</f>
        <v/>
      </c>
      <c r="F1349" s="19">
        <f>IF(OR(C1349="",D1349=""),"",IFERROR(INDEX('Qida bazası'!$E$2:$E$103,MATCH(C1349,'Qida bazası'!$A$2:$A$103,0))*D1349/100,"?"))</f>
        <v/>
      </c>
      <c r="G1349" s="19">
        <f>IF(OR(C1349="",D1349=""),"",IFERROR(INDEX('Qida bazası'!$F$2:$F$103,MATCH(C1349,'Qida bazası'!$A$2:$A$103,0))*D1349/100,"?"))</f>
        <v/>
      </c>
      <c r="H1349" s="19">
        <f>IF(OR(C1349="",D1349=""),"",IFERROR(INDEX('Qida bazası'!$G$2:$G$103,MATCH(C1349,'Qida bazası'!$A$2:$A$103,0))*D1349/100,"?"))</f>
        <v/>
      </c>
    </row>
    <row r="1350">
      <c r="A1350" s="21" t="n"/>
      <c r="E1350" s="18">
        <f>IF(OR(C1350="",D1350=""),"",IFERROR(INDEX('Qida bazası'!$D$2:$D$103,MATCH(C1350,'Qida bazası'!$A$2:$A$103,0))*D1350/100,"?"))</f>
        <v/>
      </c>
      <c r="F1350" s="19">
        <f>IF(OR(C1350="",D1350=""),"",IFERROR(INDEX('Qida bazası'!$E$2:$E$103,MATCH(C1350,'Qida bazası'!$A$2:$A$103,0))*D1350/100,"?"))</f>
        <v/>
      </c>
      <c r="G1350" s="19">
        <f>IF(OR(C1350="",D1350=""),"",IFERROR(INDEX('Qida bazası'!$F$2:$F$103,MATCH(C1350,'Qida bazası'!$A$2:$A$103,0))*D1350/100,"?"))</f>
        <v/>
      </c>
      <c r="H1350" s="19">
        <f>IF(OR(C1350="",D1350=""),"",IFERROR(INDEX('Qida bazası'!$G$2:$G$103,MATCH(C1350,'Qida bazası'!$A$2:$A$103,0))*D1350/100,"?"))</f>
        <v/>
      </c>
    </row>
    <row r="1351">
      <c r="A1351" s="21" t="n"/>
      <c r="E1351" s="18">
        <f>IF(OR(C1351="",D1351=""),"",IFERROR(INDEX('Qida bazası'!$D$2:$D$103,MATCH(C1351,'Qida bazası'!$A$2:$A$103,0))*D1351/100,"?"))</f>
        <v/>
      </c>
      <c r="F1351" s="19">
        <f>IF(OR(C1351="",D1351=""),"",IFERROR(INDEX('Qida bazası'!$E$2:$E$103,MATCH(C1351,'Qida bazası'!$A$2:$A$103,0))*D1351/100,"?"))</f>
        <v/>
      </c>
      <c r="G1351" s="19">
        <f>IF(OR(C1351="",D1351=""),"",IFERROR(INDEX('Qida bazası'!$F$2:$F$103,MATCH(C1351,'Qida bazası'!$A$2:$A$103,0))*D1351/100,"?"))</f>
        <v/>
      </c>
      <c r="H1351" s="19">
        <f>IF(OR(C1351="",D1351=""),"",IFERROR(INDEX('Qida bazası'!$G$2:$G$103,MATCH(C1351,'Qida bazası'!$A$2:$A$103,0))*D1351/100,"?"))</f>
        <v/>
      </c>
    </row>
    <row r="1352">
      <c r="A1352" s="21" t="n"/>
      <c r="E1352" s="18">
        <f>IF(OR(C1352="",D1352=""),"",IFERROR(INDEX('Qida bazası'!$D$2:$D$103,MATCH(C1352,'Qida bazası'!$A$2:$A$103,0))*D1352/100,"?"))</f>
        <v/>
      </c>
      <c r="F1352" s="19">
        <f>IF(OR(C1352="",D1352=""),"",IFERROR(INDEX('Qida bazası'!$E$2:$E$103,MATCH(C1352,'Qida bazası'!$A$2:$A$103,0))*D1352/100,"?"))</f>
        <v/>
      </c>
      <c r="G1352" s="19">
        <f>IF(OR(C1352="",D1352=""),"",IFERROR(INDEX('Qida bazası'!$F$2:$F$103,MATCH(C1352,'Qida bazası'!$A$2:$A$103,0))*D1352/100,"?"))</f>
        <v/>
      </c>
      <c r="H1352" s="19">
        <f>IF(OR(C1352="",D1352=""),"",IFERROR(INDEX('Qida bazası'!$G$2:$G$103,MATCH(C1352,'Qida bazası'!$A$2:$A$103,0))*D1352/100,"?"))</f>
        <v/>
      </c>
    </row>
    <row r="1353">
      <c r="A1353" s="21" t="n"/>
      <c r="E1353" s="18">
        <f>IF(OR(C1353="",D1353=""),"",IFERROR(INDEX('Qida bazası'!$D$2:$D$103,MATCH(C1353,'Qida bazası'!$A$2:$A$103,0))*D1353/100,"?"))</f>
        <v/>
      </c>
      <c r="F1353" s="19">
        <f>IF(OR(C1353="",D1353=""),"",IFERROR(INDEX('Qida bazası'!$E$2:$E$103,MATCH(C1353,'Qida bazası'!$A$2:$A$103,0))*D1353/100,"?"))</f>
        <v/>
      </c>
      <c r="G1353" s="19">
        <f>IF(OR(C1353="",D1353=""),"",IFERROR(INDEX('Qida bazası'!$F$2:$F$103,MATCH(C1353,'Qida bazası'!$A$2:$A$103,0))*D1353/100,"?"))</f>
        <v/>
      </c>
      <c r="H1353" s="19">
        <f>IF(OR(C1353="",D1353=""),"",IFERROR(INDEX('Qida bazası'!$G$2:$G$103,MATCH(C1353,'Qida bazası'!$A$2:$A$103,0))*D1353/100,"?"))</f>
        <v/>
      </c>
    </row>
    <row r="1354">
      <c r="A1354" s="21" t="n"/>
      <c r="E1354" s="18">
        <f>IF(OR(C1354="",D1354=""),"",IFERROR(INDEX('Qida bazası'!$D$2:$D$103,MATCH(C1354,'Qida bazası'!$A$2:$A$103,0))*D1354/100,"?"))</f>
        <v/>
      </c>
      <c r="F1354" s="19">
        <f>IF(OR(C1354="",D1354=""),"",IFERROR(INDEX('Qida bazası'!$E$2:$E$103,MATCH(C1354,'Qida bazası'!$A$2:$A$103,0))*D1354/100,"?"))</f>
        <v/>
      </c>
      <c r="G1354" s="19">
        <f>IF(OR(C1354="",D1354=""),"",IFERROR(INDEX('Qida bazası'!$F$2:$F$103,MATCH(C1354,'Qida bazası'!$A$2:$A$103,0))*D1354/100,"?"))</f>
        <v/>
      </c>
      <c r="H1354" s="19">
        <f>IF(OR(C1354="",D1354=""),"",IFERROR(INDEX('Qida bazası'!$G$2:$G$103,MATCH(C1354,'Qida bazası'!$A$2:$A$103,0))*D1354/100,"?"))</f>
        <v/>
      </c>
    </row>
    <row r="1355">
      <c r="A1355" s="21" t="n"/>
      <c r="E1355" s="18">
        <f>IF(OR(C1355="",D1355=""),"",IFERROR(INDEX('Qida bazası'!$D$2:$D$103,MATCH(C1355,'Qida bazası'!$A$2:$A$103,0))*D1355/100,"?"))</f>
        <v/>
      </c>
      <c r="F1355" s="19">
        <f>IF(OR(C1355="",D1355=""),"",IFERROR(INDEX('Qida bazası'!$E$2:$E$103,MATCH(C1355,'Qida bazası'!$A$2:$A$103,0))*D1355/100,"?"))</f>
        <v/>
      </c>
      <c r="G1355" s="19">
        <f>IF(OR(C1355="",D1355=""),"",IFERROR(INDEX('Qida bazası'!$F$2:$F$103,MATCH(C1355,'Qida bazası'!$A$2:$A$103,0))*D1355/100,"?"))</f>
        <v/>
      </c>
      <c r="H1355" s="19">
        <f>IF(OR(C1355="",D1355=""),"",IFERROR(INDEX('Qida bazası'!$G$2:$G$103,MATCH(C1355,'Qida bazası'!$A$2:$A$103,0))*D1355/100,"?"))</f>
        <v/>
      </c>
    </row>
    <row r="1356">
      <c r="A1356" s="21" t="n"/>
      <c r="E1356" s="18">
        <f>IF(OR(C1356="",D1356=""),"",IFERROR(INDEX('Qida bazası'!$D$2:$D$103,MATCH(C1356,'Qida bazası'!$A$2:$A$103,0))*D1356/100,"?"))</f>
        <v/>
      </c>
      <c r="F1356" s="19">
        <f>IF(OR(C1356="",D1356=""),"",IFERROR(INDEX('Qida bazası'!$E$2:$E$103,MATCH(C1356,'Qida bazası'!$A$2:$A$103,0))*D1356/100,"?"))</f>
        <v/>
      </c>
      <c r="G1356" s="19">
        <f>IF(OR(C1356="",D1356=""),"",IFERROR(INDEX('Qida bazası'!$F$2:$F$103,MATCH(C1356,'Qida bazası'!$A$2:$A$103,0))*D1356/100,"?"))</f>
        <v/>
      </c>
      <c r="H1356" s="19">
        <f>IF(OR(C1356="",D1356=""),"",IFERROR(INDEX('Qida bazası'!$G$2:$G$103,MATCH(C1356,'Qida bazası'!$A$2:$A$103,0))*D1356/100,"?"))</f>
        <v/>
      </c>
    </row>
    <row r="1357">
      <c r="A1357" s="21" t="n"/>
      <c r="E1357" s="18">
        <f>IF(OR(C1357="",D1357=""),"",IFERROR(INDEX('Qida bazası'!$D$2:$D$103,MATCH(C1357,'Qida bazası'!$A$2:$A$103,0))*D1357/100,"?"))</f>
        <v/>
      </c>
      <c r="F1357" s="19">
        <f>IF(OR(C1357="",D1357=""),"",IFERROR(INDEX('Qida bazası'!$E$2:$E$103,MATCH(C1357,'Qida bazası'!$A$2:$A$103,0))*D1357/100,"?"))</f>
        <v/>
      </c>
      <c r="G1357" s="19">
        <f>IF(OR(C1357="",D1357=""),"",IFERROR(INDEX('Qida bazası'!$F$2:$F$103,MATCH(C1357,'Qida bazası'!$A$2:$A$103,0))*D1357/100,"?"))</f>
        <v/>
      </c>
      <c r="H1357" s="19">
        <f>IF(OR(C1357="",D1357=""),"",IFERROR(INDEX('Qida bazası'!$G$2:$G$103,MATCH(C1357,'Qida bazası'!$A$2:$A$103,0))*D1357/100,"?"))</f>
        <v/>
      </c>
    </row>
    <row r="1358">
      <c r="A1358" s="21" t="n"/>
      <c r="E1358" s="18">
        <f>IF(OR(C1358="",D1358=""),"",IFERROR(INDEX('Qida bazası'!$D$2:$D$103,MATCH(C1358,'Qida bazası'!$A$2:$A$103,0))*D1358/100,"?"))</f>
        <v/>
      </c>
      <c r="F1358" s="19">
        <f>IF(OR(C1358="",D1358=""),"",IFERROR(INDEX('Qida bazası'!$E$2:$E$103,MATCH(C1358,'Qida bazası'!$A$2:$A$103,0))*D1358/100,"?"))</f>
        <v/>
      </c>
      <c r="G1358" s="19">
        <f>IF(OR(C1358="",D1358=""),"",IFERROR(INDEX('Qida bazası'!$F$2:$F$103,MATCH(C1358,'Qida bazası'!$A$2:$A$103,0))*D1358/100,"?"))</f>
        <v/>
      </c>
      <c r="H1358" s="19">
        <f>IF(OR(C1358="",D1358=""),"",IFERROR(INDEX('Qida bazası'!$G$2:$G$103,MATCH(C1358,'Qida bazası'!$A$2:$A$103,0))*D1358/100,"?"))</f>
        <v/>
      </c>
    </row>
    <row r="1359">
      <c r="A1359" s="21" t="n"/>
      <c r="E1359" s="18">
        <f>IF(OR(C1359="",D1359=""),"",IFERROR(INDEX('Qida bazası'!$D$2:$D$103,MATCH(C1359,'Qida bazası'!$A$2:$A$103,0))*D1359/100,"?"))</f>
        <v/>
      </c>
      <c r="F1359" s="19">
        <f>IF(OR(C1359="",D1359=""),"",IFERROR(INDEX('Qida bazası'!$E$2:$E$103,MATCH(C1359,'Qida bazası'!$A$2:$A$103,0))*D1359/100,"?"))</f>
        <v/>
      </c>
      <c r="G1359" s="19">
        <f>IF(OR(C1359="",D1359=""),"",IFERROR(INDEX('Qida bazası'!$F$2:$F$103,MATCH(C1359,'Qida bazası'!$A$2:$A$103,0))*D1359/100,"?"))</f>
        <v/>
      </c>
      <c r="H1359" s="19">
        <f>IF(OR(C1359="",D1359=""),"",IFERROR(INDEX('Qida bazası'!$G$2:$G$103,MATCH(C1359,'Qida bazası'!$A$2:$A$103,0))*D1359/100,"?"))</f>
        <v/>
      </c>
    </row>
    <row r="1360">
      <c r="A1360" s="21" t="n"/>
      <c r="E1360" s="18">
        <f>IF(OR(C1360="",D1360=""),"",IFERROR(INDEX('Qida bazası'!$D$2:$D$103,MATCH(C1360,'Qida bazası'!$A$2:$A$103,0))*D1360/100,"?"))</f>
        <v/>
      </c>
      <c r="F1360" s="19">
        <f>IF(OR(C1360="",D1360=""),"",IFERROR(INDEX('Qida bazası'!$E$2:$E$103,MATCH(C1360,'Qida bazası'!$A$2:$A$103,0))*D1360/100,"?"))</f>
        <v/>
      </c>
      <c r="G1360" s="19">
        <f>IF(OR(C1360="",D1360=""),"",IFERROR(INDEX('Qida bazası'!$F$2:$F$103,MATCH(C1360,'Qida bazası'!$A$2:$A$103,0))*D1360/100,"?"))</f>
        <v/>
      </c>
      <c r="H1360" s="19">
        <f>IF(OR(C1360="",D1360=""),"",IFERROR(INDEX('Qida bazası'!$G$2:$G$103,MATCH(C1360,'Qida bazası'!$A$2:$A$103,0))*D1360/100,"?"))</f>
        <v/>
      </c>
    </row>
    <row r="1361">
      <c r="A1361" s="21" t="n"/>
      <c r="E1361" s="18">
        <f>IF(OR(C1361="",D1361=""),"",IFERROR(INDEX('Qida bazası'!$D$2:$D$103,MATCH(C1361,'Qida bazası'!$A$2:$A$103,0))*D1361/100,"?"))</f>
        <v/>
      </c>
      <c r="F1361" s="19">
        <f>IF(OR(C1361="",D1361=""),"",IFERROR(INDEX('Qida bazası'!$E$2:$E$103,MATCH(C1361,'Qida bazası'!$A$2:$A$103,0))*D1361/100,"?"))</f>
        <v/>
      </c>
      <c r="G1361" s="19">
        <f>IF(OR(C1361="",D1361=""),"",IFERROR(INDEX('Qida bazası'!$F$2:$F$103,MATCH(C1361,'Qida bazası'!$A$2:$A$103,0))*D1361/100,"?"))</f>
        <v/>
      </c>
      <c r="H1361" s="19">
        <f>IF(OR(C1361="",D1361=""),"",IFERROR(INDEX('Qida bazası'!$G$2:$G$103,MATCH(C1361,'Qida bazası'!$A$2:$A$103,0))*D1361/100,"?"))</f>
        <v/>
      </c>
    </row>
    <row r="1362">
      <c r="A1362" s="21" t="n"/>
      <c r="E1362" s="18">
        <f>IF(OR(C1362="",D1362=""),"",IFERROR(INDEX('Qida bazası'!$D$2:$D$103,MATCH(C1362,'Qida bazası'!$A$2:$A$103,0))*D1362/100,"?"))</f>
        <v/>
      </c>
      <c r="F1362" s="19">
        <f>IF(OR(C1362="",D1362=""),"",IFERROR(INDEX('Qida bazası'!$E$2:$E$103,MATCH(C1362,'Qida bazası'!$A$2:$A$103,0))*D1362/100,"?"))</f>
        <v/>
      </c>
      <c r="G1362" s="19">
        <f>IF(OR(C1362="",D1362=""),"",IFERROR(INDEX('Qida bazası'!$F$2:$F$103,MATCH(C1362,'Qida bazası'!$A$2:$A$103,0))*D1362/100,"?"))</f>
        <v/>
      </c>
      <c r="H1362" s="19">
        <f>IF(OR(C1362="",D1362=""),"",IFERROR(INDEX('Qida bazası'!$G$2:$G$103,MATCH(C1362,'Qida bazası'!$A$2:$A$103,0))*D1362/100,"?"))</f>
        <v/>
      </c>
    </row>
    <row r="1363">
      <c r="A1363" s="21" t="n"/>
      <c r="E1363" s="18">
        <f>IF(OR(C1363="",D1363=""),"",IFERROR(INDEX('Qida bazası'!$D$2:$D$103,MATCH(C1363,'Qida bazası'!$A$2:$A$103,0))*D1363/100,"?"))</f>
        <v/>
      </c>
      <c r="F1363" s="19">
        <f>IF(OR(C1363="",D1363=""),"",IFERROR(INDEX('Qida bazası'!$E$2:$E$103,MATCH(C1363,'Qida bazası'!$A$2:$A$103,0))*D1363/100,"?"))</f>
        <v/>
      </c>
      <c r="G1363" s="19">
        <f>IF(OR(C1363="",D1363=""),"",IFERROR(INDEX('Qida bazası'!$F$2:$F$103,MATCH(C1363,'Qida bazası'!$A$2:$A$103,0))*D1363/100,"?"))</f>
        <v/>
      </c>
      <c r="H1363" s="19">
        <f>IF(OR(C1363="",D1363=""),"",IFERROR(INDEX('Qida bazası'!$G$2:$G$103,MATCH(C1363,'Qida bazası'!$A$2:$A$103,0))*D1363/100,"?"))</f>
        <v/>
      </c>
    </row>
    <row r="1364">
      <c r="A1364" s="21" t="n"/>
      <c r="E1364" s="18">
        <f>IF(OR(C1364="",D1364=""),"",IFERROR(INDEX('Qida bazası'!$D$2:$D$103,MATCH(C1364,'Qida bazası'!$A$2:$A$103,0))*D1364/100,"?"))</f>
        <v/>
      </c>
      <c r="F1364" s="19">
        <f>IF(OR(C1364="",D1364=""),"",IFERROR(INDEX('Qida bazası'!$E$2:$E$103,MATCH(C1364,'Qida bazası'!$A$2:$A$103,0))*D1364/100,"?"))</f>
        <v/>
      </c>
      <c r="G1364" s="19">
        <f>IF(OR(C1364="",D1364=""),"",IFERROR(INDEX('Qida bazası'!$F$2:$F$103,MATCH(C1364,'Qida bazası'!$A$2:$A$103,0))*D1364/100,"?"))</f>
        <v/>
      </c>
      <c r="H1364" s="19">
        <f>IF(OR(C1364="",D1364=""),"",IFERROR(INDEX('Qida bazası'!$G$2:$G$103,MATCH(C1364,'Qida bazası'!$A$2:$A$103,0))*D1364/100,"?"))</f>
        <v/>
      </c>
    </row>
    <row r="1365">
      <c r="A1365" s="21" t="n"/>
      <c r="E1365" s="18">
        <f>IF(OR(C1365="",D1365=""),"",IFERROR(INDEX('Qida bazası'!$D$2:$D$103,MATCH(C1365,'Qida bazası'!$A$2:$A$103,0))*D1365/100,"?"))</f>
        <v/>
      </c>
      <c r="F1365" s="19">
        <f>IF(OR(C1365="",D1365=""),"",IFERROR(INDEX('Qida bazası'!$E$2:$E$103,MATCH(C1365,'Qida bazası'!$A$2:$A$103,0))*D1365/100,"?"))</f>
        <v/>
      </c>
      <c r="G1365" s="19">
        <f>IF(OR(C1365="",D1365=""),"",IFERROR(INDEX('Qida bazası'!$F$2:$F$103,MATCH(C1365,'Qida bazası'!$A$2:$A$103,0))*D1365/100,"?"))</f>
        <v/>
      </c>
      <c r="H1365" s="19">
        <f>IF(OR(C1365="",D1365=""),"",IFERROR(INDEX('Qida bazası'!$G$2:$G$103,MATCH(C1365,'Qida bazası'!$A$2:$A$103,0))*D1365/100,"?"))</f>
        <v/>
      </c>
    </row>
    <row r="1366">
      <c r="A1366" s="21" t="n"/>
      <c r="E1366" s="18">
        <f>IF(OR(C1366="",D1366=""),"",IFERROR(INDEX('Qida bazası'!$D$2:$D$103,MATCH(C1366,'Qida bazası'!$A$2:$A$103,0))*D1366/100,"?"))</f>
        <v/>
      </c>
      <c r="F1366" s="19">
        <f>IF(OR(C1366="",D1366=""),"",IFERROR(INDEX('Qida bazası'!$E$2:$E$103,MATCH(C1366,'Qida bazası'!$A$2:$A$103,0))*D1366/100,"?"))</f>
        <v/>
      </c>
      <c r="G1366" s="19">
        <f>IF(OR(C1366="",D1366=""),"",IFERROR(INDEX('Qida bazası'!$F$2:$F$103,MATCH(C1366,'Qida bazası'!$A$2:$A$103,0))*D1366/100,"?"))</f>
        <v/>
      </c>
      <c r="H1366" s="19">
        <f>IF(OR(C1366="",D1366=""),"",IFERROR(INDEX('Qida bazası'!$G$2:$G$103,MATCH(C1366,'Qida bazası'!$A$2:$A$103,0))*D1366/100,"?"))</f>
        <v/>
      </c>
    </row>
    <row r="1367">
      <c r="A1367" s="21" t="n"/>
      <c r="E1367" s="18">
        <f>IF(OR(C1367="",D1367=""),"",IFERROR(INDEX('Qida bazası'!$D$2:$D$103,MATCH(C1367,'Qida bazası'!$A$2:$A$103,0))*D1367/100,"?"))</f>
        <v/>
      </c>
      <c r="F1367" s="19">
        <f>IF(OR(C1367="",D1367=""),"",IFERROR(INDEX('Qida bazası'!$E$2:$E$103,MATCH(C1367,'Qida bazası'!$A$2:$A$103,0))*D1367/100,"?"))</f>
        <v/>
      </c>
      <c r="G1367" s="19">
        <f>IF(OR(C1367="",D1367=""),"",IFERROR(INDEX('Qida bazası'!$F$2:$F$103,MATCH(C1367,'Qida bazası'!$A$2:$A$103,0))*D1367/100,"?"))</f>
        <v/>
      </c>
      <c r="H1367" s="19">
        <f>IF(OR(C1367="",D1367=""),"",IFERROR(INDEX('Qida bazası'!$G$2:$G$103,MATCH(C1367,'Qida bazası'!$A$2:$A$103,0))*D1367/100,"?"))</f>
        <v/>
      </c>
    </row>
    <row r="1368">
      <c r="A1368" s="21" t="n"/>
      <c r="E1368" s="18">
        <f>IF(OR(C1368="",D1368=""),"",IFERROR(INDEX('Qida bazası'!$D$2:$D$103,MATCH(C1368,'Qida bazası'!$A$2:$A$103,0))*D1368/100,"?"))</f>
        <v/>
      </c>
      <c r="F1368" s="19">
        <f>IF(OR(C1368="",D1368=""),"",IFERROR(INDEX('Qida bazası'!$E$2:$E$103,MATCH(C1368,'Qida bazası'!$A$2:$A$103,0))*D1368/100,"?"))</f>
        <v/>
      </c>
      <c r="G1368" s="19">
        <f>IF(OR(C1368="",D1368=""),"",IFERROR(INDEX('Qida bazası'!$F$2:$F$103,MATCH(C1368,'Qida bazası'!$A$2:$A$103,0))*D1368/100,"?"))</f>
        <v/>
      </c>
      <c r="H1368" s="19">
        <f>IF(OR(C1368="",D1368=""),"",IFERROR(INDEX('Qida bazası'!$G$2:$G$103,MATCH(C1368,'Qida bazası'!$A$2:$A$103,0))*D1368/100,"?"))</f>
        <v/>
      </c>
    </row>
    <row r="1369">
      <c r="A1369" s="21" t="n"/>
      <c r="E1369" s="18">
        <f>IF(OR(C1369="",D1369=""),"",IFERROR(INDEX('Qida bazası'!$D$2:$D$103,MATCH(C1369,'Qida bazası'!$A$2:$A$103,0))*D1369/100,"?"))</f>
        <v/>
      </c>
      <c r="F1369" s="19">
        <f>IF(OR(C1369="",D1369=""),"",IFERROR(INDEX('Qida bazası'!$E$2:$E$103,MATCH(C1369,'Qida bazası'!$A$2:$A$103,0))*D1369/100,"?"))</f>
        <v/>
      </c>
      <c r="G1369" s="19">
        <f>IF(OR(C1369="",D1369=""),"",IFERROR(INDEX('Qida bazası'!$F$2:$F$103,MATCH(C1369,'Qida bazası'!$A$2:$A$103,0))*D1369/100,"?"))</f>
        <v/>
      </c>
      <c r="H1369" s="19">
        <f>IF(OR(C1369="",D1369=""),"",IFERROR(INDEX('Qida bazası'!$G$2:$G$103,MATCH(C1369,'Qida bazası'!$A$2:$A$103,0))*D1369/100,"?"))</f>
        <v/>
      </c>
    </row>
    <row r="1370">
      <c r="A1370" s="21" t="n"/>
      <c r="E1370" s="18">
        <f>IF(OR(C1370="",D1370=""),"",IFERROR(INDEX('Qida bazası'!$D$2:$D$103,MATCH(C1370,'Qida bazası'!$A$2:$A$103,0))*D1370/100,"?"))</f>
        <v/>
      </c>
      <c r="F1370" s="19">
        <f>IF(OR(C1370="",D1370=""),"",IFERROR(INDEX('Qida bazası'!$E$2:$E$103,MATCH(C1370,'Qida bazası'!$A$2:$A$103,0))*D1370/100,"?"))</f>
        <v/>
      </c>
      <c r="G1370" s="19">
        <f>IF(OR(C1370="",D1370=""),"",IFERROR(INDEX('Qida bazası'!$F$2:$F$103,MATCH(C1370,'Qida bazası'!$A$2:$A$103,0))*D1370/100,"?"))</f>
        <v/>
      </c>
      <c r="H1370" s="19">
        <f>IF(OR(C1370="",D1370=""),"",IFERROR(INDEX('Qida bazası'!$G$2:$G$103,MATCH(C1370,'Qida bazası'!$A$2:$A$103,0))*D1370/100,"?"))</f>
        <v/>
      </c>
    </row>
    <row r="1371">
      <c r="A1371" s="21" t="n"/>
      <c r="E1371" s="18">
        <f>IF(OR(C1371="",D1371=""),"",IFERROR(INDEX('Qida bazası'!$D$2:$D$103,MATCH(C1371,'Qida bazası'!$A$2:$A$103,0))*D1371/100,"?"))</f>
        <v/>
      </c>
      <c r="F1371" s="19">
        <f>IF(OR(C1371="",D1371=""),"",IFERROR(INDEX('Qida bazası'!$E$2:$E$103,MATCH(C1371,'Qida bazası'!$A$2:$A$103,0))*D1371/100,"?"))</f>
        <v/>
      </c>
      <c r="G1371" s="19">
        <f>IF(OR(C1371="",D1371=""),"",IFERROR(INDEX('Qida bazası'!$F$2:$F$103,MATCH(C1371,'Qida bazası'!$A$2:$A$103,0))*D1371/100,"?"))</f>
        <v/>
      </c>
      <c r="H1371" s="19">
        <f>IF(OR(C1371="",D1371=""),"",IFERROR(INDEX('Qida bazası'!$G$2:$G$103,MATCH(C1371,'Qida bazası'!$A$2:$A$103,0))*D1371/100,"?"))</f>
        <v/>
      </c>
    </row>
    <row r="1372">
      <c r="A1372" s="21" t="n"/>
      <c r="E1372" s="18">
        <f>IF(OR(C1372="",D1372=""),"",IFERROR(INDEX('Qida bazası'!$D$2:$D$103,MATCH(C1372,'Qida bazası'!$A$2:$A$103,0))*D1372/100,"?"))</f>
        <v/>
      </c>
      <c r="F1372" s="19">
        <f>IF(OR(C1372="",D1372=""),"",IFERROR(INDEX('Qida bazası'!$E$2:$E$103,MATCH(C1372,'Qida bazası'!$A$2:$A$103,0))*D1372/100,"?"))</f>
        <v/>
      </c>
      <c r="G1372" s="19">
        <f>IF(OR(C1372="",D1372=""),"",IFERROR(INDEX('Qida bazası'!$F$2:$F$103,MATCH(C1372,'Qida bazası'!$A$2:$A$103,0))*D1372/100,"?"))</f>
        <v/>
      </c>
      <c r="H1372" s="19">
        <f>IF(OR(C1372="",D1372=""),"",IFERROR(INDEX('Qida bazası'!$G$2:$G$103,MATCH(C1372,'Qida bazası'!$A$2:$A$103,0))*D1372/100,"?"))</f>
        <v/>
      </c>
    </row>
    <row r="1373">
      <c r="A1373" s="21" t="n"/>
      <c r="E1373" s="18">
        <f>IF(OR(C1373="",D1373=""),"",IFERROR(INDEX('Qida bazası'!$D$2:$D$103,MATCH(C1373,'Qida bazası'!$A$2:$A$103,0))*D1373/100,"?"))</f>
        <v/>
      </c>
      <c r="F1373" s="19">
        <f>IF(OR(C1373="",D1373=""),"",IFERROR(INDEX('Qida bazası'!$E$2:$E$103,MATCH(C1373,'Qida bazası'!$A$2:$A$103,0))*D1373/100,"?"))</f>
        <v/>
      </c>
      <c r="G1373" s="19">
        <f>IF(OR(C1373="",D1373=""),"",IFERROR(INDEX('Qida bazası'!$F$2:$F$103,MATCH(C1373,'Qida bazası'!$A$2:$A$103,0))*D1373/100,"?"))</f>
        <v/>
      </c>
      <c r="H1373" s="19">
        <f>IF(OR(C1373="",D1373=""),"",IFERROR(INDEX('Qida bazası'!$G$2:$G$103,MATCH(C1373,'Qida bazası'!$A$2:$A$103,0))*D1373/100,"?"))</f>
        <v/>
      </c>
    </row>
    <row r="1374">
      <c r="A1374" s="21" t="n"/>
      <c r="E1374" s="18">
        <f>IF(OR(C1374="",D1374=""),"",IFERROR(INDEX('Qida bazası'!$D$2:$D$103,MATCH(C1374,'Qida bazası'!$A$2:$A$103,0))*D1374/100,"?"))</f>
        <v/>
      </c>
      <c r="F1374" s="19">
        <f>IF(OR(C1374="",D1374=""),"",IFERROR(INDEX('Qida bazası'!$E$2:$E$103,MATCH(C1374,'Qida bazası'!$A$2:$A$103,0))*D1374/100,"?"))</f>
        <v/>
      </c>
      <c r="G1374" s="19">
        <f>IF(OR(C1374="",D1374=""),"",IFERROR(INDEX('Qida bazası'!$F$2:$F$103,MATCH(C1374,'Qida bazası'!$A$2:$A$103,0))*D1374/100,"?"))</f>
        <v/>
      </c>
      <c r="H1374" s="19">
        <f>IF(OR(C1374="",D1374=""),"",IFERROR(INDEX('Qida bazası'!$G$2:$G$103,MATCH(C1374,'Qida bazası'!$A$2:$A$103,0))*D1374/100,"?"))</f>
        <v/>
      </c>
    </row>
    <row r="1375">
      <c r="A1375" s="21" t="n"/>
      <c r="E1375" s="18">
        <f>IF(OR(C1375="",D1375=""),"",IFERROR(INDEX('Qida bazası'!$D$2:$D$103,MATCH(C1375,'Qida bazası'!$A$2:$A$103,0))*D1375/100,"?"))</f>
        <v/>
      </c>
      <c r="F1375" s="19">
        <f>IF(OR(C1375="",D1375=""),"",IFERROR(INDEX('Qida bazası'!$E$2:$E$103,MATCH(C1375,'Qida bazası'!$A$2:$A$103,0))*D1375/100,"?"))</f>
        <v/>
      </c>
      <c r="G1375" s="19">
        <f>IF(OR(C1375="",D1375=""),"",IFERROR(INDEX('Qida bazası'!$F$2:$F$103,MATCH(C1375,'Qida bazası'!$A$2:$A$103,0))*D1375/100,"?"))</f>
        <v/>
      </c>
      <c r="H1375" s="19">
        <f>IF(OR(C1375="",D1375=""),"",IFERROR(INDEX('Qida bazası'!$G$2:$G$103,MATCH(C1375,'Qida bazası'!$A$2:$A$103,0))*D1375/100,"?"))</f>
        <v/>
      </c>
    </row>
    <row r="1376">
      <c r="A1376" s="21" t="n"/>
      <c r="E1376" s="18">
        <f>IF(OR(C1376="",D1376=""),"",IFERROR(INDEX('Qida bazası'!$D$2:$D$103,MATCH(C1376,'Qida bazası'!$A$2:$A$103,0))*D1376/100,"?"))</f>
        <v/>
      </c>
      <c r="F1376" s="19">
        <f>IF(OR(C1376="",D1376=""),"",IFERROR(INDEX('Qida bazası'!$E$2:$E$103,MATCH(C1376,'Qida bazası'!$A$2:$A$103,0))*D1376/100,"?"))</f>
        <v/>
      </c>
      <c r="G1376" s="19">
        <f>IF(OR(C1376="",D1376=""),"",IFERROR(INDEX('Qida bazası'!$F$2:$F$103,MATCH(C1376,'Qida bazası'!$A$2:$A$103,0))*D1376/100,"?"))</f>
        <v/>
      </c>
      <c r="H1376" s="19">
        <f>IF(OR(C1376="",D1376=""),"",IFERROR(INDEX('Qida bazası'!$G$2:$G$103,MATCH(C1376,'Qida bazası'!$A$2:$A$103,0))*D1376/100,"?"))</f>
        <v/>
      </c>
    </row>
    <row r="1377">
      <c r="A1377" s="21" t="n"/>
      <c r="E1377" s="18">
        <f>IF(OR(C1377="",D1377=""),"",IFERROR(INDEX('Qida bazası'!$D$2:$D$103,MATCH(C1377,'Qida bazası'!$A$2:$A$103,0))*D1377/100,"?"))</f>
        <v/>
      </c>
      <c r="F1377" s="19">
        <f>IF(OR(C1377="",D1377=""),"",IFERROR(INDEX('Qida bazası'!$E$2:$E$103,MATCH(C1377,'Qida bazası'!$A$2:$A$103,0))*D1377/100,"?"))</f>
        <v/>
      </c>
      <c r="G1377" s="19">
        <f>IF(OR(C1377="",D1377=""),"",IFERROR(INDEX('Qida bazası'!$F$2:$F$103,MATCH(C1377,'Qida bazası'!$A$2:$A$103,0))*D1377/100,"?"))</f>
        <v/>
      </c>
      <c r="H1377" s="19">
        <f>IF(OR(C1377="",D1377=""),"",IFERROR(INDEX('Qida bazası'!$G$2:$G$103,MATCH(C1377,'Qida bazası'!$A$2:$A$103,0))*D1377/100,"?"))</f>
        <v/>
      </c>
    </row>
    <row r="1378">
      <c r="A1378" s="21" t="n"/>
      <c r="E1378" s="18">
        <f>IF(OR(C1378="",D1378=""),"",IFERROR(INDEX('Qida bazası'!$D$2:$D$103,MATCH(C1378,'Qida bazası'!$A$2:$A$103,0))*D1378/100,"?"))</f>
        <v/>
      </c>
      <c r="F1378" s="19">
        <f>IF(OR(C1378="",D1378=""),"",IFERROR(INDEX('Qida bazası'!$E$2:$E$103,MATCH(C1378,'Qida bazası'!$A$2:$A$103,0))*D1378/100,"?"))</f>
        <v/>
      </c>
      <c r="G1378" s="19">
        <f>IF(OR(C1378="",D1378=""),"",IFERROR(INDEX('Qida bazası'!$F$2:$F$103,MATCH(C1378,'Qida bazası'!$A$2:$A$103,0))*D1378/100,"?"))</f>
        <v/>
      </c>
      <c r="H1378" s="19">
        <f>IF(OR(C1378="",D1378=""),"",IFERROR(INDEX('Qida bazası'!$G$2:$G$103,MATCH(C1378,'Qida bazası'!$A$2:$A$103,0))*D1378/100,"?"))</f>
        <v/>
      </c>
    </row>
    <row r="1379">
      <c r="A1379" s="21" t="n"/>
      <c r="E1379" s="18">
        <f>IF(OR(C1379="",D1379=""),"",IFERROR(INDEX('Qida bazası'!$D$2:$D$103,MATCH(C1379,'Qida bazası'!$A$2:$A$103,0))*D1379/100,"?"))</f>
        <v/>
      </c>
      <c r="F1379" s="19">
        <f>IF(OR(C1379="",D1379=""),"",IFERROR(INDEX('Qida bazası'!$E$2:$E$103,MATCH(C1379,'Qida bazası'!$A$2:$A$103,0))*D1379/100,"?"))</f>
        <v/>
      </c>
      <c r="G1379" s="19">
        <f>IF(OR(C1379="",D1379=""),"",IFERROR(INDEX('Qida bazası'!$F$2:$F$103,MATCH(C1379,'Qida bazası'!$A$2:$A$103,0))*D1379/100,"?"))</f>
        <v/>
      </c>
      <c r="H1379" s="19">
        <f>IF(OR(C1379="",D1379=""),"",IFERROR(INDEX('Qida bazası'!$G$2:$G$103,MATCH(C1379,'Qida bazası'!$A$2:$A$103,0))*D1379/100,"?"))</f>
        <v/>
      </c>
    </row>
    <row r="1380">
      <c r="A1380" s="21" t="n"/>
      <c r="E1380" s="18">
        <f>IF(OR(C1380="",D1380=""),"",IFERROR(INDEX('Qida bazası'!$D$2:$D$103,MATCH(C1380,'Qida bazası'!$A$2:$A$103,0))*D1380/100,"?"))</f>
        <v/>
      </c>
      <c r="F1380" s="19">
        <f>IF(OR(C1380="",D1380=""),"",IFERROR(INDEX('Qida bazası'!$E$2:$E$103,MATCH(C1380,'Qida bazası'!$A$2:$A$103,0))*D1380/100,"?"))</f>
        <v/>
      </c>
      <c r="G1380" s="19">
        <f>IF(OR(C1380="",D1380=""),"",IFERROR(INDEX('Qida bazası'!$F$2:$F$103,MATCH(C1380,'Qida bazası'!$A$2:$A$103,0))*D1380/100,"?"))</f>
        <v/>
      </c>
      <c r="H1380" s="19">
        <f>IF(OR(C1380="",D1380=""),"",IFERROR(INDEX('Qida bazası'!$G$2:$G$103,MATCH(C1380,'Qida bazası'!$A$2:$A$103,0))*D1380/100,"?"))</f>
        <v/>
      </c>
    </row>
    <row r="1381">
      <c r="A1381" s="21" t="n"/>
      <c r="E1381" s="18">
        <f>IF(OR(C1381="",D1381=""),"",IFERROR(INDEX('Qida bazası'!$D$2:$D$103,MATCH(C1381,'Qida bazası'!$A$2:$A$103,0))*D1381/100,"?"))</f>
        <v/>
      </c>
      <c r="F1381" s="19">
        <f>IF(OR(C1381="",D1381=""),"",IFERROR(INDEX('Qida bazası'!$E$2:$E$103,MATCH(C1381,'Qida bazası'!$A$2:$A$103,0))*D1381/100,"?"))</f>
        <v/>
      </c>
      <c r="G1381" s="19">
        <f>IF(OR(C1381="",D1381=""),"",IFERROR(INDEX('Qida bazası'!$F$2:$F$103,MATCH(C1381,'Qida bazası'!$A$2:$A$103,0))*D1381/100,"?"))</f>
        <v/>
      </c>
      <c r="H1381" s="19">
        <f>IF(OR(C1381="",D1381=""),"",IFERROR(INDEX('Qida bazası'!$G$2:$G$103,MATCH(C1381,'Qida bazası'!$A$2:$A$103,0))*D1381/100,"?"))</f>
        <v/>
      </c>
    </row>
    <row r="1382">
      <c r="A1382" s="21" t="n"/>
      <c r="E1382" s="18">
        <f>IF(OR(C1382="",D1382=""),"",IFERROR(INDEX('Qida bazası'!$D$2:$D$103,MATCH(C1382,'Qida bazası'!$A$2:$A$103,0))*D1382/100,"?"))</f>
        <v/>
      </c>
      <c r="F1382" s="19">
        <f>IF(OR(C1382="",D1382=""),"",IFERROR(INDEX('Qida bazası'!$E$2:$E$103,MATCH(C1382,'Qida bazası'!$A$2:$A$103,0))*D1382/100,"?"))</f>
        <v/>
      </c>
      <c r="G1382" s="19">
        <f>IF(OR(C1382="",D1382=""),"",IFERROR(INDEX('Qida bazası'!$F$2:$F$103,MATCH(C1382,'Qida bazası'!$A$2:$A$103,0))*D1382/100,"?"))</f>
        <v/>
      </c>
      <c r="H1382" s="19">
        <f>IF(OR(C1382="",D1382=""),"",IFERROR(INDEX('Qida bazası'!$G$2:$G$103,MATCH(C1382,'Qida bazası'!$A$2:$A$103,0))*D1382/100,"?"))</f>
        <v/>
      </c>
    </row>
    <row r="1383">
      <c r="A1383" s="21" t="n"/>
      <c r="E1383" s="18">
        <f>IF(OR(C1383="",D1383=""),"",IFERROR(INDEX('Qida bazası'!$D$2:$D$103,MATCH(C1383,'Qida bazası'!$A$2:$A$103,0))*D1383/100,"?"))</f>
        <v/>
      </c>
      <c r="F1383" s="19">
        <f>IF(OR(C1383="",D1383=""),"",IFERROR(INDEX('Qida bazası'!$E$2:$E$103,MATCH(C1383,'Qida bazası'!$A$2:$A$103,0))*D1383/100,"?"))</f>
        <v/>
      </c>
      <c r="G1383" s="19">
        <f>IF(OR(C1383="",D1383=""),"",IFERROR(INDEX('Qida bazası'!$F$2:$F$103,MATCH(C1383,'Qida bazası'!$A$2:$A$103,0))*D1383/100,"?"))</f>
        <v/>
      </c>
      <c r="H1383" s="19">
        <f>IF(OR(C1383="",D1383=""),"",IFERROR(INDEX('Qida bazası'!$G$2:$G$103,MATCH(C1383,'Qida bazası'!$A$2:$A$103,0))*D1383/100,"?"))</f>
        <v/>
      </c>
    </row>
    <row r="1384">
      <c r="A1384" s="21" t="n"/>
      <c r="E1384" s="18">
        <f>IF(OR(C1384="",D1384=""),"",IFERROR(INDEX('Qida bazası'!$D$2:$D$103,MATCH(C1384,'Qida bazası'!$A$2:$A$103,0))*D1384/100,"?"))</f>
        <v/>
      </c>
      <c r="F1384" s="19">
        <f>IF(OR(C1384="",D1384=""),"",IFERROR(INDEX('Qida bazası'!$E$2:$E$103,MATCH(C1384,'Qida bazası'!$A$2:$A$103,0))*D1384/100,"?"))</f>
        <v/>
      </c>
      <c r="G1384" s="19">
        <f>IF(OR(C1384="",D1384=""),"",IFERROR(INDEX('Qida bazası'!$F$2:$F$103,MATCH(C1384,'Qida bazası'!$A$2:$A$103,0))*D1384/100,"?"))</f>
        <v/>
      </c>
      <c r="H1384" s="19">
        <f>IF(OR(C1384="",D1384=""),"",IFERROR(INDEX('Qida bazası'!$G$2:$G$103,MATCH(C1384,'Qida bazası'!$A$2:$A$103,0))*D1384/100,"?"))</f>
        <v/>
      </c>
    </row>
    <row r="1385">
      <c r="A1385" s="21" t="n"/>
      <c r="E1385" s="18">
        <f>IF(OR(C1385="",D1385=""),"",IFERROR(INDEX('Qida bazası'!$D$2:$D$103,MATCH(C1385,'Qida bazası'!$A$2:$A$103,0))*D1385/100,"?"))</f>
        <v/>
      </c>
      <c r="F1385" s="19">
        <f>IF(OR(C1385="",D1385=""),"",IFERROR(INDEX('Qida bazası'!$E$2:$E$103,MATCH(C1385,'Qida bazası'!$A$2:$A$103,0))*D1385/100,"?"))</f>
        <v/>
      </c>
      <c r="G1385" s="19">
        <f>IF(OR(C1385="",D1385=""),"",IFERROR(INDEX('Qida bazası'!$F$2:$F$103,MATCH(C1385,'Qida bazası'!$A$2:$A$103,0))*D1385/100,"?"))</f>
        <v/>
      </c>
      <c r="H1385" s="19">
        <f>IF(OR(C1385="",D1385=""),"",IFERROR(INDEX('Qida bazası'!$G$2:$G$103,MATCH(C1385,'Qida bazası'!$A$2:$A$103,0))*D1385/100,"?"))</f>
        <v/>
      </c>
    </row>
    <row r="1386">
      <c r="A1386" s="21" t="n"/>
      <c r="E1386" s="18">
        <f>IF(OR(C1386="",D1386=""),"",IFERROR(INDEX('Qida bazası'!$D$2:$D$103,MATCH(C1386,'Qida bazası'!$A$2:$A$103,0))*D1386/100,"?"))</f>
        <v/>
      </c>
      <c r="F1386" s="19">
        <f>IF(OR(C1386="",D1386=""),"",IFERROR(INDEX('Qida bazası'!$E$2:$E$103,MATCH(C1386,'Qida bazası'!$A$2:$A$103,0))*D1386/100,"?"))</f>
        <v/>
      </c>
      <c r="G1386" s="19">
        <f>IF(OR(C1386="",D1386=""),"",IFERROR(INDEX('Qida bazası'!$F$2:$F$103,MATCH(C1386,'Qida bazası'!$A$2:$A$103,0))*D1386/100,"?"))</f>
        <v/>
      </c>
      <c r="H1386" s="19">
        <f>IF(OR(C1386="",D1386=""),"",IFERROR(INDEX('Qida bazası'!$G$2:$G$103,MATCH(C1386,'Qida bazası'!$A$2:$A$103,0))*D1386/100,"?"))</f>
        <v/>
      </c>
    </row>
    <row r="1387">
      <c r="A1387" s="21" t="n"/>
      <c r="E1387" s="18">
        <f>IF(OR(C1387="",D1387=""),"",IFERROR(INDEX('Qida bazası'!$D$2:$D$103,MATCH(C1387,'Qida bazası'!$A$2:$A$103,0))*D1387/100,"?"))</f>
        <v/>
      </c>
      <c r="F1387" s="19">
        <f>IF(OR(C1387="",D1387=""),"",IFERROR(INDEX('Qida bazası'!$E$2:$E$103,MATCH(C1387,'Qida bazası'!$A$2:$A$103,0))*D1387/100,"?"))</f>
        <v/>
      </c>
      <c r="G1387" s="19">
        <f>IF(OR(C1387="",D1387=""),"",IFERROR(INDEX('Qida bazası'!$F$2:$F$103,MATCH(C1387,'Qida bazası'!$A$2:$A$103,0))*D1387/100,"?"))</f>
        <v/>
      </c>
      <c r="H1387" s="19">
        <f>IF(OR(C1387="",D1387=""),"",IFERROR(INDEX('Qida bazası'!$G$2:$G$103,MATCH(C1387,'Qida bazası'!$A$2:$A$103,0))*D1387/100,"?"))</f>
        <v/>
      </c>
    </row>
    <row r="1388">
      <c r="A1388" s="21" t="n"/>
      <c r="E1388" s="18">
        <f>IF(OR(C1388="",D1388=""),"",IFERROR(INDEX('Qida bazası'!$D$2:$D$103,MATCH(C1388,'Qida bazası'!$A$2:$A$103,0))*D1388/100,"?"))</f>
        <v/>
      </c>
      <c r="F1388" s="19">
        <f>IF(OR(C1388="",D1388=""),"",IFERROR(INDEX('Qida bazası'!$E$2:$E$103,MATCH(C1388,'Qida bazası'!$A$2:$A$103,0))*D1388/100,"?"))</f>
        <v/>
      </c>
      <c r="G1388" s="19">
        <f>IF(OR(C1388="",D1388=""),"",IFERROR(INDEX('Qida bazası'!$F$2:$F$103,MATCH(C1388,'Qida bazası'!$A$2:$A$103,0))*D1388/100,"?"))</f>
        <v/>
      </c>
      <c r="H1388" s="19">
        <f>IF(OR(C1388="",D1388=""),"",IFERROR(INDEX('Qida bazası'!$G$2:$G$103,MATCH(C1388,'Qida bazası'!$A$2:$A$103,0))*D1388/100,"?"))</f>
        <v/>
      </c>
    </row>
    <row r="1389">
      <c r="A1389" s="21" t="n"/>
      <c r="E1389" s="18">
        <f>IF(OR(C1389="",D1389=""),"",IFERROR(INDEX('Qida bazası'!$D$2:$D$103,MATCH(C1389,'Qida bazası'!$A$2:$A$103,0))*D1389/100,"?"))</f>
        <v/>
      </c>
      <c r="F1389" s="19">
        <f>IF(OR(C1389="",D1389=""),"",IFERROR(INDEX('Qida bazası'!$E$2:$E$103,MATCH(C1389,'Qida bazası'!$A$2:$A$103,0))*D1389/100,"?"))</f>
        <v/>
      </c>
      <c r="G1389" s="19">
        <f>IF(OR(C1389="",D1389=""),"",IFERROR(INDEX('Qida bazası'!$F$2:$F$103,MATCH(C1389,'Qida bazası'!$A$2:$A$103,0))*D1389/100,"?"))</f>
        <v/>
      </c>
      <c r="H1389" s="19">
        <f>IF(OR(C1389="",D1389=""),"",IFERROR(INDEX('Qida bazası'!$G$2:$G$103,MATCH(C1389,'Qida bazası'!$A$2:$A$103,0))*D1389/100,"?"))</f>
        <v/>
      </c>
    </row>
    <row r="1390">
      <c r="A1390" s="21" t="n"/>
      <c r="E1390" s="18">
        <f>IF(OR(C1390="",D1390=""),"",IFERROR(INDEX('Qida bazası'!$D$2:$D$103,MATCH(C1390,'Qida bazası'!$A$2:$A$103,0))*D1390/100,"?"))</f>
        <v/>
      </c>
      <c r="F1390" s="19">
        <f>IF(OR(C1390="",D1390=""),"",IFERROR(INDEX('Qida bazası'!$E$2:$E$103,MATCH(C1390,'Qida bazası'!$A$2:$A$103,0))*D1390/100,"?"))</f>
        <v/>
      </c>
      <c r="G1390" s="19">
        <f>IF(OR(C1390="",D1390=""),"",IFERROR(INDEX('Qida bazası'!$F$2:$F$103,MATCH(C1390,'Qida bazası'!$A$2:$A$103,0))*D1390/100,"?"))</f>
        <v/>
      </c>
      <c r="H1390" s="19">
        <f>IF(OR(C1390="",D1390=""),"",IFERROR(INDEX('Qida bazası'!$G$2:$G$103,MATCH(C1390,'Qida bazası'!$A$2:$A$103,0))*D1390/100,"?"))</f>
        <v/>
      </c>
    </row>
    <row r="1391">
      <c r="A1391" s="21" t="n"/>
      <c r="E1391" s="18">
        <f>IF(OR(C1391="",D1391=""),"",IFERROR(INDEX('Qida bazası'!$D$2:$D$103,MATCH(C1391,'Qida bazası'!$A$2:$A$103,0))*D1391/100,"?"))</f>
        <v/>
      </c>
      <c r="F1391" s="19">
        <f>IF(OR(C1391="",D1391=""),"",IFERROR(INDEX('Qida bazası'!$E$2:$E$103,MATCH(C1391,'Qida bazası'!$A$2:$A$103,0))*D1391/100,"?"))</f>
        <v/>
      </c>
      <c r="G1391" s="19">
        <f>IF(OR(C1391="",D1391=""),"",IFERROR(INDEX('Qida bazası'!$F$2:$F$103,MATCH(C1391,'Qida bazası'!$A$2:$A$103,0))*D1391/100,"?"))</f>
        <v/>
      </c>
      <c r="H1391" s="19">
        <f>IF(OR(C1391="",D1391=""),"",IFERROR(INDEX('Qida bazası'!$G$2:$G$103,MATCH(C1391,'Qida bazası'!$A$2:$A$103,0))*D1391/100,"?"))</f>
        <v/>
      </c>
    </row>
    <row r="1392">
      <c r="A1392" s="21" t="n"/>
      <c r="E1392" s="18">
        <f>IF(OR(C1392="",D1392=""),"",IFERROR(INDEX('Qida bazası'!$D$2:$D$103,MATCH(C1392,'Qida bazası'!$A$2:$A$103,0))*D1392/100,"?"))</f>
        <v/>
      </c>
      <c r="F1392" s="19">
        <f>IF(OR(C1392="",D1392=""),"",IFERROR(INDEX('Qida bazası'!$E$2:$E$103,MATCH(C1392,'Qida bazası'!$A$2:$A$103,0))*D1392/100,"?"))</f>
        <v/>
      </c>
      <c r="G1392" s="19">
        <f>IF(OR(C1392="",D1392=""),"",IFERROR(INDEX('Qida bazası'!$F$2:$F$103,MATCH(C1392,'Qida bazası'!$A$2:$A$103,0))*D1392/100,"?"))</f>
        <v/>
      </c>
      <c r="H1392" s="19">
        <f>IF(OR(C1392="",D1392=""),"",IFERROR(INDEX('Qida bazası'!$G$2:$G$103,MATCH(C1392,'Qida bazası'!$A$2:$A$103,0))*D1392/100,"?"))</f>
        <v/>
      </c>
    </row>
    <row r="1393">
      <c r="A1393" s="21" t="n"/>
      <c r="E1393" s="18">
        <f>IF(OR(C1393="",D1393=""),"",IFERROR(INDEX('Qida bazası'!$D$2:$D$103,MATCH(C1393,'Qida bazası'!$A$2:$A$103,0))*D1393/100,"?"))</f>
        <v/>
      </c>
      <c r="F1393" s="19">
        <f>IF(OR(C1393="",D1393=""),"",IFERROR(INDEX('Qida bazası'!$E$2:$E$103,MATCH(C1393,'Qida bazası'!$A$2:$A$103,0))*D1393/100,"?"))</f>
        <v/>
      </c>
      <c r="G1393" s="19">
        <f>IF(OR(C1393="",D1393=""),"",IFERROR(INDEX('Qida bazası'!$F$2:$F$103,MATCH(C1393,'Qida bazası'!$A$2:$A$103,0))*D1393/100,"?"))</f>
        <v/>
      </c>
      <c r="H1393" s="19">
        <f>IF(OR(C1393="",D1393=""),"",IFERROR(INDEX('Qida bazası'!$G$2:$G$103,MATCH(C1393,'Qida bazası'!$A$2:$A$103,0))*D1393/100,"?"))</f>
        <v/>
      </c>
    </row>
    <row r="1394">
      <c r="A1394" s="21" t="n"/>
      <c r="E1394" s="18">
        <f>IF(OR(C1394="",D1394=""),"",IFERROR(INDEX('Qida bazası'!$D$2:$D$103,MATCH(C1394,'Qida bazası'!$A$2:$A$103,0))*D1394/100,"?"))</f>
        <v/>
      </c>
      <c r="F1394" s="19">
        <f>IF(OR(C1394="",D1394=""),"",IFERROR(INDEX('Qida bazası'!$E$2:$E$103,MATCH(C1394,'Qida bazası'!$A$2:$A$103,0))*D1394/100,"?"))</f>
        <v/>
      </c>
      <c r="G1394" s="19">
        <f>IF(OR(C1394="",D1394=""),"",IFERROR(INDEX('Qida bazası'!$F$2:$F$103,MATCH(C1394,'Qida bazası'!$A$2:$A$103,0))*D1394/100,"?"))</f>
        <v/>
      </c>
      <c r="H1394" s="19">
        <f>IF(OR(C1394="",D1394=""),"",IFERROR(INDEX('Qida bazası'!$G$2:$G$103,MATCH(C1394,'Qida bazası'!$A$2:$A$103,0))*D1394/100,"?"))</f>
        <v/>
      </c>
    </row>
    <row r="1395">
      <c r="A1395" s="21" t="n"/>
      <c r="E1395" s="18">
        <f>IF(OR(C1395="",D1395=""),"",IFERROR(INDEX('Qida bazası'!$D$2:$D$103,MATCH(C1395,'Qida bazası'!$A$2:$A$103,0))*D1395/100,"?"))</f>
        <v/>
      </c>
      <c r="F1395" s="19">
        <f>IF(OR(C1395="",D1395=""),"",IFERROR(INDEX('Qida bazası'!$E$2:$E$103,MATCH(C1395,'Qida bazası'!$A$2:$A$103,0))*D1395/100,"?"))</f>
        <v/>
      </c>
      <c r="G1395" s="19">
        <f>IF(OR(C1395="",D1395=""),"",IFERROR(INDEX('Qida bazası'!$F$2:$F$103,MATCH(C1395,'Qida bazası'!$A$2:$A$103,0))*D1395/100,"?"))</f>
        <v/>
      </c>
      <c r="H1395" s="19">
        <f>IF(OR(C1395="",D1395=""),"",IFERROR(INDEX('Qida bazası'!$G$2:$G$103,MATCH(C1395,'Qida bazası'!$A$2:$A$103,0))*D1395/100,"?"))</f>
        <v/>
      </c>
    </row>
    <row r="1396">
      <c r="A1396" s="21" t="n"/>
      <c r="E1396" s="18">
        <f>IF(OR(C1396="",D1396=""),"",IFERROR(INDEX('Qida bazası'!$D$2:$D$103,MATCH(C1396,'Qida bazası'!$A$2:$A$103,0))*D1396/100,"?"))</f>
        <v/>
      </c>
      <c r="F1396" s="19">
        <f>IF(OR(C1396="",D1396=""),"",IFERROR(INDEX('Qida bazası'!$E$2:$E$103,MATCH(C1396,'Qida bazası'!$A$2:$A$103,0))*D1396/100,"?"))</f>
        <v/>
      </c>
      <c r="G1396" s="19">
        <f>IF(OR(C1396="",D1396=""),"",IFERROR(INDEX('Qida bazası'!$F$2:$F$103,MATCH(C1396,'Qida bazası'!$A$2:$A$103,0))*D1396/100,"?"))</f>
        <v/>
      </c>
      <c r="H1396" s="19">
        <f>IF(OR(C1396="",D1396=""),"",IFERROR(INDEX('Qida bazası'!$G$2:$G$103,MATCH(C1396,'Qida bazası'!$A$2:$A$103,0))*D1396/100,"?"))</f>
        <v/>
      </c>
    </row>
    <row r="1397">
      <c r="A1397" s="21" t="n"/>
      <c r="E1397" s="18">
        <f>IF(OR(C1397="",D1397=""),"",IFERROR(INDEX('Qida bazası'!$D$2:$D$103,MATCH(C1397,'Qida bazası'!$A$2:$A$103,0))*D1397/100,"?"))</f>
        <v/>
      </c>
      <c r="F1397" s="19">
        <f>IF(OR(C1397="",D1397=""),"",IFERROR(INDEX('Qida bazası'!$E$2:$E$103,MATCH(C1397,'Qida bazası'!$A$2:$A$103,0))*D1397/100,"?"))</f>
        <v/>
      </c>
      <c r="G1397" s="19">
        <f>IF(OR(C1397="",D1397=""),"",IFERROR(INDEX('Qida bazası'!$F$2:$F$103,MATCH(C1397,'Qida bazası'!$A$2:$A$103,0))*D1397/100,"?"))</f>
        <v/>
      </c>
      <c r="H1397" s="19">
        <f>IF(OR(C1397="",D1397=""),"",IFERROR(INDEX('Qida bazası'!$G$2:$G$103,MATCH(C1397,'Qida bazası'!$A$2:$A$103,0))*D1397/100,"?"))</f>
        <v/>
      </c>
    </row>
    <row r="1398">
      <c r="A1398" s="21" t="n"/>
      <c r="E1398" s="18">
        <f>IF(OR(C1398="",D1398=""),"",IFERROR(INDEX('Qida bazası'!$D$2:$D$103,MATCH(C1398,'Qida bazası'!$A$2:$A$103,0))*D1398/100,"?"))</f>
        <v/>
      </c>
      <c r="F1398" s="19">
        <f>IF(OR(C1398="",D1398=""),"",IFERROR(INDEX('Qida bazası'!$E$2:$E$103,MATCH(C1398,'Qida bazası'!$A$2:$A$103,0))*D1398/100,"?"))</f>
        <v/>
      </c>
      <c r="G1398" s="19">
        <f>IF(OR(C1398="",D1398=""),"",IFERROR(INDEX('Qida bazası'!$F$2:$F$103,MATCH(C1398,'Qida bazası'!$A$2:$A$103,0))*D1398/100,"?"))</f>
        <v/>
      </c>
      <c r="H1398" s="19">
        <f>IF(OR(C1398="",D1398=""),"",IFERROR(INDEX('Qida bazası'!$G$2:$G$103,MATCH(C1398,'Qida bazası'!$A$2:$A$103,0))*D1398/100,"?"))</f>
        <v/>
      </c>
    </row>
    <row r="1399">
      <c r="A1399" s="21" t="n"/>
      <c r="E1399" s="18">
        <f>IF(OR(C1399="",D1399=""),"",IFERROR(INDEX('Qida bazası'!$D$2:$D$103,MATCH(C1399,'Qida bazası'!$A$2:$A$103,0))*D1399/100,"?"))</f>
        <v/>
      </c>
      <c r="F1399" s="19">
        <f>IF(OR(C1399="",D1399=""),"",IFERROR(INDEX('Qida bazası'!$E$2:$E$103,MATCH(C1399,'Qida bazası'!$A$2:$A$103,0))*D1399/100,"?"))</f>
        <v/>
      </c>
      <c r="G1399" s="19">
        <f>IF(OR(C1399="",D1399=""),"",IFERROR(INDEX('Qida bazası'!$F$2:$F$103,MATCH(C1399,'Qida bazası'!$A$2:$A$103,0))*D1399/100,"?"))</f>
        <v/>
      </c>
      <c r="H1399" s="19">
        <f>IF(OR(C1399="",D1399=""),"",IFERROR(INDEX('Qida bazası'!$G$2:$G$103,MATCH(C1399,'Qida bazası'!$A$2:$A$103,0))*D1399/100,"?"))</f>
        <v/>
      </c>
    </row>
    <row r="1400">
      <c r="A1400" s="21" t="n"/>
      <c r="E1400" s="18">
        <f>IF(OR(C1400="",D1400=""),"",IFERROR(INDEX('Qida bazası'!$D$2:$D$103,MATCH(C1400,'Qida bazası'!$A$2:$A$103,0))*D1400/100,"?"))</f>
        <v/>
      </c>
      <c r="F1400" s="19">
        <f>IF(OR(C1400="",D1400=""),"",IFERROR(INDEX('Qida bazası'!$E$2:$E$103,MATCH(C1400,'Qida bazası'!$A$2:$A$103,0))*D1400/100,"?"))</f>
        <v/>
      </c>
      <c r="G1400" s="19">
        <f>IF(OR(C1400="",D1400=""),"",IFERROR(INDEX('Qida bazası'!$F$2:$F$103,MATCH(C1400,'Qida bazası'!$A$2:$A$103,0))*D1400/100,"?"))</f>
        <v/>
      </c>
      <c r="H1400" s="19">
        <f>IF(OR(C1400="",D1400=""),"",IFERROR(INDEX('Qida bazası'!$G$2:$G$103,MATCH(C1400,'Qida bazası'!$A$2:$A$103,0))*D1400/100,"?"))</f>
        <v/>
      </c>
    </row>
    <row r="1401">
      <c r="A1401" s="21" t="n"/>
      <c r="E1401" s="18">
        <f>IF(OR(C1401="",D1401=""),"",IFERROR(INDEX('Qida bazası'!$D$2:$D$103,MATCH(C1401,'Qida bazası'!$A$2:$A$103,0))*D1401/100,"?"))</f>
        <v/>
      </c>
      <c r="F1401" s="19">
        <f>IF(OR(C1401="",D1401=""),"",IFERROR(INDEX('Qida bazası'!$E$2:$E$103,MATCH(C1401,'Qida bazası'!$A$2:$A$103,0))*D1401/100,"?"))</f>
        <v/>
      </c>
      <c r="G1401" s="19">
        <f>IF(OR(C1401="",D1401=""),"",IFERROR(INDEX('Qida bazası'!$F$2:$F$103,MATCH(C1401,'Qida bazası'!$A$2:$A$103,0))*D1401/100,"?"))</f>
        <v/>
      </c>
      <c r="H1401" s="19">
        <f>IF(OR(C1401="",D1401=""),"",IFERROR(INDEX('Qida bazası'!$G$2:$G$103,MATCH(C1401,'Qida bazası'!$A$2:$A$103,0))*D1401/100,"?"))</f>
        <v/>
      </c>
    </row>
    <row r="1402">
      <c r="A1402" s="21" t="n"/>
      <c r="E1402" s="18">
        <f>IF(OR(C1402="",D1402=""),"",IFERROR(INDEX('Qida bazası'!$D$2:$D$103,MATCH(C1402,'Qida bazası'!$A$2:$A$103,0))*D1402/100,"?"))</f>
        <v/>
      </c>
      <c r="F1402" s="19">
        <f>IF(OR(C1402="",D1402=""),"",IFERROR(INDEX('Qida bazası'!$E$2:$E$103,MATCH(C1402,'Qida bazası'!$A$2:$A$103,0))*D1402/100,"?"))</f>
        <v/>
      </c>
      <c r="G1402" s="19">
        <f>IF(OR(C1402="",D1402=""),"",IFERROR(INDEX('Qida bazası'!$F$2:$F$103,MATCH(C1402,'Qida bazası'!$A$2:$A$103,0))*D1402/100,"?"))</f>
        <v/>
      </c>
      <c r="H1402" s="19">
        <f>IF(OR(C1402="",D1402=""),"",IFERROR(INDEX('Qida bazası'!$G$2:$G$103,MATCH(C1402,'Qida bazası'!$A$2:$A$103,0))*D1402/100,"?"))</f>
        <v/>
      </c>
    </row>
    <row r="1403">
      <c r="A1403" s="21" t="n"/>
      <c r="E1403" s="18">
        <f>IF(OR(C1403="",D1403=""),"",IFERROR(INDEX('Qida bazası'!$D$2:$D$103,MATCH(C1403,'Qida bazası'!$A$2:$A$103,0))*D1403/100,"?"))</f>
        <v/>
      </c>
      <c r="F1403" s="19">
        <f>IF(OR(C1403="",D1403=""),"",IFERROR(INDEX('Qida bazası'!$E$2:$E$103,MATCH(C1403,'Qida bazası'!$A$2:$A$103,0))*D1403/100,"?"))</f>
        <v/>
      </c>
      <c r="G1403" s="19">
        <f>IF(OR(C1403="",D1403=""),"",IFERROR(INDEX('Qida bazası'!$F$2:$F$103,MATCH(C1403,'Qida bazası'!$A$2:$A$103,0))*D1403/100,"?"))</f>
        <v/>
      </c>
      <c r="H1403" s="19">
        <f>IF(OR(C1403="",D1403=""),"",IFERROR(INDEX('Qida bazası'!$G$2:$G$103,MATCH(C1403,'Qida bazası'!$A$2:$A$103,0))*D1403/100,"?"))</f>
        <v/>
      </c>
    </row>
    <row r="1404">
      <c r="A1404" s="21" t="n"/>
      <c r="E1404" s="18">
        <f>IF(OR(C1404="",D1404=""),"",IFERROR(INDEX('Qida bazası'!$D$2:$D$103,MATCH(C1404,'Qida bazası'!$A$2:$A$103,0))*D1404/100,"?"))</f>
        <v/>
      </c>
      <c r="F1404" s="19">
        <f>IF(OR(C1404="",D1404=""),"",IFERROR(INDEX('Qida bazası'!$E$2:$E$103,MATCH(C1404,'Qida bazası'!$A$2:$A$103,0))*D1404/100,"?"))</f>
        <v/>
      </c>
      <c r="G1404" s="19">
        <f>IF(OR(C1404="",D1404=""),"",IFERROR(INDEX('Qida bazası'!$F$2:$F$103,MATCH(C1404,'Qida bazası'!$A$2:$A$103,0))*D1404/100,"?"))</f>
        <v/>
      </c>
      <c r="H1404" s="19">
        <f>IF(OR(C1404="",D1404=""),"",IFERROR(INDEX('Qida bazası'!$G$2:$G$103,MATCH(C1404,'Qida bazası'!$A$2:$A$103,0))*D1404/100,"?"))</f>
        <v/>
      </c>
    </row>
    <row r="1405">
      <c r="A1405" s="21" t="n"/>
      <c r="E1405" s="18">
        <f>IF(OR(C1405="",D1405=""),"",IFERROR(INDEX('Qida bazası'!$D$2:$D$103,MATCH(C1405,'Qida bazası'!$A$2:$A$103,0))*D1405/100,"?"))</f>
        <v/>
      </c>
      <c r="F1405" s="19">
        <f>IF(OR(C1405="",D1405=""),"",IFERROR(INDEX('Qida bazası'!$E$2:$E$103,MATCH(C1405,'Qida bazası'!$A$2:$A$103,0))*D1405/100,"?"))</f>
        <v/>
      </c>
      <c r="G1405" s="19">
        <f>IF(OR(C1405="",D1405=""),"",IFERROR(INDEX('Qida bazası'!$F$2:$F$103,MATCH(C1405,'Qida bazası'!$A$2:$A$103,0))*D1405/100,"?"))</f>
        <v/>
      </c>
      <c r="H1405" s="19">
        <f>IF(OR(C1405="",D1405=""),"",IFERROR(INDEX('Qida bazası'!$G$2:$G$103,MATCH(C1405,'Qida bazası'!$A$2:$A$103,0))*D1405/100,"?"))</f>
        <v/>
      </c>
    </row>
    <row r="1406">
      <c r="A1406" s="21" t="n"/>
      <c r="E1406" s="18">
        <f>IF(OR(C1406="",D1406=""),"",IFERROR(INDEX('Qida bazası'!$D$2:$D$103,MATCH(C1406,'Qida bazası'!$A$2:$A$103,0))*D1406/100,"?"))</f>
        <v/>
      </c>
      <c r="F1406" s="19">
        <f>IF(OR(C1406="",D1406=""),"",IFERROR(INDEX('Qida bazası'!$E$2:$E$103,MATCH(C1406,'Qida bazası'!$A$2:$A$103,0))*D1406/100,"?"))</f>
        <v/>
      </c>
      <c r="G1406" s="19">
        <f>IF(OR(C1406="",D1406=""),"",IFERROR(INDEX('Qida bazası'!$F$2:$F$103,MATCH(C1406,'Qida bazası'!$A$2:$A$103,0))*D1406/100,"?"))</f>
        <v/>
      </c>
      <c r="H1406" s="19">
        <f>IF(OR(C1406="",D1406=""),"",IFERROR(INDEX('Qida bazası'!$G$2:$G$103,MATCH(C1406,'Qida bazası'!$A$2:$A$103,0))*D1406/100,"?"))</f>
        <v/>
      </c>
    </row>
    <row r="1407">
      <c r="A1407" s="21" t="n"/>
      <c r="E1407" s="18">
        <f>IF(OR(C1407="",D1407=""),"",IFERROR(INDEX('Qida bazası'!$D$2:$D$103,MATCH(C1407,'Qida bazası'!$A$2:$A$103,0))*D1407/100,"?"))</f>
        <v/>
      </c>
      <c r="F1407" s="19">
        <f>IF(OR(C1407="",D1407=""),"",IFERROR(INDEX('Qida bazası'!$E$2:$E$103,MATCH(C1407,'Qida bazası'!$A$2:$A$103,0))*D1407/100,"?"))</f>
        <v/>
      </c>
      <c r="G1407" s="19">
        <f>IF(OR(C1407="",D1407=""),"",IFERROR(INDEX('Qida bazası'!$F$2:$F$103,MATCH(C1407,'Qida bazası'!$A$2:$A$103,0))*D1407/100,"?"))</f>
        <v/>
      </c>
      <c r="H1407" s="19">
        <f>IF(OR(C1407="",D1407=""),"",IFERROR(INDEX('Qida bazası'!$G$2:$G$103,MATCH(C1407,'Qida bazası'!$A$2:$A$103,0))*D1407/100,"?"))</f>
        <v/>
      </c>
    </row>
    <row r="1408">
      <c r="A1408" s="21" t="n"/>
      <c r="E1408" s="18">
        <f>IF(OR(C1408="",D1408=""),"",IFERROR(INDEX('Qida bazası'!$D$2:$D$103,MATCH(C1408,'Qida bazası'!$A$2:$A$103,0))*D1408/100,"?"))</f>
        <v/>
      </c>
      <c r="F1408" s="19">
        <f>IF(OR(C1408="",D1408=""),"",IFERROR(INDEX('Qida bazası'!$E$2:$E$103,MATCH(C1408,'Qida bazası'!$A$2:$A$103,0))*D1408/100,"?"))</f>
        <v/>
      </c>
      <c r="G1408" s="19">
        <f>IF(OR(C1408="",D1408=""),"",IFERROR(INDEX('Qida bazası'!$F$2:$F$103,MATCH(C1408,'Qida bazası'!$A$2:$A$103,0))*D1408/100,"?"))</f>
        <v/>
      </c>
      <c r="H1408" s="19">
        <f>IF(OR(C1408="",D1408=""),"",IFERROR(INDEX('Qida bazası'!$G$2:$G$103,MATCH(C1408,'Qida bazası'!$A$2:$A$103,0))*D1408/100,"?"))</f>
        <v/>
      </c>
    </row>
    <row r="1409">
      <c r="A1409" s="21" t="n"/>
      <c r="E1409" s="18">
        <f>IF(OR(C1409="",D1409=""),"",IFERROR(INDEX('Qida bazası'!$D$2:$D$103,MATCH(C1409,'Qida bazası'!$A$2:$A$103,0))*D1409/100,"?"))</f>
        <v/>
      </c>
      <c r="F1409" s="19">
        <f>IF(OR(C1409="",D1409=""),"",IFERROR(INDEX('Qida bazası'!$E$2:$E$103,MATCH(C1409,'Qida bazası'!$A$2:$A$103,0))*D1409/100,"?"))</f>
        <v/>
      </c>
      <c r="G1409" s="19">
        <f>IF(OR(C1409="",D1409=""),"",IFERROR(INDEX('Qida bazası'!$F$2:$F$103,MATCH(C1409,'Qida bazası'!$A$2:$A$103,0))*D1409/100,"?"))</f>
        <v/>
      </c>
      <c r="H1409" s="19">
        <f>IF(OR(C1409="",D1409=""),"",IFERROR(INDEX('Qida bazası'!$G$2:$G$103,MATCH(C1409,'Qida bazası'!$A$2:$A$103,0))*D1409/100,"?"))</f>
        <v/>
      </c>
    </row>
    <row r="1410">
      <c r="A1410" s="21" t="n"/>
      <c r="E1410" s="18">
        <f>IF(OR(C1410="",D1410=""),"",IFERROR(INDEX('Qida bazası'!$D$2:$D$103,MATCH(C1410,'Qida bazası'!$A$2:$A$103,0))*D1410/100,"?"))</f>
        <v/>
      </c>
      <c r="F1410" s="19">
        <f>IF(OR(C1410="",D1410=""),"",IFERROR(INDEX('Qida bazası'!$E$2:$E$103,MATCH(C1410,'Qida bazası'!$A$2:$A$103,0))*D1410/100,"?"))</f>
        <v/>
      </c>
      <c r="G1410" s="19">
        <f>IF(OR(C1410="",D1410=""),"",IFERROR(INDEX('Qida bazası'!$F$2:$F$103,MATCH(C1410,'Qida bazası'!$A$2:$A$103,0))*D1410/100,"?"))</f>
        <v/>
      </c>
      <c r="H1410" s="19">
        <f>IF(OR(C1410="",D1410=""),"",IFERROR(INDEX('Qida bazası'!$G$2:$G$103,MATCH(C1410,'Qida bazası'!$A$2:$A$103,0))*D1410/100,"?"))</f>
        <v/>
      </c>
    </row>
    <row r="1411">
      <c r="A1411" s="21" t="n"/>
      <c r="E1411" s="18">
        <f>IF(OR(C1411="",D1411=""),"",IFERROR(INDEX('Qida bazası'!$D$2:$D$103,MATCH(C1411,'Qida bazası'!$A$2:$A$103,0))*D1411/100,"?"))</f>
        <v/>
      </c>
      <c r="F1411" s="19">
        <f>IF(OR(C1411="",D1411=""),"",IFERROR(INDEX('Qida bazası'!$E$2:$E$103,MATCH(C1411,'Qida bazası'!$A$2:$A$103,0))*D1411/100,"?"))</f>
        <v/>
      </c>
      <c r="G1411" s="19">
        <f>IF(OR(C1411="",D1411=""),"",IFERROR(INDEX('Qida bazası'!$F$2:$F$103,MATCH(C1411,'Qida bazası'!$A$2:$A$103,0))*D1411/100,"?"))</f>
        <v/>
      </c>
      <c r="H1411" s="19">
        <f>IF(OR(C1411="",D1411=""),"",IFERROR(INDEX('Qida bazası'!$G$2:$G$103,MATCH(C1411,'Qida bazası'!$A$2:$A$103,0))*D1411/100,"?"))</f>
        <v/>
      </c>
    </row>
    <row r="1412">
      <c r="A1412" s="21" t="n"/>
      <c r="E1412" s="18">
        <f>IF(OR(C1412="",D1412=""),"",IFERROR(INDEX('Qida bazası'!$D$2:$D$103,MATCH(C1412,'Qida bazası'!$A$2:$A$103,0))*D1412/100,"?"))</f>
        <v/>
      </c>
      <c r="F1412" s="19">
        <f>IF(OR(C1412="",D1412=""),"",IFERROR(INDEX('Qida bazası'!$E$2:$E$103,MATCH(C1412,'Qida bazası'!$A$2:$A$103,0))*D1412/100,"?"))</f>
        <v/>
      </c>
      <c r="G1412" s="19">
        <f>IF(OR(C1412="",D1412=""),"",IFERROR(INDEX('Qida bazası'!$F$2:$F$103,MATCH(C1412,'Qida bazası'!$A$2:$A$103,0))*D1412/100,"?"))</f>
        <v/>
      </c>
      <c r="H1412" s="19">
        <f>IF(OR(C1412="",D1412=""),"",IFERROR(INDEX('Qida bazası'!$G$2:$G$103,MATCH(C1412,'Qida bazası'!$A$2:$A$103,0))*D1412/100,"?"))</f>
        <v/>
      </c>
    </row>
    <row r="1413">
      <c r="A1413" s="21" t="n"/>
      <c r="E1413" s="18">
        <f>IF(OR(C1413="",D1413=""),"",IFERROR(INDEX('Qida bazası'!$D$2:$D$103,MATCH(C1413,'Qida bazası'!$A$2:$A$103,0))*D1413/100,"?"))</f>
        <v/>
      </c>
      <c r="F1413" s="19">
        <f>IF(OR(C1413="",D1413=""),"",IFERROR(INDEX('Qida bazası'!$E$2:$E$103,MATCH(C1413,'Qida bazası'!$A$2:$A$103,0))*D1413/100,"?"))</f>
        <v/>
      </c>
      <c r="G1413" s="19">
        <f>IF(OR(C1413="",D1413=""),"",IFERROR(INDEX('Qida bazası'!$F$2:$F$103,MATCH(C1413,'Qida bazası'!$A$2:$A$103,0))*D1413/100,"?"))</f>
        <v/>
      </c>
      <c r="H1413" s="19">
        <f>IF(OR(C1413="",D1413=""),"",IFERROR(INDEX('Qida bazası'!$G$2:$G$103,MATCH(C1413,'Qida bazası'!$A$2:$A$103,0))*D1413/100,"?"))</f>
        <v/>
      </c>
    </row>
    <row r="1414">
      <c r="A1414" s="21" t="n"/>
      <c r="E1414" s="18">
        <f>IF(OR(C1414="",D1414=""),"",IFERROR(INDEX('Qida bazası'!$D$2:$D$103,MATCH(C1414,'Qida bazası'!$A$2:$A$103,0))*D1414/100,"?"))</f>
        <v/>
      </c>
      <c r="F1414" s="19">
        <f>IF(OR(C1414="",D1414=""),"",IFERROR(INDEX('Qida bazası'!$E$2:$E$103,MATCH(C1414,'Qida bazası'!$A$2:$A$103,0))*D1414/100,"?"))</f>
        <v/>
      </c>
      <c r="G1414" s="19">
        <f>IF(OR(C1414="",D1414=""),"",IFERROR(INDEX('Qida bazası'!$F$2:$F$103,MATCH(C1414,'Qida bazası'!$A$2:$A$103,0))*D1414/100,"?"))</f>
        <v/>
      </c>
      <c r="H1414" s="19">
        <f>IF(OR(C1414="",D1414=""),"",IFERROR(INDEX('Qida bazası'!$G$2:$G$103,MATCH(C1414,'Qida bazası'!$A$2:$A$103,0))*D1414/100,"?"))</f>
        <v/>
      </c>
    </row>
    <row r="1415">
      <c r="A1415" s="21" t="n"/>
      <c r="E1415" s="18">
        <f>IF(OR(C1415="",D1415=""),"",IFERROR(INDEX('Qida bazası'!$D$2:$D$103,MATCH(C1415,'Qida bazası'!$A$2:$A$103,0))*D1415/100,"?"))</f>
        <v/>
      </c>
      <c r="F1415" s="19">
        <f>IF(OR(C1415="",D1415=""),"",IFERROR(INDEX('Qida bazası'!$E$2:$E$103,MATCH(C1415,'Qida bazası'!$A$2:$A$103,0))*D1415/100,"?"))</f>
        <v/>
      </c>
      <c r="G1415" s="19">
        <f>IF(OR(C1415="",D1415=""),"",IFERROR(INDEX('Qida bazası'!$F$2:$F$103,MATCH(C1415,'Qida bazası'!$A$2:$A$103,0))*D1415/100,"?"))</f>
        <v/>
      </c>
      <c r="H1415" s="19">
        <f>IF(OR(C1415="",D1415=""),"",IFERROR(INDEX('Qida bazası'!$G$2:$G$103,MATCH(C1415,'Qida bazası'!$A$2:$A$103,0))*D1415/100,"?"))</f>
        <v/>
      </c>
    </row>
    <row r="1416">
      <c r="A1416" s="21" t="n"/>
      <c r="E1416" s="18">
        <f>IF(OR(C1416="",D1416=""),"",IFERROR(INDEX('Qida bazası'!$D$2:$D$103,MATCH(C1416,'Qida bazası'!$A$2:$A$103,0))*D1416/100,"?"))</f>
        <v/>
      </c>
      <c r="F1416" s="19">
        <f>IF(OR(C1416="",D1416=""),"",IFERROR(INDEX('Qida bazası'!$E$2:$E$103,MATCH(C1416,'Qida bazası'!$A$2:$A$103,0))*D1416/100,"?"))</f>
        <v/>
      </c>
      <c r="G1416" s="19">
        <f>IF(OR(C1416="",D1416=""),"",IFERROR(INDEX('Qida bazası'!$F$2:$F$103,MATCH(C1416,'Qida bazası'!$A$2:$A$103,0))*D1416/100,"?"))</f>
        <v/>
      </c>
      <c r="H1416" s="19">
        <f>IF(OR(C1416="",D1416=""),"",IFERROR(INDEX('Qida bazası'!$G$2:$G$103,MATCH(C1416,'Qida bazası'!$A$2:$A$103,0))*D1416/100,"?"))</f>
        <v/>
      </c>
    </row>
    <row r="1417">
      <c r="A1417" s="21" t="n"/>
      <c r="E1417" s="18">
        <f>IF(OR(C1417="",D1417=""),"",IFERROR(INDEX('Qida bazası'!$D$2:$D$103,MATCH(C1417,'Qida bazası'!$A$2:$A$103,0))*D1417/100,"?"))</f>
        <v/>
      </c>
      <c r="F1417" s="19">
        <f>IF(OR(C1417="",D1417=""),"",IFERROR(INDEX('Qida bazası'!$E$2:$E$103,MATCH(C1417,'Qida bazası'!$A$2:$A$103,0))*D1417/100,"?"))</f>
        <v/>
      </c>
      <c r="G1417" s="19">
        <f>IF(OR(C1417="",D1417=""),"",IFERROR(INDEX('Qida bazası'!$F$2:$F$103,MATCH(C1417,'Qida bazası'!$A$2:$A$103,0))*D1417/100,"?"))</f>
        <v/>
      </c>
      <c r="H1417" s="19">
        <f>IF(OR(C1417="",D1417=""),"",IFERROR(INDEX('Qida bazası'!$G$2:$G$103,MATCH(C1417,'Qida bazası'!$A$2:$A$103,0))*D1417/100,"?"))</f>
        <v/>
      </c>
    </row>
    <row r="1418">
      <c r="A1418" s="21" t="n"/>
      <c r="E1418" s="18">
        <f>IF(OR(C1418="",D1418=""),"",IFERROR(INDEX('Qida bazası'!$D$2:$D$103,MATCH(C1418,'Qida bazası'!$A$2:$A$103,0))*D1418/100,"?"))</f>
        <v/>
      </c>
      <c r="F1418" s="19">
        <f>IF(OR(C1418="",D1418=""),"",IFERROR(INDEX('Qida bazası'!$E$2:$E$103,MATCH(C1418,'Qida bazası'!$A$2:$A$103,0))*D1418/100,"?"))</f>
        <v/>
      </c>
      <c r="G1418" s="19">
        <f>IF(OR(C1418="",D1418=""),"",IFERROR(INDEX('Qida bazası'!$F$2:$F$103,MATCH(C1418,'Qida bazası'!$A$2:$A$103,0))*D1418/100,"?"))</f>
        <v/>
      </c>
      <c r="H1418" s="19">
        <f>IF(OR(C1418="",D1418=""),"",IFERROR(INDEX('Qida bazası'!$G$2:$G$103,MATCH(C1418,'Qida bazası'!$A$2:$A$103,0))*D1418/100,"?"))</f>
        <v/>
      </c>
    </row>
    <row r="1419">
      <c r="A1419" s="21" t="n"/>
      <c r="E1419" s="18">
        <f>IF(OR(C1419="",D1419=""),"",IFERROR(INDEX('Qida bazası'!$D$2:$D$103,MATCH(C1419,'Qida bazası'!$A$2:$A$103,0))*D1419/100,"?"))</f>
        <v/>
      </c>
      <c r="F1419" s="19">
        <f>IF(OR(C1419="",D1419=""),"",IFERROR(INDEX('Qida bazası'!$E$2:$E$103,MATCH(C1419,'Qida bazası'!$A$2:$A$103,0))*D1419/100,"?"))</f>
        <v/>
      </c>
      <c r="G1419" s="19">
        <f>IF(OR(C1419="",D1419=""),"",IFERROR(INDEX('Qida bazası'!$F$2:$F$103,MATCH(C1419,'Qida bazası'!$A$2:$A$103,0))*D1419/100,"?"))</f>
        <v/>
      </c>
      <c r="H1419" s="19">
        <f>IF(OR(C1419="",D1419=""),"",IFERROR(INDEX('Qida bazası'!$G$2:$G$103,MATCH(C1419,'Qida bazası'!$A$2:$A$103,0))*D1419/100,"?"))</f>
        <v/>
      </c>
    </row>
    <row r="1420">
      <c r="A1420" s="21" t="n"/>
      <c r="E1420" s="18">
        <f>IF(OR(C1420="",D1420=""),"",IFERROR(INDEX('Qida bazası'!$D$2:$D$103,MATCH(C1420,'Qida bazası'!$A$2:$A$103,0))*D1420/100,"?"))</f>
        <v/>
      </c>
      <c r="F1420" s="19">
        <f>IF(OR(C1420="",D1420=""),"",IFERROR(INDEX('Qida bazası'!$E$2:$E$103,MATCH(C1420,'Qida bazası'!$A$2:$A$103,0))*D1420/100,"?"))</f>
        <v/>
      </c>
      <c r="G1420" s="19">
        <f>IF(OR(C1420="",D1420=""),"",IFERROR(INDEX('Qida bazası'!$F$2:$F$103,MATCH(C1420,'Qida bazası'!$A$2:$A$103,0))*D1420/100,"?"))</f>
        <v/>
      </c>
      <c r="H1420" s="19">
        <f>IF(OR(C1420="",D1420=""),"",IFERROR(INDEX('Qida bazası'!$G$2:$G$103,MATCH(C1420,'Qida bazası'!$A$2:$A$103,0))*D1420/100,"?"))</f>
        <v/>
      </c>
    </row>
    <row r="1421">
      <c r="A1421" s="21" t="n"/>
      <c r="E1421" s="18">
        <f>IF(OR(C1421="",D1421=""),"",IFERROR(INDEX('Qida bazası'!$D$2:$D$103,MATCH(C1421,'Qida bazası'!$A$2:$A$103,0))*D1421/100,"?"))</f>
        <v/>
      </c>
      <c r="F1421" s="19">
        <f>IF(OR(C1421="",D1421=""),"",IFERROR(INDEX('Qida bazası'!$E$2:$E$103,MATCH(C1421,'Qida bazası'!$A$2:$A$103,0))*D1421/100,"?"))</f>
        <v/>
      </c>
      <c r="G1421" s="19">
        <f>IF(OR(C1421="",D1421=""),"",IFERROR(INDEX('Qida bazası'!$F$2:$F$103,MATCH(C1421,'Qida bazası'!$A$2:$A$103,0))*D1421/100,"?"))</f>
        <v/>
      </c>
      <c r="H1421" s="19">
        <f>IF(OR(C1421="",D1421=""),"",IFERROR(INDEX('Qida bazası'!$G$2:$G$103,MATCH(C1421,'Qida bazası'!$A$2:$A$103,0))*D1421/100,"?"))</f>
        <v/>
      </c>
    </row>
    <row r="1422">
      <c r="A1422" s="21" t="n"/>
      <c r="E1422" s="18">
        <f>IF(OR(C1422="",D1422=""),"",IFERROR(INDEX('Qida bazası'!$D$2:$D$103,MATCH(C1422,'Qida bazası'!$A$2:$A$103,0))*D1422/100,"?"))</f>
        <v/>
      </c>
      <c r="F1422" s="19">
        <f>IF(OR(C1422="",D1422=""),"",IFERROR(INDEX('Qida bazası'!$E$2:$E$103,MATCH(C1422,'Qida bazası'!$A$2:$A$103,0))*D1422/100,"?"))</f>
        <v/>
      </c>
      <c r="G1422" s="19">
        <f>IF(OR(C1422="",D1422=""),"",IFERROR(INDEX('Qida bazası'!$F$2:$F$103,MATCH(C1422,'Qida bazası'!$A$2:$A$103,0))*D1422/100,"?"))</f>
        <v/>
      </c>
      <c r="H1422" s="19">
        <f>IF(OR(C1422="",D1422=""),"",IFERROR(INDEX('Qida bazası'!$G$2:$G$103,MATCH(C1422,'Qida bazası'!$A$2:$A$103,0))*D1422/100,"?"))</f>
        <v/>
      </c>
    </row>
    <row r="1423">
      <c r="A1423" s="21" t="n"/>
      <c r="E1423" s="18">
        <f>IF(OR(C1423="",D1423=""),"",IFERROR(INDEX('Qida bazası'!$D$2:$D$103,MATCH(C1423,'Qida bazası'!$A$2:$A$103,0))*D1423/100,"?"))</f>
        <v/>
      </c>
      <c r="F1423" s="19">
        <f>IF(OR(C1423="",D1423=""),"",IFERROR(INDEX('Qida bazası'!$E$2:$E$103,MATCH(C1423,'Qida bazası'!$A$2:$A$103,0))*D1423/100,"?"))</f>
        <v/>
      </c>
      <c r="G1423" s="19">
        <f>IF(OR(C1423="",D1423=""),"",IFERROR(INDEX('Qida bazası'!$F$2:$F$103,MATCH(C1423,'Qida bazası'!$A$2:$A$103,0))*D1423/100,"?"))</f>
        <v/>
      </c>
      <c r="H1423" s="19">
        <f>IF(OR(C1423="",D1423=""),"",IFERROR(INDEX('Qida bazası'!$G$2:$G$103,MATCH(C1423,'Qida bazası'!$A$2:$A$103,0))*D1423/100,"?"))</f>
        <v/>
      </c>
    </row>
    <row r="1424">
      <c r="A1424" s="21" t="n"/>
      <c r="E1424" s="18">
        <f>IF(OR(C1424="",D1424=""),"",IFERROR(INDEX('Qida bazası'!$D$2:$D$103,MATCH(C1424,'Qida bazası'!$A$2:$A$103,0))*D1424/100,"?"))</f>
        <v/>
      </c>
      <c r="F1424" s="19">
        <f>IF(OR(C1424="",D1424=""),"",IFERROR(INDEX('Qida bazası'!$E$2:$E$103,MATCH(C1424,'Qida bazası'!$A$2:$A$103,0))*D1424/100,"?"))</f>
        <v/>
      </c>
      <c r="G1424" s="19">
        <f>IF(OR(C1424="",D1424=""),"",IFERROR(INDEX('Qida bazası'!$F$2:$F$103,MATCH(C1424,'Qida bazası'!$A$2:$A$103,0))*D1424/100,"?"))</f>
        <v/>
      </c>
      <c r="H1424" s="19">
        <f>IF(OR(C1424="",D1424=""),"",IFERROR(INDEX('Qida bazası'!$G$2:$G$103,MATCH(C1424,'Qida bazası'!$A$2:$A$103,0))*D1424/100,"?"))</f>
        <v/>
      </c>
    </row>
    <row r="1425">
      <c r="A1425" s="21" t="n"/>
      <c r="E1425" s="18">
        <f>IF(OR(C1425="",D1425=""),"",IFERROR(INDEX('Qida bazası'!$D$2:$D$103,MATCH(C1425,'Qida bazası'!$A$2:$A$103,0))*D1425/100,"?"))</f>
        <v/>
      </c>
      <c r="F1425" s="19">
        <f>IF(OR(C1425="",D1425=""),"",IFERROR(INDEX('Qida bazası'!$E$2:$E$103,MATCH(C1425,'Qida bazası'!$A$2:$A$103,0))*D1425/100,"?"))</f>
        <v/>
      </c>
      <c r="G1425" s="19">
        <f>IF(OR(C1425="",D1425=""),"",IFERROR(INDEX('Qida bazası'!$F$2:$F$103,MATCH(C1425,'Qida bazası'!$A$2:$A$103,0))*D1425/100,"?"))</f>
        <v/>
      </c>
      <c r="H1425" s="19">
        <f>IF(OR(C1425="",D1425=""),"",IFERROR(INDEX('Qida bazası'!$G$2:$G$103,MATCH(C1425,'Qida bazası'!$A$2:$A$103,0))*D1425/100,"?"))</f>
        <v/>
      </c>
    </row>
    <row r="1426">
      <c r="A1426" s="21" t="n"/>
      <c r="E1426" s="18">
        <f>IF(OR(C1426="",D1426=""),"",IFERROR(INDEX('Qida bazası'!$D$2:$D$103,MATCH(C1426,'Qida bazası'!$A$2:$A$103,0))*D1426/100,"?"))</f>
        <v/>
      </c>
      <c r="F1426" s="19">
        <f>IF(OR(C1426="",D1426=""),"",IFERROR(INDEX('Qida bazası'!$E$2:$E$103,MATCH(C1426,'Qida bazası'!$A$2:$A$103,0))*D1426/100,"?"))</f>
        <v/>
      </c>
      <c r="G1426" s="19">
        <f>IF(OR(C1426="",D1426=""),"",IFERROR(INDEX('Qida bazası'!$F$2:$F$103,MATCH(C1426,'Qida bazası'!$A$2:$A$103,0))*D1426/100,"?"))</f>
        <v/>
      </c>
      <c r="H1426" s="19">
        <f>IF(OR(C1426="",D1426=""),"",IFERROR(INDEX('Qida bazası'!$G$2:$G$103,MATCH(C1426,'Qida bazası'!$A$2:$A$103,0))*D1426/100,"?"))</f>
        <v/>
      </c>
    </row>
    <row r="1427">
      <c r="A1427" s="21" t="n"/>
      <c r="E1427" s="18">
        <f>IF(OR(C1427="",D1427=""),"",IFERROR(INDEX('Qida bazası'!$D$2:$D$103,MATCH(C1427,'Qida bazası'!$A$2:$A$103,0))*D1427/100,"?"))</f>
        <v/>
      </c>
      <c r="F1427" s="19">
        <f>IF(OR(C1427="",D1427=""),"",IFERROR(INDEX('Qida bazası'!$E$2:$E$103,MATCH(C1427,'Qida bazası'!$A$2:$A$103,0))*D1427/100,"?"))</f>
        <v/>
      </c>
      <c r="G1427" s="19">
        <f>IF(OR(C1427="",D1427=""),"",IFERROR(INDEX('Qida bazası'!$F$2:$F$103,MATCH(C1427,'Qida bazası'!$A$2:$A$103,0))*D1427/100,"?"))</f>
        <v/>
      </c>
      <c r="H1427" s="19">
        <f>IF(OR(C1427="",D1427=""),"",IFERROR(INDEX('Qida bazası'!$G$2:$G$103,MATCH(C1427,'Qida bazası'!$A$2:$A$103,0))*D1427/100,"?"))</f>
        <v/>
      </c>
    </row>
    <row r="1428">
      <c r="A1428" s="21" t="n"/>
      <c r="E1428" s="18">
        <f>IF(OR(C1428="",D1428=""),"",IFERROR(INDEX('Qida bazası'!$D$2:$D$103,MATCH(C1428,'Qida bazası'!$A$2:$A$103,0))*D1428/100,"?"))</f>
        <v/>
      </c>
      <c r="F1428" s="19">
        <f>IF(OR(C1428="",D1428=""),"",IFERROR(INDEX('Qida bazası'!$E$2:$E$103,MATCH(C1428,'Qida bazası'!$A$2:$A$103,0))*D1428/100,"?"))</f>
        <v/>
      </c>
      <c r="G1428" s="19">
        <f>IF(OR(C1428="",D1428=""),"",IFERROR(INDEX('Qida bazası'!$F$2:$F$103,MATCH(C1428,'Qida bazası'!$A$2:$A$103,0))*D1428/100,"?"))</f>
        <v/>
      </c>
      <c r="H1428" s="19">
        <f>IF(OR(C1428="",D1428=""),"",IFERROR(INDEX('Qida bazası'!$G$2:$G$103,MATCH(C1428,'Qida bazası'!$A$2:$A$103,0))*D1428/100,"?"))</f>
        <v/>
      </c>
    </row>
    <row r="1429">
      <c r="A1429" s="21" t="n"/>
      <c r="E1429" s="18">
        <f>IF(OR(C1429="",D1429=""),"",IFERROR(INDEX('Qida bazası'!$D$2:$D$103,MATCH(C1429,'Qida bazası'!$A$2:$A$103,0))*D1429/100,"?"))</f>
        <v/>
      </c>
      <c r="F1429" s="19">
        <f>IF(OR(C1429="",D1429=""),"",IFERROR(INDEX('Qida bazası'!$E$2:$E$103,MATCH(C1429,'Qida bazası'!$A$2:$A$103,0))*D1429/100,"?"))</f>
        <v/>
      </c>
      <c r="G1429" s="19">
        <f>IF(OR(C1429="",D1429=""),"",IFERROR(INDEX('Qida bazası'!$F$2:$F$103,MATCH(C1429,'Qida bazası'!$A$2:$A$103,0))*D1429/100,"?"))</f>
        <v/>
      </c>
      <c r="H1429" s="19">
        <f>IF(OR(C1429="",D1429=""),"",IFERROR(INDEX('Qida bazası'!$G$2:$G$103,MATCH(C1429,'Qida bazası'!$A$2:$A$103,0))*D1429/100,"?"))</f>
        <v/>
      </c>
    </row>
    <row r="1430">
      <c r="A1430" s="21" t="n"/>
      <c r="E1430" s="18">
        <f>IF(OR(C1430="",D1430=""),"",IFERROR(INDEX('Qida bazası'!$D$2:$D$103,MATCH(C1430,'Qida bazası'!$A$2:$A$103,0))*D1430/100,"?"))</f>
        <v/>
      </c>
      <c r="F1430" s="19">
        <f>IF(OR(C1430="",D1430=""),"",IFERROR(INDEX('Qida bazası'!$E$2:$E$103,MATCH(C1430,'Qida bazası'!$A$2:$A$103,0))*D1430/100,"?"))</f>
        <v/>
      </c>
      <c r="G1430" s="19">
        <f>IF(OR(C1430="",D1430=""),"",IFERROR(INDEX('Qida bazası'!$F$2:$F$103,MATCH(C1430,'Qida bazası'!$A$2:$A$103,0))*D1430/100,"?"))</f>
        <v/>
      </c>
      <c r="H1430" s="19">
        <f>IF(OR(C1430="",D1430=""),"",IFERROR(INDEX('Qida bazası'!$G$2:$G$103,MATCH(C1430,'Qida bazası'!$A$2:$A$103,0))*D1430/100,"?"))</f>
        <v/>
      </c>
    </row>
    <row r="1431">
      <c r="A1431" s="21" t="n"/>
      <c r="E1431" s="18">
        <f>IF(OR(C1431="",D1431=""),"",IFERROR(INDEX('Qida bazası'!$D$2:$D$103,MATCH(C1431,'Qida bazası'!$A$2:$A$103,0))*D1431/100,"?"))</f>
        <v/>
      </c>
      <c r="F1431" s="19">
        <f>IF(OR(C1431="",D1431=""),"",IFERROR(INDEX('Qida bazası'!$E$2:$E$103,MATCH(C1431,'Qida bazası'!$A$2:$A$103,0))*D1431/100,"?"))</f>
        <v/>
      </c>
      <c r="G1431" s="19">
        <f>IF(OR(C1431="",D1431=""),"",IFERROR(INDEX('Qida bazası'!$F$2:$F$103,MATCH(C1431,'Qida bazası'!$A$2:$A$103,0))*D1431/100,"?"))</f>
        <v/>
      </c>
      <c r="H1431" s="19">
        <f>IF(OR(C1431="",D1431=""),"",IFERROR(INDEX('Qida bazası'!$G$2:$G$103,MATCH(C1431,'Qida bazası'!$A$2:$A$103,0))*D1431/100,"?"))</f>
        <v/>
      </c>
    </row>
    <row r="1432">
      <c r="A1432" s="21" t="n"/>
      <c r="E1432" s="18">
        <f>IF(OR(C1432="",D1432=""),"",IFERROR(INDEX('Qida bazası'!$D$2:$D$103,MATCH(C1432,'Qida bazası'!$A$2:$A$103,0))*D1432/100,"?"))</f>
        <v/>
      </c>
      <c r="F1432" s="19">
        <f>IF(OR(C1432="",D1432=""),"",IFERROR(INDEX('Qida bazası'!$E$2:$E$103,MATCH(C1432,'Qida bazası'!$A$2:$A$103,0))*D1432/100,"?"))</f>
        <v/>
      </c>
      <c r="G1432" s="19">
        <f>IF(OR(C1432="",D1432=""),"",IFERROR(INDEX('Qida bazası'!$F$2:$F$103,MATCH(C1432,'Qida bazası'!$A$2:$A$103,0))*D1432/100,"?"))</f>
        <v/>
      </c>
      <c r="H1432" s="19">
        <f>IF(OR(C1432="",D1432=""),"",IFERROR(INDEX('Qida bazası'!$G$2:$G$103,MATCH(C1432,'Qida bazası'!$A$2:$A$103,0))*D1432/100,"?"))</f>
        <v/>
      </c>
    </row>
    <row r="1433">
      <c r="A1433" s="21" t="n"/>
      <c r="E1433" s="18">
        <f>IF(OR(C1433="",D1433=""),"",IFERROR(INDEX('Qida bazası'!$D$2:$D$103,MATCH(C1433,'Qida bazası'!$A$2:$A$103,0))*D1433/100,"?"))</f>
        <v/>
      </c>
      <c r="F1433" s="19">
        <f>IF(OR(C1433="",D1433=""),"",IFERROR(INDEX('Qida bazası'!$E$2:$E$103,MATCH(C1433,'Qida bazası'!$A$2:$A$103,0))*D1433/100,"?"))</f>
        <v/>
      </c>
      <c r="G1433" s="19">
        <f>IF(OR(C1433="",D1433=""),"",IFERROR(INDEX('Qida bazası'!$F$2:$F$103,MATCH(C1433,'Qida bazası'!$A$2:$A$103,0))*D1433/100,"?"))</f>
        <v/>
      </c>
      <c r="H1433" s="19">
        <f>IF(OR(C1433="",D1433=""),"",IFERROR(INDEX('Qida bazası'!$G$2:$G$103,MATCH(C1433,'Qida bazası'!$A$2:$A$103,0))*D1433/100,"?"))</f>
        <v/>
      </c>
    </row>
    <row r="1434">
      <c r="A1434" s="21" t="n"/>
      <c r="E1434" s="18">
        <f>IF(OR(C1434="",D1434=""),"",IFERROR(INDEX('Qida bazası'!$D$2:$D$103,MATCH(C1434,'Qida bazası'!$A$2:$A$103,0))*D1434/100,"?"))</f>
        <v/>
      </c>
      <c r="F1434" s="19">
        <f>IF(OR(C1434="",D1434=""),"",IFERROR(INDEX('Qida bazası'!$E$2:$E$103,MATCH(C1434,'Qida bazası'!$A$2:$A$103,0))*D1434/100,"?"))</f>
        <v/>
      </c>
      <c r="G1434" s="19">
        <f>IF(OR(C1434="",D1434=""),"",IFERROR(INDEX('Qida bazası'!$F$2:$F$103,MATCH(C1434,'Qida bazası'!$A$2:$A$103,0))*D1434/100,"?"))</f>
        <v/>
      </c>
      <c r="H1434" s="19">
        <f>IF(OR(C1434="",D1434=""),"",IFERROR(INDEX('Qida bazası'!$G$2:$G$103,MATCH(C1434,'Qida bazası'!$A$2:$A$103,0))*D1434/100,"?"))</f>
        <v/>
      </c>
    </row>
    <row r="1435">
      <c r="A1435" s="21" t="n"/>
      <c r="E1435" s="18">
        <f>IF(OR(C1435="",D1435=""),"",IFERROR(INDEX('Qida bazası'!$D$2:$D$103,MATCH(C1435,'Qida bazası'!$A$2:$A$103,0))*D1435/100,"?"))</f>
        <v/>
      </c>
      <c r="F1435" s="19">
        <f>IF(OR(C1435="",D1435=""),"",IFERROR(INDEX('Qida bazası'!$E$2:$E$103,MATCH(C1435,'Qida bazası'!$A$2:$A$103,0))*D1435/100,"?"))</f>
        <v/>
      </c>
      <c r="G1435" s="19">
        <f>IF(OR(C1435="",D1435=""),"",IFERROR(INDEX('Qida bazası'!$F$2:$F$103,MATCH(C1435,'Qida bazası'!$A$2:$A$103,0))*D1435/100,"?"))</f>
        <v/>
      </c>
      <c r="H1435" s="19">
        <f>IF(OR(C1435="",D1435=""),"",IFERROR(INDEX('Qida bazası'!$G$2:$G$103,MATCH(C1435,'Qida bazası'!$A$2:$A$103,0))*D1435/100,"?"))</f>
        <v/>
      </c>
    </row>
    <row r="1436">
      <c r="A1436" s="21" t="n"/>
      <c r="E1436" s="18">
        <f>IF(OR(C1436="",D1436=""),"",IFERROR(INDEX('Qida bazası'!$D$2:$D$103,MATCH(C1436,'Qida bazası'!$A$2:$A$103,0))*D1436/100,"?"))</f>
        <v/>
      </c>
      <c r="F1436" s="19">
        <f>IF(OR(C1436="",D1436=""),"",IFERROR(INDEX('Qida bazası'!$E$2:$E$103,MATCH(C1436,'Qida bazası'!$A$2:$A$103,0))*D1436/100,"?"))</f>
        <v/>
      </c>
      <c r="G1436" s="19">
        <f>IF(OR(C1436="",D1436=""),"",IFERROR(INDEX('Qida bazası'!$F$2:$F$103,MATCH(C1436,'Qida bazası'!$A$2:$A$103,0))*D1436/100,"?"))</f>
        <v/>
      </c>
      <c r="H1436" s="19">
        <f>IF(OR(C1436="",D1436=""),"",IFERROR(INDEX('Qida bazası'!$G$2:$G$103,MATCH(C1436,'Qida bazası'!$A$2:$A$103,0))*D1436/100,"?"))</f>
        <v/>
      </c>
    </row>
    <row r="1437">
      <c r="A1437" s="21" t="n"/>
      <c r="E1437" s="18">
        <f>IF(OR(C1437="",D1437=""),"",IFERROR(INDEX('Qida bazası'!$D$2:$D$103,MATCH(C1437,'Qida bazası'!$A$2:$A$103,0))*D1437/100,"?"))</f>
        <v/>
      </c>
      <c r="F1437" s="19">
        <f>IF(OR(C1437="",D1437=""),"",IFERROR(INDEX('Qida bazası'!$E$2:$E$103,MATCH(C1437,'Qida bazası'!$A$2:$A$103,0))*D1437/100,"?"))</f>
        <v/>
      </c>
      <c r="G1437" s="19">
        <f>IF(OR(C1437="",D1437=""),"",IFERROR(INDEX('Qida bazası'!$F$2:$F$103,MATCH(C1437,'Qida bazası'!$A$2:$A$103,0))*D1437/100,"?"))</f>
        <v/>
      </c>
      <c r="H1437" s="19">
        <f>IF(OR(C1437="",D1437=""),"",IFERROR(INDEX('Qida bazası'!$G$2:$G$103,MATCH(C1437,'Qida bazası'!$A$2:$A$103,0))*D1437/100,"?"))</f>
        <v/>
      </c>
    </row>
    <row r="1438">
      <c r="A1438" s="21" t="n"/>
      <c r="E1438" s="18">
        <f>IF(OR(C1438="",D1438=""),"",IFERROR(INDEX('Qida bazası'!$D$2:$D$103,MATCH(C1438,'Qida bazası'!$A$2:$A$103,0))*D1438/100,"?"))</f>
        <v/>
      </c>
      <c r="F1438" s="19">
        <f>IF(OR(C1438="",D1438=""),"",IFERROR(INDEX('Qida bazası'!$E$2:$E$103,MATCH(C1438,'Qida bazası'!$A$2:$A$103,0))*D1438/100,"?"))</f>
        <v/>
      </c>
      <c r="G1438" s="19">
        <f>IF(OR(C1438="",D1438=""),"",IFERROR(INDEX('Qida bazası'!$F$2:$F$103,MATCH(C1438,'Qida bazası'!$A$2:$A$103,0))*D1438/100,"?"))</f>
        <v/>
      </c>
      <c r="H1438" s="19">
        <f>IF(OR(C1438="",D1438=""),"",IFERROR(INDEX('Qida bazası'!$G$2:$G$103,MATCH(C1438,'Qida bazası'!$A$2:$A$103,0))*D1438/100,"?"))</f>
        <v/>
      </c>
    </row>
    <row r="1439">
      <c r="A1439" s="21" t="n"/>
      <c r="E1439" s="18">
        <f>IF(OR(C1439="",D1439=""),"",IFERROR(INDEX('Qida bazası'!$D$2:$D$103,MATCH(C1439,'Qida bazası'!$A$2:$A$103,0))*D1439/100,"?"))</f>
        <v/>
      </c>
      <c r="F1439" s="19">
        <f>IF(OR(C1439="",D1439=""),"",IFERROR(INDEX('Qida bazası'!$E$2:$E$103,MATCH(C1439,'Qida bazası'!$A$2:$A$103,0))*D1439/100,"?"))</f>
        <v/>
      </c>
      <c r="G1439" s="19">
        <f>IF(OR(C1439="",D1439=""),"",IFERROR(INDEX('Qida bazası'!$F$2:$F$103,MATCH(C1439,'Qida bazası'!$A$2:$A$103,0))*D1439/100,"?"))</f>
        <v/>
      </c>
      <c r="H1439" s="19">
        <f>IF(OR(C1439="",D1439=""),"",IFERROR(INDEX('Qida bazası'!$G$2:$G$103,MATCH(C1439,'Qida bazası'!$A$2:$A$103,0))*D1439/100,"?"))</f>
        <v/>
      </c>
    </row>
    <row r="1440">
      <c r="A1440" s="21" t="n"/>
      <c r="E1440" s="18">
        <f>IF(OR(C1440="",D1440=""),"",IFERROR(INDEX('Qida bazası'!$D$2:$D$103,MATCH(C1440,'Qida bazası'!$A$2:$A$103,0))*D1440/100,"?"))</f>
        <v/>
      </c>
      <c r="F1440" s="19">
        <f>IF(OR(C1440="",D1440=""),"",IFERROR(INDEX('Qida bazası'!$E$2:$E$103,MATCH(C1440,'Qida bazası'!$A$2:$A$103,0))*D1440/100,"?"))</f>
        <v/>
      </c>
      <c r="G1440" s="19">
        <f>IF(OR(C1440="",D1440=""),"",IFERROR(INDEX('Qida bazası'!$F$2:$F$103,MATCH(C1440,'Qida bazası'!$A$2:$A$103,0))*D1440/100,"?"))</f>
        <v/>
      </c>
      <c r="H1440" s="19">
        <f>IF(OR(C1440="",D1440=""),"",IFERROR(INDEX('Qida bazası'!$G$2:$G$103,MATCH(C1440,'Qida bazası'!$A$2:$A$103,0))*D1440/100,"?"))</f>
        <v/>
      </c>
    </row>
    <row r="1441">
      <c r="A1441" s="21" t="n"/>
      <c r="E1441" s="18">
        <f>IF(OR(C1441="",D1441=""),"",IFERROR(INDEX('Qida bazası'!$D$2:$D$103,MATCH(C1441,'Qida bazası'!$A$2:$A$103,0))*D1441/100,"?"))</f>
        <v/>
      </c>
      <c r="F1441" s="19">
        <f>IF(OR(C1441="",D1441=""),"",IFERROR(INDEX('Qida bazası'!$E$2:$E$103,MATCH(C1441,'Qida bazası'!$A$2:$A$103,0))*D1441/100,"?"))</f>
        <v/>
      </c>
      <c r="G1441" s="19">
        <f>IF(OR(C1441="",D1441=""),"",IFERROR(INDEX('Qida bazası'!$F$2:$F$103,MATCH(C1441,'Qida bazası'!$A$2:$A$103,0))*D1441/100,"?"))</f>
        <v/>
      </c>
      <c r="H1441" s="19">
        <f>IF(OR(C1441="",D1441=""),"",IFERROR(INDEX('Qida bazası'!$G$2:$G$103,MATCH(C1441,'Qida bazası'!$A$2:$A$103,0))*D1441/100,"?"))</f>
        <v/>
      </c>
    </row>
    <row r="1442">
      <c r="A1442" s="21" t="n"/>
      <c r="E1442" s="18">
        <f>IF(OR(C1442="",D1442=""),"",IFERROR(INDEX('Qida bazası'!$D$2:$D$103,MATCH(C1442,'Qida bazası'!$A$2:$A$103,0))*D1442/100,"?"))</f>
        <v/>
      </c>
      <c r="F1442" s="19">
        <f>IF(OR(C1442="",D1442=""),"",IFERROR(INDEX('Qida bazası'!$E$2:$E$103,MATCH(C1442,'Qida bazası'!$A$2:$A$103,0))*D1442/100,"?"))</f>
        <v/>
      </c>
      <c r="G1442" s="19">
        <f>IF(OR(C1442="",D1442=""),"",IFERROR(INDEX('Qida bazası'!$F$2:$F$103,MATCH(C1442,'Qida bazası'!$A$2:$A$103,0))*D1442/100,"?"))</f>
        <v/>
      </c>
      <c r="H1442" s="19">
        <f>IF(OR(C1442="",D1442=""),"",IFERROR(INDEX('Qida bazası'!$G$2:$G$103,MATCH(C1442,'Qida bazası'!$A$2:$A$103,0))*D1442/100,"?"))</f>
        <v/>
      </c>
    </row>
    <row r="1443">
      <c r="A1443" s="21" t="n"/>
      <c r="E1443" s="18">
        <f>IF(OR(C1443="",D1443=""),"",IFERROR(INDEX('Qida bazası'!$D$2:$D$103,MATCH(C1443,'Qida bazası'!$A$2:$A$103,0))*D1443/100,"?"))</f>
        <v/>
      </c>
      <c r="F1443" s="19">
        <f>IF(OR(C1443="",D1443=""),"",IFERROR(INDEX('Qida bazası'!$E$2:$E$103,MATCH(C1443,'Qida bazası'!$A$2:$A$103,0))*D1443/100,"?"))</f>
        <v/>
      </c>
      <c r="G1443" s="19">
        <f>IF(OR(C1443="",D1443=""),"",IFERROR(INDEX('Qida bazası'!$F$2:$F$103,MATCH(C1443,'Qida bazası'!$A$2:$A$103,0))*D1443/100,"?"))</f>
        <v/>
      </c>
      <c r="H1443" s="19">
        <f>IF(OR(C1443="",D1443=""),"",IFERROR(INDEX('Qida bazası'!$G$2:$G$103,MATCH(C1443,'Qida bazası'!$A$2:$A$103,0))*D1443/100,"?"))</f>
        <v/>
      </c>
    </row>
    <row r="1444">
      <c r="A1444" s="21" t="n"/>
      <c r="E1444" s="18">
        <f>IF(OR(C1444="",D1444=""),"",IFERROR(INDEX('Qida bazası'!$D$2:$D$103,MATCH(C1444,'Qida bazası'!$A$2:$A$103,0))*D1444/100,"?"))</f>
        <v/>
      </c>
      <c r="F1444" s="19">
        <f>IF(OR(C1444="",D1444=""),"",IFERROR(INDEX('Qida bazası'!$E$2:$E$103,MATCH(C1444,'Qida bazası'!$A$2:$A$103,0))*D1444/100,"?"))</f>
        <v/>
      </c>
      <c r="G1444" s="19">
        <f>IF(OR(C1444="",D1444=""),"",IFERROR(INDEX('Qida bazası'!$F$2:$F$103,MATCH(C1444,'Qida bazası'!$A$2:$A$103,0))*D1444/100,"?"))</f>
        <v/>
      </c>
      <c r="H1444" s="19">
        <f>IF(OR(C1444="",D1444=""),"",IFERROR(INDEX('Qida bazası'!$G$2:$G$103,MATCH(C1444,'Qida bazası'!$A$2:$A$103,0))*D1444/100,"?"))</f>
        <v/>
      </c>
    </row>
    <row r="1445">
      <c r="A1445" s="21" t="n"/>
      <c r="E1445" s="18">
        <f>IF(OR(C1445="",D1445=""),"",IFERROR(INDEX('Qida bazası'!$D$2:$D$103,MATCH(C1445,'Qida bazası'!$A$2:$A$103,0))*D1445/100,"?"))</f>
        <v/>
      </c>
      <c r="F1445" s="19">
        <f>IF(OR(C1445="",D1445=""),"",IFERROR(INDEX('Qida bazası'!$E$2:$E$103,MATCH(C1445,'Qida bazası'!$A$2:$A$103,0))*D1445/100,"?"))</f>
        <v/>
      </c>
      <c r="G1445" s="19">
        <f>IF(OR(C1445="",D1445=""),"",IFERROR(INDEX('Qida bazası'!$F$2:$F$103,MATCH(C1445,'Qida bazası'!$A$2:$A$103,0))*D1445/100,"?"))</f>
        <v/>
      </c>
      <c r="H1445" s="19">
        <f>IF(OR(C1445="",D1445=""),"",IFERROR(INDEX('Qida bazası'!$G$2:$G$103,MATCH(C1445,'Qida bazası'!$A$2:$A$103,0))*D1445/100,"?"))</f>
        <v/>
      </c>
    </row>
    <row r="1446">
      <c r="A1446" s="21" t="n"/>
      <c r="E1446" s="18">
        <f>IF(OR(C1446="",D1446=""),"",IFERROR(INDEX('Qida bazası'!$D$2:$D$103,MATCH(C1446,'Qida bazası'!$A$2:$A$103,0))*D1446/100,"?"))</f>
        <v/>
      </c>
      <c r="F1446" s="19">
        <f>IF(OR(C1446="",D1446=""),"",IFERROR(INDEX('Qida bazası'!$E$2:$E$103,MATCH(C1446,'Qida bazası'!$A$2:$A$103,0))*D1446/100,"?"))</f>
        <v/>
      </c>
      <c r="G1446" s="19">
        <f>IF(OR(C1446="",D1446=""),"",IFERROR(INDEX('Qida bazası'!$F$2:$F$103,MATCH(C1446,'Qida bazası'!$A$2:$A$103,0))*D1446/100,"?"))</f>
        <v/>
      </c>
      <c r="H1446" s="19">
        <f>IF(OR(C1446="",D1446=""),"",IFERROR(INDEX('Qida bazası'!$G$2:$G$103,MATCH(C1446,'Qida bazası'!$A$2:$A$103,0))*D1446/100,"?"))</f>
        <v/>
      </c>
    </row>
    <row r="1447">
      <c r="A1447" s="21" t="n"/>
      <c r="E1447" s="18">
        <f>IF(OR(C1447="",D1447=""),"",IFERROR(INDEX('Qida bazası'!$D$2:$D$103,MATCH(C1447,'Qida bazası'!$A$2:$A$103,0))*D1447/100,"?"))</f>
        <v/>
      </c>
      <c r="F1447" s="19">
        <f>IF(OR(C1447="",D1447=""),"",IFERROR(INDEX('Qida bazası'!$E$2:$E$103,MATCH(C1447,'Qida bazası'!$A$2:$A$103,0))*D1447/100,"?"))</f>
        <v/>
      </c>
      <c r="G1447" s="19">
        <f>IF(OR(C1447="",D1447=""),"",IFERROR(INDEX('Qida bazası'!$F$2:$F$103,MATCH(C1447,'Qida bazası'!$A$2:$A$103,0))*D1447/100,"?"))</f>
        <v/>
      </c>
      <c r="H1447" s="19">
        <f>IF(OR(C1447="",D1447=""),"",IFERROR(INDEX('Qida bazası'!$G$2:$G$103,MATCH(C1447,'Qida bazası'!$A$2:$A$103,0))*D1447/100,"?"))</f>
        <v/>
      </c>
    </row>
    <row r="1448">
      <c r="A1448" s="21" t="n"/>
      <c r="E1448" s="18">
        <f>IF(OR(C1448="",D1448=""),"",IFERROR(INDEX('Qida bazası'!$D$2:$D$103,MATCH(C1448,'Qida bazası'!$A$2:$A$103,0))*D1448/100,"?"))</f>
        <v/>
      </c>
      <c r="F1448" s="19">
        <f>IF(OR(C1448="",D1448=""),"",IFERROR(INDEX('Qida bazası'!$E$2:$E$103,MATCH(C1448,'Qida bazası'!$A$2:$A$103,0))*D1448/100,"?"))</f>
        <v/>
      </c>
      <c r="G1448" s="19">
        <f>IF(OR(C1448="",D1448=""),"",IFERROR(INDEX('Qida bazası'!$F$2:$F$103,MATCH(C1448,'Qida bazası'!$A$2:$A$103,0))*D1448/100,"?"))</f>
        <v/>
      </c>
      <c r="H1448" s="19">
        <f>IF(OR(C1448="",D1448=""),"",IFERROR(INDEX('Qida bazası'!$G$2:$G$103,MATCH(C1448,'Qida bazası'!$A$2:$A$103,0))*D1448/100,"?"))</f>
        <v/>
      </c>
    </row>
    <row r="1449">
      <c r="A1449" s="21" t="n"/>
      <c r="E1449" s="18">
        <f>IF(OR(C1449="",D1449=""),"",IFERROR(INDEX('Qida bazası'!$D$2:$D$103,MATCH(C1449,'Qida bazası'!$A$2:$A$103,0))*D1449/100,"?"))</f>
        <v/>
      </c>
      <c r="F1449" s="19">
        <f>IF(OR(C1449="",D1449=""),"",IFERROR(INDEX('Qida bazası'!$E$2:$E$103,MATCH(C1449,'Qida bazası'!$A$2:$A$103,0))*D1449/100,"?"))</f>
        <v/>
      </c>
      <c r="G1449" s="19">
        <f>IF(OR(C1449="",D1449=""),"",IFERROR(INDEX('Qida bazası'!$F$2:$F$103,MATCH(C1449,'Qida bazası'!$A$2:$A$103,0))*D1449/100,"?"))</f>
        <v/>
      </c>
      <c r="H1449" s="19">
        <f>IF(OR(C1449="",D1449=""),"",IFERROR(INDEX('Qida bazası'!$G$2:$G$103,MATCH(C1449,'Qida bazası'!$A$2:$A$103,0))*D1449/100,"?"))</f>
        <v/>
      </c>
    </row>
    <row r="1450">
      <c r="A1450" s="21" t="n"/>
      <c r="E1450" s="18">
        <f>IF(OR(C1450="",D1450=""),"",IFERROR(INDEX('Qida bazası'!$D$2:$D$103,MATCH(C1450,'Qida bazası'!$A$2:$A$103,0))*D1450/100,"?"))</f>
        <v/>
      </c>
      <c r="F1450" s="19">
        <f>IF(OR(C1450="",D1450=""),"",IFERROR(INDEX('Qida bazası'!$E$2:$E$103,MATCH(C1450,'Qida bazası'!$A$2:$A$103,0))*D1450/100,"?"))</f>
        <v/>
      </c>
      <c r="G1450" s="19">
        <f>IF(OR(C1450="",D1450=""),"",IFERROR(INDEX('Qida bazası'!$F$2:$F$103,MATCH(C1450,'Qida bazası'!$A$2:$A$103,0))*D1450/100,"?"))</f>
        <v/>
      </c>
      <c r="H1450" s="19">
        <f>IF(OR(C1450="",D1450=""),"",IFERROR(INDEX('Qida bazası'!$G$2:$G$103,MATCH(C1450,'Qida bazası'!$A$2:$A$103,0))*D1450/100,"?"))</f>
        <v/>
      </c>
    </row>
    <row r="1451">
      <c r="A1451" s="21" t="n"/>
      <c r="E1451" s="18">
        <f>IF(OR(C1451="",D1451=""),"",IFERROR(INDEX('Qida bazası'!$D$2:$D$103,MATCH(C1451,'Qida bazası'!$A$2:$A$103,0))*D1451/100,"?"))</f>
        <v/>
      </c>
      <c r="F1451" s="19">
        <f>IF(OR(C1451="",D1451=""),"",IFERROR(INDEX('Qida bazası'!$E$2:$E$103,MATCH(C1451,'Qida bazası'!$A$2:$A$103,0))*D1451/100,"?"))</f>
        <v/>
      </c>
      <c r="G1451" s="19">
        <f>IF(OR(C1451="",D1451=""),"",IFERROR(INDEX('Qida bazası'!$F$2:$F$103,MATCH(C1451,'Qida bazası'!$A$2:$A$103,0))*D1451/100,"?"))</f>
        <v/>
      </c>
      <c r="H1451" s="19">
        <f>IF(OR(C1451="",D1451=""),"",IFERROR(INDEX('Qida bazası'!$G$2:$G$103,MATCH(C1451,'Qida bazası'!$A$2:$A$103,0))*D1451/100,"?"))</f>
        <v/>
      </c>
    </row>
    <row r="1452">
      <c r="A1452" s="21" t="n"/>
      <c r="E1452" s="18">
        <f>IF(OR(C1452="",D1452=""),"",IFERROR(INDEX('Qida bazası'!$D$2:$D$103,MATCH(C1452,'Qida bazası'!$A$2:$A$103,0))*D1452/100,"?"))</f>
        <v/>
      </c>
      <c r="F1452" s="19">
        <f>IF(OR(C1452="",D1452=""),"",IFERROR(INDEX('Qida bazası'!$E$2:$E$103,MATCH(C1452,'Qida bazası'!$A$2:$A$103,0))*D1452/100,"?"))</f>
        <v/>
      </c>
      <c r="G1452" s="19">
        <f>IF(OR(C1452="",D1452=""),"",IFERROR(INDEX('Qida bazası'!$F$2:$F$103,MATCH(C1452,'Qida bazası'!$A$2:$A$103,0))*D1452/100,"?"))</f>
        <v/>
      </c>
      <c r="H1452" s="19">
        <f>IF(OR(C1452="",D1452=""),"",IFERROR(INDEX('Qida bazası'!$G$2:$G$103,MATCH(C1452,'Qida bazası'!$A$2:$A$103,0))*D1452/100,"?"))</f>
        <v/>
      </c>
    </row>
    <row r="1453">
      <c r="A1453" s="21" t="n"/>
      <c r="E1453" s="18">
        <f>IF(OR(C1453="",D1453=""),"",IFERROR(INDEX('Qida bazası'!$D$2:$D$103,MATCH(C1453,'Qida bazası'!$A$2:$A$103,0))*D1453/100,"?"))</f>
        <v/>
      </c>
      <c r="F1453" s="19">
        <f>IF(OR(C1453="",D1453=""),"",IFERROR(INDEX('Qida bazası'!$E$2:$E$103,MATCH(C1453,'Qida bazası'!$A$2:$A$103,0))*D1453/100,"?"))</f>
        <v/>
      </c>
      <c r="G1453" s="19">
        <f>IF(OR(C1453="",D1453=""),"",IFERROR(INDEX('Qida bazası'!$F$2:$F$103,MATCH(C1453,'Qida bazası'!$A$2:$A$103,0))*D1453/100,"?"))</f>
        <v/>
      </c>
      <c r="H1453" s="19">
        <f>IF(OR(C1453="",D1453=""),"",IFERROR(INDEX('Qida bazası'!$G$2:$G$103,MATCH(C1453,'Qida bazası'!$A$2:$A$103,0))*D1453/100,"?"))</f>
        <v/>
      </c>
    </row>
    <row r="1454">
      <c r="A1454" s="21" t="n"/>
      <c r="E1454" s="18">
        <f>IF(OR(C1454="",D1454=""),"",IFERROR(INDEX('Qida bazası'!$D$2:$D$103,MATCH(C1454,'Qida bazası'!$A$2:$A$103,0))*D1454/100,"?"))</f>
        <v/>
      </c>
      <c r="F1454" s="19">
        <f>IF(OR(C1454="",D1454=""),"",IFERROR(INDEX('Qida bazası'!$E$2:$E$103,MATCH(C1454,'Qida bazası'!$A$2:$A$103,0))*D1454/100,"?"))</f>
        <v/>
      </c>
      <c r="G1454" s="19">
        <f>IF(OR(C1454="",D1454=""),"",IFERROR(INDEX('Qida bazası'!$F$2:$F$103,MATCH(C1454,'Qida bazası'!$A$2:$A$103,0))*D1454/100,"?"))</f>
        <v/>
      </c>
      <c r="H1454" s="19">
        <f>IF(OR(C1454="",D1454=""),"",IFERROR(INDEX('Qida bazası'!$G$2:$G$103,MATCH(C1454,'Qida bazası'!$A$2:$A$103,0))*D1454/100,"?"))</f>
        <v/>
      </c>
    </row>
    <row r="1455">
      <c r="A1455" s="21" t="n"/>
      <c r="E1455" s="18">
        <f>IF(OR(C1455="",D1455=""),"",IFERROR(INDEX('Qida bazası'!$D$2:$D$103,MATCH(C1455,'Qida bazası'!$A$2:$A$103,0))*D1455/100,"?"))</f>
        <v/>
      </c>
      <c r="F1455" s="19">
        <f>IF(OR(C1455="",D1455=""),"",IFERROR(INDEX('Qida bazası'!$E$2:$E$103,MATCH(C1455,'Qida bazası'!$A$2:$A$103,0))*D1455/100,"?"))</f>
        <v/>
      </c>
      <c r="G1455" s="19">
        <f>IF(OR(C1455="",D1455=""),"",IFERROR(INDEX('Qida bazası'!$F$2:$F$103,MATCH(C1455,'Qida bazası'!$A$2:$A$103,0))*D1455/100,"?"))</f>
        <v/>
      </c>
      <c r="H1455" s="19">
        <f>IF(OR(C1455="",D1455=""),"",IFERROR(INDEX('Qida bazası'!$G$2:$G$103,MATCH(C1455,'Qida bazası'!$A$2:$A$103,0))*D1455/100,"?"))</f>
        <v/>
      </c>
    </row>
    <row r="1456">
      <c r="A1456" s="21" t="n"/>
      <c r="E1456" s="18">
        <f>IF(OR(C1456="",D1456=""),"",IFERROR(INDEX('Qida bazası'!$D$2:$D$103,MATCH(C1456,'Qida bazası'!$A$2:$A$103,0))*D1456/100,"?"))</f>
        <v/>
      </c>
      <c r="F1456" s="19">
        <f>IF(OR(C1456="",D1456=""),"",IFERROR(INDEX('Qida bazası'!$E$2:$E$103,MATCH(C1456,'Qida bazası'!$A$2:$A$103,0))*D1456/100,"?"))</f>
        <v/>
      </c>
      <c r="G1456" s="19">
        <f>IF(OR(C1456="",D1456=""),"",IFERROR(INDEX('Qida bazası'!$F$2:$F$103,MATCH(C1456,'Qida bazası'!$A$2:$A$103,0))*D1456/100,"?"))</f>
        <v/>
      </c>
      <c r="H1456" s="19">
        <f>IF(OR(C1456="",D1456=""),"",IFERROR(INDEX('Qida bazası'!$G$2:$G$103,MATCH(C1456,'Qida bazası'!$A$2:$A$103,0))*D1456/100,"?"))</f>
        <v/>
      </c>
    </row>
    <row r="1457">
      <c r="A1457" s="21" t="n"/>
      <c r="E1457" s="18">
        <f>IF(OR(C1457="",D1457=""),"",IFERROR(INDEX('Qida bazası'!$D$2:$D$103,MATCH(C1457,'Qida bazası'!$A$2:$A$103,0))*D1457/100,"?"))</f>
        <v/>
      </c>
      <c r="F1457" s="19">
        <f>IF(OR(C1457="",D1457=""),"",IFERROR(INDEX('Qida bazası'!$E$2:$E$103,MATCH(C1457,'Qida bazası'!$A$2:$A$103,0))*D1457/100,"?"))</f>
        <v/>
      </c>
      <c r="G1457" s="19">
        <f>IF(OR(C1457="",D1457=""),"",IFERROR(INDEX('Qida bazası'!$F$2:$F$103,MATCH(C1457,'Qida bazası'!$A$2:$A$103,0))*D1457/100,"?"))</f>
        <v/>
      </c>
      <c r="H1457" s="19">
        <f>IF(OR(C1457="",D1457=""),"",IFERROR(INDEX('Qida bazası'!$G$2:$G$103,MATCH(C1457,'Qida bazası'!$A$2:$A$103,0))*D1457/100,"?"))</f>
        <v/>
      </c>
    </row>
    <row r="1458">
      <c r="A1458" s="21" t="n"/>
      <c r="E1458" s="18">
        <f>IF(OR(C1458="",D1458=""),"",IFERROR(INDEX('Qida bazası'!$D$2:$D$103,MATCH(C1458,'Qida bazası'!$A$2:$A$103,0))*D1458/100,"?"))</f>
        <v/>
      </c>
      <c r="F1458" s="19">
        <f>IF(OR(C1458="",D1458=""),"",IFERROR(INDEX('Qida bazası'!$E$2:$E$103,MATCH(C1458,'Qida bazası'!$A$2:$A$103,0))*D1458/100,"?"))</f>
        <v/>
      </c>
      <c r="G1458" s="19">
        <f>IF(OR(C1458="",D1458=""),"",IFERROR(INDEX('Qida bazası'!$F$2:$F$103,MATCH(C1458,'Qida bazası'!$A$2:$A$103,0))*D1458/100,"?"))</f>
        <v/>
      </c>
      <c r="H1458" s="19">
        <f>IF(OR(C1458="",D1458=""),"",IFERROR(INDEX('Qida bazası'!$G$2:$G$103,MATCH(C1458,'Qida bazası'!$A$2:$A$103,0))*D1458/100,"?"))</f>
        <v/>
      </c>
    </row>
    <row r="1459">
      <c r="A1459" s="21" t="n"/>
      <c r="E1459" s="18">
        <f>IF(OR(C1459="",D1459=""),"",IFERROR(INDEX('Qida bazası'!$D$2:$D$103,MATCH(C1459,'Qida bazası'!$A$2:$A$103,0))*D1459/100,"?"))</f>
        <v/>
      </c>
      <c r="F1459" s="19">
        <f>IF(OR(C1459="",D1459=""),"",IFERROR(INDEX('Qida bazası'!$E$2:$E$103,MATCH(C1459,'Qida bazası'!$A$2:$A$103,0))*D1459/100,"?"))</f>
        <v/>
      </c>
      <c r="G1459" s="19">
        <f>IF(OR(C1459="",D1459=""),"",IFERROR(INDEX('Qida bazası'!$F$2:$F$103,MATCH(C1459,'Qida bazası'!$A$2:$A$103,0))*D1459/100,"?"))</f>
        <v/>
      </c>
      <c r="H1459" s="19">
        <f>IF(OR(C1459="",D1459=""),"",IFERROR(INDEX('Qida bazası'!$G$2:$G$103,MATCH(C1459,'Qida bazası'!$A$2:$A$103,0))*D1459/100,"?"))</f>
        <v/>
      </c>
    </row>
    <row r="1460">
      <c r="A1460" s="21" t="n"/>
      <c r="E1460" s="18">
        <f>IF(OR(C1460="",D1460=""),"",IFERROR(INDEX('Qida bazası'!$D$2:$D$103,MATCH(C1460,'Qida bazası'!$A$2:$A$103,0))*D1460/100,"?"))</f>
        <v/>
      </c>
      <c r="F1460" s="19">
        <f>IF(OR(C1460="",D1460=""),"",IFERROR(INDEX('Qida bazası'!$E$2:$E$103,MATCH(C1460,'Qida bazası'!$A$2:$A$103,0))*D1460/100,"?"))</f>
        <v/>
      </c>
      <c r="G1460" s="19">
        <f>IF(OR(C1460="",D1460=""),"",IFERROR(INDEX('Qida bazası'!$F$2:$F$103,MATCH(C1460,'Qida bazası'!$A$2:$A$103,0))*D1460/100,"?"))</f>
        <v/>
      </c>
      <c r="H1460" s="19">
        <f>IF(OR(C1460="",D1460=""),"",IFERROR(INDEX('Qida bazası'!$G$2:$G$103,MATCH(C1460,'Qida bazası'!$A$2:$A$103,0))*D1460/100,"?"))</f>
        <v/>
      </c>
    </row>
    <row r="1461">
      <c r="A1461" s="21" t="n"/>
      <c r="E1461" s="18">
        <f>IF(OR(C1461="",D1461=""),"",IFERROR(INDEX('Qida bazası'!$D$2:$D$103,MATCH(C1461,'Qida bazası'!$A$2:$A$103,0))*D1461/100,"?"))</f>
        <v/>
      </c>
      <c r="F1461" s="19">
        <f>IF(OR(C1461="",D1461=""),"",IFERROR(INDEX('Qida bazası'!$E$2:$E$103,MATCH(C1461,'Qida bazası'!$A$2:$A$103,0))*D1461/100,"?"))</f>
        <v/>
      </c>
      <c r="G1461" s="19">
        <f>IF(OR(C1461="",D1461=""),"",IFERROR(INDEX('Qida bazası'!$F$2:$F$103,MATCH(C1461,'Qida bazası'!$A$2:$A$103,0))*D1461/100,"?"))</f>
        <v/>
      </c>
      <c r="H1461" s="19">
        <f>IF(OR(C1461="",D1461=""),"",IFERROR(INDEX('Qida bazası'!$G$2:$G$103,MATCH(C1461,'Qida bazası'!$A$2:$A$103,0))*D1461/100,"?"))</f>
        <v/>
      </c>
    </row>
    <row r="1462">
      <c r="A1462" s="21" t="n"/>
      <c r="E1462" s="18">
        <f>IF(OR(C1462="",D1462=""),"",IFERROR(INDEX('Qida bazası'!$D$2:$D$103,MATCH(C1462,'Qida bazası'!$A$2:$A$103,0))*D1462/100,"?"))</f>
        <v/>
      </c>
      <c r="F1462" s="19">
        <f>IF(OR(C1462="",D1462=""),"",IFERROR(INDEX('Qida bazası'!$E$2:$E$103,MATCH(C1462,'Qida bazası'!$A$2:$A$103,0))*D1462/100,"?"))</f>
        <v/>
      </c>
      <c r="G1462" s="19">
        <f>IF(OR(C1462="",D1462=""),"",IFERROR(INDEX('Qida bazası'!$F$2:$F$103,MATCH(C1462,'Qida bazası'!$A$2:$A$103,0))*D1462/100,"?"))</f>
        <v/>
      </c>
      <c r="H1462" s="19">
        <f>IF(OR(C1462="",D1462=""),"",IFERROR(INDEX('Qida bazası'!$G$2:$G$103,MATCH(C1462,'Qida bazası'!$A$2:$A$103,0))*D1462/100,"?"))</f>
        <v/>
      </c>
    </row>
    <row r="1463">
      <c r="A1463" s="21" t="n"/>
      <c r="E1463" s="18">
        <f>IF(OR(C1463="",D1463=""),"",IFERROR(INDEX('Qida bazası'!$D$2:$D$103,MATCH(C1463,'Qida bazası'!$A$2:$A$103,0))*D1463/100,"?"))</f>
        <v/>
      </c>
      <c r="F1463" s="19">
        <f>IF(OR(C1463="",D1463=""),"",IFERROR(INDEX('Qida bazası'!$E$2:$E$103,MATCH(C1463,'Qida bazası'!$A$2:$A$103,0))*D1463/100,"?"))</f>
        <v/>
      </c>
      <c r="G1463" s="19">
        <f>IF(OR(C1463="",D1463=""),"",IFERROR(INDEX('Qida bazası'!$F$2:$F$103,MATCH(C1463,'Qida bazası'!$A$2:$A$103,0))*D1463/100,"?"))</f>
        <v/>
      </c>
      <c r="H1463" s="19">
        <f>IF(OR(C1463="",D1463=""),"",IFERROR(INDEX('Qida bazası'!$G$2:$G$103,MATCH(C1463,'Qida bazası'!$A$2:$A$103,0))*D1463/100,"?"))</f>
        <v/>
      </c>
    </row>
    <row r="1464">
      <c r="A1464" s="21" t="n"/>
      <c r="E1464" s="18">
        <f>IF(OR(C1464="",D1464=""),"",IFERROR(INDEX('Qida bazası'!$D$2:$D$103,MATCH(C1464,'Qida bazası'!$A$2:$A$103,0))*D1464/100,"?"))</f>
        <v/>
      </c>
      <c r="F1464" s="19">
        <f>IF(OR(C1464="",D1464=""),"",IFERROR(INDEX('Qida bazası'!$E$2:$E$103,MATCH(C1464,'Qida bazası'!$A$2:$A$103,0))*D1464/100,"?"))</f>
        <v/>
      </c>
      <c r="G1464" s="19">
        <f>IF(OR(C1464="",D1464=""),"",IFERROR(INDEX('Qida bazası'!$F$2:$F$103,MATCH(C1464,'Qida bazası'!$A$2:$A$103,0))*D1464/100,"?"))</f>
        <v/>
      </c>
      <c r="H1464" s="19">
        <f>IF(OR(C1464="",D1464=""),"",IFERROR(INDEX('Qida bazası'!$G$2:$G$103,MATCH(C1464,'Qida bazası'!$A$2:$A$103,0))*D1464/100,"?"))</f>
        <v/>
      </c>
    </row>
    <row r="1465">
      <c r="A1465" s="21" t="n"/>
      <c r="E1465" s="18">
        <f>IF(OR(C1465="",D1465=""),"",IFERROR(INDEX('Qida bazası'!$D$2:$D$103,MATCH(C1465,'Qida bazası'!$A$2:$A$103,0))*D1465/100,"?"))</f>
        <v/>
      </c>
      <c r="F1465" s="19">
        <f>IF(OR(C1465="",D1465=""),"",IFERROR(INDEX('Qida bazası'!$E$2:$E$103,MATCH(C1465,'Qida bazası'!$A$2:$A$103,0))*D1465/100,"?"))</f>
        <v/>
      </c>
      <c r="G1465" s="19">
        <f>IF(OR(C1465="",D1465=""),"",IFERROR(INDEX('Qida bazası'!$F$2:$F$103,MATCH(C1465,'Qida bazası'!$A$2:$A$103,0))*D1465/100,"?"))</f>
        <v/>
      </c>
      <c r="H1465" s="19">
        <f>IF(OR(C1465="",D1465=""),"",IFERROR(INDEX('Qida bazası'!$G$2:$G$103,MATCH(C1465,'Qida bazası'!$A$2:$A$103,0))*D1465/100,"?"))</f>
        <v/>
      </c>
    </row>
    <row r="1466">
      <c r="A1466" s="21" t="n"/>
      <c r="E1466" s="18">
        <f>IF(OR(C1466="",D1466=""),"",IFERROR(INDEX('Qida bazası'!$D$2:$D$103,MATCH(C1466,'Qida bazası'!$A$2:$A$103,0))*D1466/100,"?"))</f>
        <v/>
      </c>
      <c r="F1466" s="19">
        <f>IF(OR(C1466="",D1466=""),"",IFERROR(INDEX('Qida bazası'!$E$2:$E$103,MATCH(C1466,'Qida bazası'!$A$2:$A$103,0))*D1466/100,"?"))</f>
        <v/>
      </c>
      <c r="G1466" s="19">
        <f>IF(OR(C1466="",D1466=""),"",IFERROR(INDEX('Qida bazası'!$F$2:$F$103,MATCH(C1466,'Qida bazası'!$A$2:$A$103,0))*D1466/100,"?"))</f>
        <v/>
      </c>
      <c r="H1466" s="19">
        <f>IF(OR(C1466="",D1466=""),"",IFERROR(INDEX('Qida bazası'!$G$2:$G$103,MATCH(C1466,'Qida bazası'!$A$2:$A$103,0))*D1466/100,"?"))</f>
        <v/>
      </c>
    </row>
    <row r="1467">
      <c r="A1467" s="21" t="n"/>
      <c r="E1467" s="18">
        <f>IF(OR(C1467="",D1467=""),"",IFERROR(INDEX('Qida bazası'!$D$2:$D$103,MATCH(C1467,'Qida bazası'!$A$2:$A$103,0))*D1467/100,"?"))</f>
        <v/>
      </c>
      <c r="F1467" s="19">
        <f>IF(OR(C1467="",D1467=""),"",IFERROR(INDEX('Qida bazası'!$E$2:$E$103,MATCH(C1467,'Qida bazası'!$A$2:$A$103,0))*D1467/100,"?"))</f>
        <v/>
      </c>
      <c r="G1467" s="19">
        <f>IF(OR(C1467="",D1467=""),"",IFERROR(INDEX('Qida bazası'!$F$2:$F$103,MATCH(C1467,'Qida bazası'!$A$2:$A$103,0))*D1467/100,"?"))</f>
        <v/>
      </c>
      <c r="H1467" s="19">
        <f>IF(OR(C1467="",D1467=""),"",IFERROR(INDEX('Qida bazası'!$G$2:$G$103,MATCH(C1467,'Qida bazası'!$A$2:$A$103,0))*D1467/100,"?"))</f>
        <v/>
      </c>
    </row>
    <row r="1468">
      <c r="A1468" s="21" t="n"/>
      <c r="E1468" s="18">
        <f>IF(OR(C1468="",D1468=""),"",IFERROR(INDEX('Qida bazası'!$D$2:$D$103,MATCH(C1468,'Qida bazası'!$A$2:$A$103,0))*D1468/100,"?"))</f>
        <v/>
      </c>
      <c r="F1468" s="19">
        <f>IF(OR(C1468="",D1468=""),"",IFERROR(INDEX('Qida bazası'!$E$2:$E$103,MATCH(C1468,'Qida bazası'!$A$2:$A$103,0))*D1468/100,"?"))</f>
        <v/>
      </c>
      <c r="G1468" s="19">
        <f>IF(OR(C1468="",D1468=""),"",IFERROR(INDEX('Qida bazası'!$F$2:$F$103,MATCH(C1468,'Qida bazası'!$A$2:$A$103,0))*D1468/100,"?"))</f>
        <v/>
      </c>
      <c r="H1468" s="19">
        <f>IF(OR(C1468="",D1468=""),"",IFERROR(INDEX('Qida bazası'!$G$2:$G$103,MATCH(C1468,'Qida bazası'!$A$2:$A$103,0))*D1468/100,"?"))</f>
        <v/>
      </c>
    </row>
    <row r="1469">
      <c r="A1469" s="21" t="n"/>
      <c r="E1469" s="18">
        <f>IF(OR(C1469="",D1469=""),"",IFERROR(INDEX('Qida bazası'!$D$2:$D$103,MATCH(C1469,'Qida bazası'!$A$2:$A$103,0))*D1469/100,"?"))</f>
        <v/>
      </c>
      <c r="F1469" s="19">
        <f>IF(OR(C1469="",D1469=""),"",IFERROR(INDEX('Qida bazası'!$E$2:$E$103,MATCH(C1469,'Qida bazası'!$A$2:$A$103,0))*D1469/100,"?"))</f>
        <v/>
      </c>
      <c r="G1469" s="19">
        <f>IF(OR(C1469="",D1469=""),"",IFERROR(INDEX('Qida bazası'!$F$2:$F$103,MATCH(C1469,'Qida bazası'!$A$2:$A$103,0))*D1469/100,"?"))</f>
        <v/>
      </c>
      <c r="H1469" s="19">
        <f>IF(OR(C1469="",D1469=""),"",IFERROR(INDEX('Qida bazası'!$G$2:$G$103,MATCH(C1469,'Qida bazası'!$A$2:$A$103,0))*D1469/100,"?"))</f>
        <v/>
      </c>
    </row>
    <row r="1470">
      <c r="A1470" s="21" t="n"/>
      <c r="E1470" s="18">
        <f>IF(OR(C1470="",D1470=""),"",IFERROR(INDEX('Qida bazası'!$D$2:$D$103,MATCH(C1470,'Qida bazası'!$A$2:$A$103,0))*D1470/100,"?"))</f>
        <v/>
      </c>
      <c r="F1470" s="19">
        <f>IF(OR(C1470="",D1470=""),"",IFERROR(INDEX('Qida bazası'!$E$2:$E$103,MATCH(C1470,'Qida bazası'!$A$2:$A$103,0))*D1470/100,"?"))</f>
        <v/>
      </c>
      <c r="G1470" s="19">
        <f>IF(OR(C1470="",D1470=""),"",IFERROR(INDEX('Qida bazası'!$F$2:$F$103,MATCH(C1470,'Qida bazası'!$A$2:$A$103,0))*D1470/100,"?"))</f>
        <v/>
      </c>
      <c r="H1470" s="19">
        <f>IF(OR(C1470="",D1470=""),"",IFERROR(INDEX('Qida bazası'!$G$2:$G$103,MATCH(C1470,'Qida bazası'!$A$2:$A$103,0))*D1470/100,"?"))</f>
        <v/>
      </c>
    </row>
    <row r="1471">
      <c r="A1471" s="21" t="n"/>
      <c r="E1471" s="18">
        <f>IF(OR(C1471="",D1471=""),"",IFERROR(INDEX('Qida bazası'!$D$2:$D$103,MATCH(C1471,'Qida bazası'!$A$2:$A$103,0))*D1471/100,"?"))</f>
        <v/>
      </c>
      <c r="F1471" s="19">
        <f>IF(OR(C1471="",D1471=""),"",IFERROR(INDEX('Qida bazası'!$E$2:$E$103,MATCH(C1471,'Qida bazası'!$A$2:$A$103,0))*D1471/100,"?"))</f>
        <v/>
      </c>
      <c r="G1471" s="19">
        <f>IF(OR(C1471="",D1471=""),"",IFERROR(INDEX('Qida bazası'!$F$2:$F$103,MATCH(C1471,'Qida bazası'!$A$2:$A$103,0))*D1471/100,"?"))</f>
        <v/>
      </c>
      <c r="H1471" s="19">
        <f>IF(OR(C1471="",D1471=""),"",IFERROR(INDEX('Qida bazası'!$G$2:$G$103,MATCH(C1471,'Qida bazası'!$A$2:$A$103,0))*D1471/100,"?"))</f>
        <v/>
      </c>
    </row>
    <row r="1472">
      <c r="A1472" s="21" t="n"/>
      <c r="E1472" s="18">
        <f>IF(OR(C1472="",D1472=""),"",IFERROR(INDEX('Qida bazası'!$D$2:$D$103,MATCH(C1472,'Qida bazası'!$A$2:$A$103,0))*D1472/100,"?"))</f>
        <v/>
      </c>
      <c r="F1472" s="19">
        <f>IF(OR(C1472="",D1472=""),"",IFERROR(INDEX('Qida bazası'!$E$2:$E$103,MATCH(C1472,'Qida bazası'!$A$2:$A$103,0))*D1472/100,"?"))</f>
        <v/>
      </c>
      <c r="G1472" s="19">
        <f>IF(OR(C1472="",D1472=""),"",IFERROR(INDEX('Qida bazası'!$F$2:$F$103,MATCH(C1472,'Qida bazası'!$A$2:$A$103,0))*D1472/100,"?"))</f>
        <v/>
      </c>
      <c r="H1472" s="19">
        <f>IF(OR(C1472="",D1472=""),"",IFERROR(INDEX('Qida bazası'!$G$2:$G$103,MATCH(C1472,'Qida bazası'!$A$2:$A$103,0))*D1472/100,"?"))</f>
        <v/>
      </c>
    </row>
    <row r="1473">
      <c r="A1473" s="21" t="n"/>
      <c r="E1473" s="18">
        <f>IF(OR(C1473="",D1473=""),"",IFERROR(INDEX('Qida bazası'!$D$2:$D$103,MATCH(C1473,'Qida bazası'!$A$2:$A$103,0))*D1473/100,"?"))</f>
        <v/>
      </c>
      <c r="F1473" s="19">
        <f>IF(OR(C1473="",D1473=""),"",IFERROR(INDEX('Qida bazası'!$E$2:$E$103,MATCH(C1473,'Qida bazası'!$A$2:$A$103,0))*D1473/100,"?"))</f>
        <v/>
      </c>
      <c r="G1473" s="19">
        <f>IF(OR(C1473="",D1473=""),"",IFERROR(INDEX('Qida bazası'!$F$2:$F$103,MATCH(C1473,'Qida bazası'!$A$2:$A$103,0))*D1473/100,"?"))</f>
        <v/>
      </c>
      <c r="H1473" s="19">
        <f>IF(OR(C1473="",D1473=""),"",IFERROR(INDEX('Qida bazası'!$G$2:$G$103,MATCH(C1473,'Qida bazası'!$A$2:$A$103,0))*D1473/100,"?"))</f>
        <v/>
      </c>
    </row>
    <row r="1474">
      <c r="A1474" s="21" t="n"/>
      <c r="E1474" s="18">
        <f>IF(OR(C1474="",D1474=""),"",IFERROR(INDEX('Qida bazası'!$D$2:$D$103,MATCH(C1474,'Qida bazası'!$A$2:$A$103,0))*D1474/100,"?"))</f>
        <v/>
      </c>
      <c r="F1474" s="19">
        <f>IF(OR(C1474="",D1474=""),"",IFERROR(INDEX('Qida bazası'!$E$2:$E$103,MATCH(C1474,'Qida bazası'!$A$2:$A$103,0))*D1474/100,"?"))</f>
        <v/>
      </c>
      <c r="G1474" s="19">
        <f>IF(OR(C1474="",D1474=""),"",IFERROR(INDEX('Qida bazası'!$F$2:$F$103,MATCH(C1474,'Qida bazası'!$A$2:$A$103,0))*D1474/100,"?"))</f>
        <v/>
      </c>
      <c r="H1474" s="19">
        <f>IF(OR(C1474="",D1474=""),"",IFERROR(INDEX('Qida bazası'!$G$2:$G$103,MATCH(C1474,'Qida bazası'!$A$2:$A$103,0))*D1474/100,"?"))</f>
        <v/>
      </c>
    </row>
    <row r="1475">
      <c r="A1475" s="21" t="n"/>
      <c r="E1475" s="18">
        <f>IF(OR(C1475="",D1475=""),"",IFERROR(INDEX('Qida bazası'!$D$2:$D$103,MATCH(C1475,'Qida bazası'!$A$2:$A$103,0))*D1475/100,"?"))</f>
        <v/>
      </c>
      <c r="F1475" s="19">
        <f>IF(OR(C1475="",D1475=""),"",IFERROR(INDEX('Qida bazası'!$E$2:$E$103,MATCH(C1475,'Qida bazası'!$A$2:$A$103,0))*D1475/100,"?"))</f>
        <v/>
      </c>
      <c r="G1475" s="19">
        <f>IF(OR(C1475="",D1475=""),"",IFERROR(INDEX('Qida bazası'!$F$2:$F$103,MATCH(C1475,'Qida bazası'!$A$2:$A$103,0))*D1475/100,"?"))</f>
        <v/>
      </c>
      <c r="H1475" s="19">
        <f>IF(OR(C1475="",D1475=""),"",IFERROR(INDEX('Qida bazası'!$G$2:$G$103,MATCH(C1475,'Qida bazası'!$A$2:$A$103,0))*D1475/100,"?"))</f>
        <v/>
      </c>
    </row>
    <row r="1476">
      <c r="A1476" s="21" t="n"/>
      <c r="E1476" s="18">
        <f>IF(OR(C1476="",D1476=""),"",IFERROR(INDEX('Qida bazası'!$D$2:$D$103,MATCH(C1476,'Qida bazası'!$A$2:$A$103,0))*D1476/100,"?"))</f>
        <v/>
      </c>
      <c r="F1476" s="19">
        <f>IF(OR(C1476="",D1476=""),"",IFERROR(INDEX('Qida bazası'!$E$2:$E$103,MATCH(C1476,'Qida bazası'!$A$2:$A$103,0))*D1476/100,"?"))</f>
        <v/>
      </c>
      <c r="G1476" s="19">
        <f>IF(OR(C1476="",D1476=""),"",IFERROR(INDEX('Qida bazası'!$F$2:$F$103,MATCH(C1476,'Qida bazası'!$A$2:$A$103,0))*D1476/100,"?"))</f>
        <v/>
      </c>
      <c r="H1476" s="19">
        <f>IF(OR(C1476="",D1476=""),"",IFERROR(INDEX('Qida bazası'!$G$2:$G$103,MATCH(C1476,'Qida bazası'!$A$2:$A$103,0))*D1476/100,"?"))</f>
        <v/>
      </c>
    </row>
    <row r="1477">
      <c r="A1477" s="21" t="n"/>
      <c r="E1477" s="18">
        <f>IF(OR(C1477="",D1477=""),"",IFERROR(INDEX('Qida bazası'!$D$2:$D$103,MATCH(C1477,'Qida bazası'!$A$2:$A$103,0))*D1477/100,"?"))</f>
        <v/>
      </c>
      <c r="F1477" s="19">
        <f>IF(OR(C1477="",D1477=""),"",IFERROR(INDEX('Qida bazası'!$E$2:$E$103,MATCH(C1477,'Qida bazası'!$A$2:$A$103,0))*D1477/100,"?"))</f>
        <v/>
      </c>
      <c r="G1477" s="19">
        <f>IF(OR(C1477="",D1477=""),"",IFERROR(INDEX('Qida bazası'!$F$2:$F$103,MATCH(C1477,'Qida bazası'!$A$2:$A$103,0))*D1477/100,"?"))</f>
        <v/>
      </c>
      <c r="H1477" s="19">
        <f>IF(OR(C1477="",D1477=""),"",IFERROR(INDEX('Qida bazası'!$G$2:$G$103,MATCH(C1477,'Qida bazası'!$A$2:$A$103,0))*D1477/100,"?"))</f>
        <v/>
      </c>
    </row>
    <row r="1478">
      <c r="A1478" s="21" t="n"/>
      <c r="E1478" s="18">
        <f>IF(OR(C1478="",D1478=""),"",IFERROR(INDEX('Qida bazası'!$D$2:$D$103,MATCH(C1478,'Qida bazası'!$A$2:$A$103,0))*D1478/100,"?"))</f>
        <v/>
      </c>
      <c r="F1478" s="19">
        <f>IF(OR(C1478="",D1478=""),"",IFERROR(INDEX('Qida bazası'!$E$2:$E$103,MATCH(C1478,'Qida bazası'!$A$2:$A$103,0))*D1478/100,"?"))</f>
        <v/>
      </c>
      <c r="G1478" s="19">
        <f>IF(OR(C1478="",D1478=""),"",IFERROR(INDEX('Qida bazası'!$F$2:$F$103,MATCH(C1478,'Qida bazası'!$A$2:$A$103,0))*D1478/100,"?"))</f>
        <v/>
      </c>
      <c r="H1478" s="19">
        <f>IF(OR(C1478="",D1478=""),"",IFERROR(INDEX('Qida bazası'!$G$2:$G$103,MATCH(C1478,'Qida bazası'!$A$2:$A$103,0))*D1478/100,"?"))</f>
        <v/>
      </c>
    </row>
    <row r="1479">
      <c r="A1479" s="21" t="n"/>
      <c r="E1479" s="18">
        <f>IF(OR(C1479="",D1479=""),"",IFERROR(INDEX('Qida bazası'!$D$2:$D$103,MATCH(C1479,'Qida bazası'!$A$2:$A$103,0))*D1479/100,"?"))</f>
        <v/>
      </c>
      <c r="F1479" s="19">
        <f>IF(OR(C1479="",D1479=""),"",IFERROR(INDEX('Qida bazası'!$E$2:$E$103,MATCH(C1479,'Qida bazası'!$A$2:$A$103,0))*D1479/100,"?"))</f>
        <v/>
      </c>
      <c r="G1479" s="19">
        <f>IF(OR(C1479="",D1479=""),"",IFERROR(INDEX('Qida bazası'!$F$2:$F$103,MATCH(C1479,'Qida bazası'!$A$2:$A$103,0))*D1479/100,"?"))</f>
        <v/>
      </c>
      <c r="H1479" s="19">
        <f>IF(OR(C1479="",D1479=""),"",IFERROR(INDEX('Qida bazası'!$G$2:$G$103,MATCH(C1479,'Qida bazası'!$A$2:$A$103,0))*D1479/100,"?"))</f>
        <v/>
      </c>
    </row>
    <row r="1480">
      <c r="A1480" s="21" t="n"/>
      <c r="E1480" s="18">
        <f>IF(OR(C1480="",D1480=""),"",IFERROR(INDEX('Qida bazası'!$D$2:$D$103,MATCH(C1480,'Qida bazası'!$A$2:$A$103,0))*D1480/100,"?"))</f>
        <v/>
      </c>
      <c r="F1480" s="19">
        <f>IF(OR(C1480="",D1480=""),"",IFERROR(INDEX('Qida bazası'!$E$2:$E$103,MATCH(C1480,'Qida bazası'!$A$2:$A$103,0))*D1480/100,"?"))</f>
        <v/>
      </c>
      <c r="G1480" s="19">
        <f>IF(OR(C1480="",D1480=""),"",IFERROR(INDEX('Qida bazası'!$F$2:$F$103,MATCH(C1480,'Qida bazası'!$A$2:$A$103,0))*D1480/100,"?"))</f>
        <v/>
      </c>
      <c r="H1480" s="19">
        <f>IF(OR(C1480="",D1480=""),"",IFERROR(INDEX('Qida bazası'!$G$2:$G$103,MATCH(C1480,'Qida bazası'!$A$2:$A$103,0))*D1480/100,"?"))</f>
        <v/>
      </c>
    </row>
    <row r="1481">
      <c r="A1481" s="21" t="n"/>
      <c r="E1481" s="18">
        <f>IF(OR(C1481="",D1481=""),"",IFERROR(INDEX('Qida bazası'!$D$2:$D$103,MATCH(C1481,'Qida bazası'!$A$2:$A$103,0))*D1481/100,"?"))</f>
        <v/>
      </c>
      <c r="F1481" s="19">
        <f>IF(OR(C1481="",D1481=""),"",IFERROR(INDEX('Qida bazası'!$E$2:$E$103,MATCH(C1481,'Qida bazası'!$A$2:$A$103,0))*D1481/100,"?"))</f>
        <v/>
      </c>
      <c r="G1481" s="19">
        <f>IF(OR(C1481="",D1481=""),"",IFERROR(INDEX('Qida bazası'!$F$2:$F$103,MATCH(C1481,'Qida bazası'!$A$2:$A$103,0))*D1481/100,"?"))</f>
        <v/>
      </c>
      <c r="H1481" s="19">
        <f>IF(OR(C1481="",D1481=""),"",IFERROR(INDEX('Qida bazası'!$G$2:$G$103,MATCH(C1481,'Qida bazası'!$A$2:$A$103,0))*D1481/100,"?"))</f>
        <v/>
      </c>
    </row>
    <row r="1482">
      <c r="A1482" s="21" t="n"/>
      <c r="E1482" s="18">
        <f>IF(OR(C1482="",D1482=""),"",IFERROR(INDEX('Qida bazası'!$D$2:$D$103,MATCH(C1482,'Qida bazası'!$A$2:$A$103,0))*D1482/100,"?"))</f>
        <v/>
      </c>
      <c r="F1482" s="19">
        <f>IF(OR(C1482="",D1482=""),"",IFERROR(INDEX('Qida bazası'!$E$2:$E$103,MATCH(C1482,'Qida bazası'!$A$2:$A$103,0))*D1482/100,"?"))</f>
        <v/>
      </c>
      <c r="G1482" s="19">
        <f>IF(OR(C1482="",D1482=""),"",IFERROR(INDEX('Qida bazası'!$F$2:$F$103,MATCH(C1482,'Qida bazası'!$A$2:$A$103,0))*D1482/100,"?"))</f>
        <v/>
      </c>
      <c r="H1482" s="19">
        <f>IF(OR(C1482="",D1482=""),"",IFERROR(INDEX('Qida bazası'!$G$2:$G$103,MATCH(C1482,'Qida bazası'!$A$2:$A$103,0))*D1482/100,"?"))</f>
        <v/>
      </c>
    </row>
    <row r="1483">
      <c r="A1483" s="21" t="n"/>
      <c r="E1483" s="18">
        <f>IF(OR(C1483="",D1483=""),"",IFERROR(INDEX('Qida bazası'!$D$2:$D$103,MATCH(C1483,'Qida bazası'!$A$2:$A$103,0))*D1483/100,"?"))</f>
        <v/>
      </c>
      <c r="F1483" s="19">
        <f>IF(OR(C1483="",D1483=""),"",IFERROR(INDEX('Qida bazası'!$E$2:$E$103,MATCH(C1483,'Qida bazası'!$A$2:$A$103,0))*D1483/100,"?"))</f>
        <v/>
      </c>
      <c r="G1483" s="19">
        <f>IF(OR(C1483="",D1483=""),"",IFERROR(INDEX('Qida bazası'!$F$2:$F$103,MATCH(C1483,'Qida bazası'!$A$2:$A$103,0))*D1483/100,"?"))</f>
        <v/>
      </c>
      <c r="H1483" s="19">
        <f>IF(OR(C1483="",D1483=""),"",IFERROR(INDEX('Qida bazası'!$G$2:$G$103,MATCH(C1483,'Qida bazası'!$A$2:$A$103,0))*D1483/100,"?"))</f>
        <v/>
      </c>
    </row>
    <row r="1484">
      <c r="A1484" s="21" t="n"/>
      <c r="E1484" s="18">
        <f>IF(OR(C1484="",D1484=""),"",IFERROR(INDEX('Qida bazası'!$D$2:$D$103,MATCH(C1484,'Qida bazası'!$A$2:$A$103,0))*D1484/100,"?"))</f>
        <v/>
      </c>
      <c r="F1484" s="19">
        <f>IF(OR(C1484="",D1484=""),"",IFERROR(INDEX('Qida bazası'!$E$2:$E$103,MATCH(C1484,'Qida bazası'!$A$2:$A$103,0))*D1484/100,"?"))</f>
        <v/>
      </c>
      <c r="G1484" s="19">
        <f>IF(OR(C1484="",D1484=""),"",IFERROR(INDEX('Qida bazası'!$F$2:$F$103,MATCH(C1484,'Qida bazası'!$A$2:$A$103,0))*D1484/100,"?"))</f>
        <v/>
      </c>
      <c r="H1484" s="19">
        <f>IF(OR(C1484="",D1484=""),"",IFERROR(INDEX('Qida bazası'!$G$2:$G$103,MATCH(C1484,'Qida bazası'!$A$2:$A$103,0))*D1484/100,"?"))</f>
        <v/>
      </c>
    </row>
    <row r="1485">
      <c r="A1485" s="21" t="n"/>
      <c r="E1485" s="18">
        <f>IF(OR(C1485="",D1485=""),"",IFERROR(INDEX('Qida bazası'!$D$2:$D$103,MATCH(C1485,'Qida bazası'!$A$2:$A$103,0))*D1485/100,"?"))</f>
        <v/>
      </c>
      <c r="F1485" s="19">
        <f>IF(OR(C1485="",D1485=""),"",IFERROR(INDEX('Qida bazası'!$E$2:$E$103,MATCH(C1485,'Qida bazası'!$A$2:$A$103,0))*D1485/100,"?"))</f>
        <v/>
      </c>
      <c r="G1485" s="19">
        <f>IF(OR(C1485="",D1485=""),"",IFERROR(INDEX('Qida bazası'!$F$2:$F$103,MATCH(C1485,'Qida bazası'!$A$2:$A$103,0))*D1485/100,"?"))</f>
        <v/>
      </c>
      <c r="H1485" s="19">
        <f>IF(OR(C1485="",D1485=""),"",IFERROR(INDEX('Qida bazası'!$G$2:$G$103,MATCH(C1485,'Qida bazası'!$A$2:$A$103,0))*D1485/100,"?"))</f>
        <v/>
      </c>
    </row>
    <row r="1486">
      <c r="A1486" s="21" t="n"/>
      <c r="E1486" s="18">
        <f>IF(OR(C1486="",D1486=""),"",IFERROR(INDEX('Qida bazası'!$D$2:$D$103,MATCH(C1486,'Qida bazası'!$A$2:$A$103,0))*D1486/100,"?"))</f>
        <v/>
      </c>
      <c r="F1486" s="19">
        <f>IF(OR(C1486="",D1486=""),"",IFERROR(INDEX('Qida bazası'!$E$2:$E$103,MATCH(C1486,'Qida bazası'!$A$2:$A$103,0))*D1486/100,"?"))</f>
        <v/>
      </c>
      <c r="G1486" s="19">
        <f>IF(OR(C1486="",D1486=""),"",IFERROR(INDEX('Qida bazası'!$F$2:$F$103,MATCH(C1486,'Qida bazası'!$A$2:$A$103,0))*D1486/100,"?"))</f>
        <v/>
      </c>
      <c r="H1486" s="19">
        <f>IF(OR(C1486="",D1486=""),"",IFERROR(INDEX('Qida bazası'!$G$2:$G$103,MATCH(C1486,'Qida bazası'!$A$2:$A$103,0))*D1486/100,"?"))</f>
        <v/>
      </c>
    </row>
    <row r="1487">
      <c r="A1487" s="21" t="n"/>
      <c r="E1487" s="18">
        <f>IF(OR(C1487="",D1487=""),"",IFERROR(INDEX('Qida bazası'!$D$2:$D$103,MATCH(C1487,'Qida bazası'!$A$2:$A$103,0))*D1487/100,"?"))</f>
        <v/>
      </c>
      <c r="F1487" s="19">
        <f>IF(OR(C1487="",D1487=""),"",IFERROR(INDEX('Qida bazası'!$E$2:$E$103,MATCH(C1487,'Qida bazası'!$A$2:$A$103,0))*D1487/100,"?"))</f>
        <v/>
      </c>
      <c r="G1487" s="19">
        <f>IF(OR(C1487="",D1487=""),"",IFERROR(INDEX('Qida bazası'!$F$2:$F$103,MATCH(C1487,'Qida bazası'!$A$2:$A$103,0))*D1487/100,"?"))</f>
        <v/>
      </c>
      <c r="H1487" s="19">
        <f>IF(OR(C1487="",D1487=""),"",IFERROR(INDEX('Qida bazası'!$G$2:$G$103,MATCH(C1487,'Qida bazası'!$A$2:$A$103,0))*D1487/100,"?"))</f>
        <v/>
      </c>
    </row>
    <row r="1488">
      <c r="A1488" s="21" t="n"/>
      <c r="E1488" s="18">
        <f>IF(OR(C1488="",D1488=""),"",IFERROR(INDEX('Qida bazası'!$D$2:$D$103,MATCH(C1488,'Qida bazası'!$A$2:$A$103,0))*D1488/100,"?"))</f>
        <v/>
      </c>
      <c r="F1488" s="19">
        <f>IF(OR(C1488="",D1488=""),"",IFERROR(INDEX('Qida bazası'!$E$2:$E$103,MATCH(C1488,'Qida bazası'!$A$2:$A$103,0))*D1488/100,"?"))</f>
        <v/>
      </c>
      <c r="G1488" s="19">
        <f>IF(OR(C1488="",D1488=""),"",IFERROR(INDEX('Qida bazası'!$F$2:$F$103,MATCH(C1488,'Qida bazası'!$A$2:$A$103,0))*D1488/100,"?"))</f>
        <v/>
      </c>
      <c r="H1488" s="19">
        <f>IF(OR(C1488="",D1488=""),"",IFERROR(INDEX('Qida bazası'!$G$2:$G$103,MATCH(C1488,'Qida bazası'!$A$2:$A$103,0))*D1488/100,"?"))</f>
        <v/>
      </c>
    </row>
    <row r="1489">
      <c r="A1489" s="21" t="n"/>
      <c r="E1489" s="18">
        <f>IF(OR(C1489="",D1489=""),"",IFERROR(INDEX('Qida bazası'!$D$2:$D$103,MATCH(C1489,'Qida bazası'!$A$2:$A$103,0))*D1489/100,"?"))</f>
        <v/>
      </c>
      <c r="F1489" s="19">
        <f>IF(OR(C1489="",D1489=""),"",IFERROR(INDEX('Qida bazası'!$E$2:$E$103,MATCH(C1489,'Qida bazası'!$A$2:$A$103,0))*D1489/100,"?"))</f>
        <v/>
      </c>
      <c r="G1489" s="19">
        <f>IF(OR(C1489="",D1489=""),"",IFERROR(INDEX('Qida bazası'!$F$2:$F$103,MATCH(C1489,'Qida bazası'!$A$2:$A$103,0))*D1489/100,"?"))</f>
        <v/>
      </c>
      <c r="H1489" s="19">
        <f>IF(OR(C1489="",D1489=""),"",IFERROR(INDEX('Qida bazası'!$G$2:$G$103,MATCH(C1489,'Qida bazası'!$A$2:$A$103,0))*D1489/100,"?"))</f>
        <v/>
      </c>
    </row>
    <row r="1490">
      <c r="A1490" s="21" t="n"/>
      <c r="E1490" s="18">
        <f>IF(OR(C1490="",D1490=""),"",IFERROR(INDEX('Qida bazası'!$D$2:$D$103,MATCH(C1490,'Qida bazası'!$A$2:$A$103,0))*D1490/100,"?"))</f>
        <v/>
      </c>
      <c r="F1490" s="19">
        <f>IF(OR(C1490="",D1490=""),"",IFERROR(INDEX('Qida bazası'!$E$2:$E$103,MATCH(C1490,'Qida bazası'!$A$2:$A$103,0))*D1490/100,"?"))</f>
        <v/>
      </c>
      <c r="G1490" s="19">
        <f>IF(OR(C1490="",D1490=""),"",IFERROR(INDEX('Qida bazası'!$F$2:$F$103,MATCH(C1490,'Qida bazası'!$A$2:$A$103,0))*D1490/100,"?"))</f>
        <v/>
      </c>
      <c r="H1490" s="19">
        <f>IF(OR(C1490="",D1490=""),"",IFERROR(INDEX('Qida bazası'!$G$2:$G$103,MATCH(C1490,'Qida bazası'!$A$2:$A$103,0))*D1490/100,"?"))</f>
        <v/>
      </c>
    </row>
    <row r="1491">
      <c r="A1491" s="21" t="n"/>
      <c r="E1491" s="18">
        <f>IF(OR(C1491="",D1491=""),"",IFERROR(INDEX('Qida bazası'!$D$2:$D$103,MATCH(C1491,'Qida bazası'!$A$2:$A$103,0))*D1491/100,"?"))</f>
        <v/>
      </c>
      <c r="F1491" s="19">
        <f>IF(OR(C1491="",D1491=""),"",IFERROR(INDEX('Qida bazası'!$E$2:$E$103,MATCH(C1491,'Qida bazası'!$A$2:$A$103,0))*D1491/100,"?"))</f>
        <v/>
      </c>
      <c r="G1491" s="19">
        <f>IF(OR(C1491="",D1491=""),"",IFERROR(INDEX('Qida bazası'!$F$2:$F$103,MATCH(C1491,'Qida bazası'!$A$2:$A$103,0))*D1491/100,"?"))</f>
        <v/>
      </c>
      <c r="H1491" s="19">
        <f>IF(OR(C1491="",D1491=""),"",IFERROR(INDEX('Qida bazası'!$G$2:$G$103,MATCH(C1491,'Qida bazası'!$A$2:$A$103,0))*D1491/100,"?"))</f>
        <v/>
      </c>
    </row>
    <row r="1492">
      <c r="A1492" s="21" t="n"/>
      <c r="E1492" s="18">
        <f>IF(OR(C1492="",D1492=""),"",IFERROR(INDEX('Qida bazası'!$D$2:$D$103,MATCH(C1492,'Qida bazası'!$A$2:$A$103,0))*D1492/100,"?"))</f>
        <v/>
      </c>
      <c r="F1492" s="19">
        <f>IF(OR(C1492="",D1492=""),"",IFERROR(INDEX('Qida bazası'!$E$2:$E$103,MATCH(C1492,'Qida bazası'!$A$2:$A$103,0))*D1492/100,"?"))</f>
        <v/>
      </c>
      <c r="G1492" s="19">
        <f>IF(OR(C1492="",D1492=""),"",IFERROR(INDEX('Qida bazası'!$F$2:$F$103,MATCH(C1492,'Qida bazası'!$A$2:$A$103,0))*D1492/100,"?"))</f>
        <v/>
      </c>
      <c r="H1492" s="19">
        <f>IF(OR(C1492="",D1492=""),"",IFERROR(INDEX('Qida bazası'!$G$2:$G$103,MATCH(C1492,'Qida bazası'!$A$2:$A$103,0))*D1492/100,"?"))</f>
        <v/>
      </c>
    </row>
    <row r="1493">
      <c r="A1493" s="21" t="n"/>
      <c r="E1493" s="18">
        <f>IF(OR(C1493="",D1493=""),"",IFERROR(INDEX('Qida bazası'!$D$2:$D$103,MATCH(C1493,'Qida bazası'!$A$2:$A$103,0))*D1493/100,"?"))</f>
        <v/>
      </c>
      <c r="F1493" s="19">
        <f>IF(OR(C1493="",D1493=""),"",IFERROR(INDEX('Qida bazası'!$E$2:$E$103,MATCH(C1493,'Qida bazası'!$A$2:$A$103,0))*D1493/100,"?"))</f>
        <v/>
      </c>
      <c r="G1493" s="19">
        <f>IF(OR(C1493="",D1493=""),"",IFERROR(INDEX('Qida bazası'!$F$2:$F$103,MATCH(C1493,'Qida bazası'!$A$2:$A$103,0))*D1493/100,"?"))</f>
        <v/>
      </c>
      <c r="H1493" s="19">
        <f>IF(OR(C1493="",D1493=""),"",IFERROR(INDEX('Qida bazası'!$G$2:$G$103,MATCH(C1493,'Qida bazası'!$A$2:$A$103,0))*D1493/100,"?"))</f>
        <v/>
      </c>
    </row>
    <row r="1494">
      <c r="A1494" s="21" t="n"/>
      <c r="E1494" s="18">
        <f>IF(OR(C1494="",D1494=""),"",IFERROR(INDEX('Qida bazası'!$D$2:$D$103,MATCH(C1494,'Qida bazası'!$A$2:$A$103,0))*D1494/100,"?"))</f>
        <v/>
      </c>
      <c r="F1494" s="19">
        <f>IF(OR(C1494="",D1494=""),"",IFERROR(INDEX('Qida bazası'!$E$2:$E$103,MATCH(C1494,'Qida bazası'!$A$2:$A$103,0))*D1494/100,"?"))</f>
        <v/>
      </c>
      <c r="G1494" s="19">
        <f>IF(OR(C1494="",D1494=""),"",IFERROR(INDEX('Qida bazası'!$F$2:$F$103,MATCH(C1494,'Qida bazası'!$A$2:$A$103,0))*D1494/100,"?"))</f>
        <v/>
      </c>
      <c r="H1494" s="19">
        <f>IF(OR(C1494="",D1494=""),"",IFERROR(INDEX('Qida bazası'!$G$2:$G$103,MATCH(C1494,'Qida bazası'!$A$2:$A$103,0))*D1494/100,"?"))</f>
        <v/>
      </c>
    </row>
    <row r="1495">
      <c r="A1495" s="21" t="n"/>
      <c r="E1495" s="18">
        <f>IF(OR(C1495="",D1495=""),"",IFERROR(INDEX('Qida bazası'!$D$2:$D$103,MATCH(C1495,'Qida bazası'!$A$2:$A$103,0))*D1495/100,"?"))</f>
        <v/>
      </c>
      <c r="F1495" s="19">
        <f>IF(OR(C1495="",D1495=""),"",IFERROR(INDEX('Qida bazası'!$E$2:$E$103,MATCH(C1495,'Qida bazası'!$A$2:$A$103,0))*D1495/100,"?"))</f>
        <v/>
      </c>
      <c r="G1495" s="19">
        <f>IF(OR(C1495="",D1495=""),"",IFERROR(INDEX('Qida bazası'!$F$2:$F$103,MATCH(C1495,'Qida bazası'!$A$2:$A$103,0))*D1495/100,"?"))</f>
        <v/>
      </c>
      <c r="H1495" s="19">
        <f>IF(OR(C1495="",D1495=""),"",IFERROR(INDEX('Qida bazası'!$G$2:$G$103,MATCH(C1495,'Qida bazası'!$A$2:$A$103,0))*D1495/100,"?"))</f>
        <v/>
      </c>
    </row>
    <row r="1496">
      <c r="A1496" s="21" t="n"/>
      <c r="E1496" s="18">
        <f>IF(OR(C1496="",D1496=""),"",IFERROR(INDEX('Qida bazası'!$D$2:$D$103,MATCH(C1496,'Qida bazası'!$A$2:$A$103,0))*D1496/100,"?"))</f>
        <v/>
      </c>
      <c r="F1496" s="19">
        <f>IF(OR(C1496="",D1496=""),"",IFERROR(INDEX('Qida bazası'!$E$2:$E$103,MATCH(C1496,'Qida bazası'!$A$2:$A$103,0))*D1496/100,"?"))</f>
        <v/>
      </c>
      <c r="G1496" s="19">
        <f>IF(OR(C1496="",D1496=""),"",IFERROR(INDEX('Qida bazası'!$F$2:$F$103,MATCH(C1496,'Qida bazası'!$A$2:$A$103,0))*D1496/100,"?"))</f>
        <v/>
      </c>
      <c r="H1496" s="19">
        <f>IF(OR(C1496="",D1496=""),"",IFERROR(INDEX('Qida bazası'!$G$2:$G$103,MATCH(C1496,'Qida bazası'!$A$2:$A$103,0))*D1496/100,"?"))</f>
        <v/>
      </c>
    </row>
    <row r="1497">
      <c r="A1497" s="21" t="n"/>
      <c r="E1497" s="18">
        <f>IF(OR(C1497="",D1497=""),"",IFERROR(INDEX('Qida bazası'!$D$2:$D$103,MATCH(C1497,'Qida bazası'!$A$2:$A$103,0))*D1497/100,"?"))</f>
        <v/>
      </c>
      <c r="F1497" s="19">
        <f>IF(OR(C1497="",D1497=""),"",IFERROR(INDEX('Qida bazası'!$E$2:$E$103,MATCH(C1497,'Qida bazası'!$A$2:$A$103,0))*D1497/100,"?"))</f>
        <v/>
      </c>
      <c r="G1497" s="19">
        <f>IF(OR(C1497="",D1497=""),"",IFERROR(INDEX('Qida bazası'!$F$2:$F$103,MATCH(C1497,'Qida bazası'!$A$2:$A$103,0))*D1497/100,"?"))</f>
        <v/>
      </c>
      <c r="H1497" s="19">
        <f>IF(OR(C1497="",D1497=""),"",IFERROR(INDEX('Qida bazası'!$G$2:$G$103,MATCH(C1497,'Qida bazası'!$A$2:$A$103,0))*D1497/100,"?"))</f>
        <v/>
      </c>
    </row>
    <row r="1498">
      <c r="A1498" s="21" t="n"/>
      <c r="E1498" s="18">
        <f>IF(OR(C1498="",D1498=""),"",IFERROR(INDEX('Qida bazası'!$D$2:$D$103,MATCH(C1498,'Qida bazası'!$A$2:$A$103,0))*D1498/100,"?"))</f>
        <v/>
      </c>
      <c r="F1498" s="19">
        <f>IF(OR(C1498="",D1498=""),"",IFERROR(INDEX('Qida bazası'!$E$2:$E$103,MATCH(C1498,'Qida bazası'!$A$2:$A$103,0))*D1498/100,"?"))</f>
        <v/>
      </c>
      <c r="G1498" s="19">
        <f>IF(OR(C1498="",D1498=""),"",IFERROR(INDEX('Qida bazası'!$F$2:$F$103,MATCH(C1498,'Qida bazası'!$A$2:$A$103,0))*D1498/100,"?"))</f>
        <v/>
      </c>
      <c r="H1498" s="19">
        <f>IF(OR(C1498="",D1498=""),"",IFERROR(INDEX('Qida bazası'!$G$2:$G$103,MATCH(C1498,'Qida bazası'!$A$2:$A$103,0))*D1498/100,"?"))</f>
        <v/>
      </c>
    </row>
    <row r="1499">
      <c r="A1499" s="21" t="n"/>
      <c r="E1499" s="18">
        <f>IF(OR(C1499="",D1499=""),"",IFERROR(INDEX('Qida bazası'!$D$2:$D$103,MATCH(C1499,'Qida bazası'!$A$2:$A$103,0))*D1499/100,"?"))</f>
        <v/>
      </c>
      <c r="F1499" s="19">
        <f>IF(OR(C1499="",D1499=""),"",IFERROR(INDEX('Qida bazası'!$E$2:$E$103,MATCH(C1499,'Qida bazası'!$A$2:$A$103,0))*D1499/100,"?"))</f>
        <v/>
      </c>
      <c r="G1499" s="19">
        <f>IF(OR(C1499="",D1499=""),"",IFERROR(INDEX('Qida bazası'!$F$2:$F$103,MATCH(C1499,'Qida bazası'!$A$2:$A$103,0))*D1499/100,"?"))</f>
        <v/>
      </c>
      <c r="H1499" s="19">
        <f>IF(OR(C1499="",D1499=""),"",IFERROR(INDEX('Qida bazası'!$G$2:$G$103,MATCH(C1499,'Qida bazası'!$A$2:$A$103,0))*D1499/100,"?"))</f>
        <v/>
      </c>
    </row>
    <row r="1500">
      <c r="A1500" s="21" t="n"/>
      <c r="E1500" s="18">
        <f>IF(OR(C1500="",D1500=""),"",IFERROR(INDEX('Qida bazası'!$D$2:$D$103,MATCH(C1500,'Qida bazası'!$A$2:$A$103,0))*D1500/100,"?"))</f>
        <v/>
      </c>
      <c r="F1500" s="19">
        <f>IF(OR(C1500="",D1500=""),"",IFERROR(INDEX('Qida bazası'!$E$2:$E$103,MATCH(C1500,'Qida bazası'!$A$2:$A$103,0))*D1500/100,"?"))</f>
        <v/>
      </c>
      <c r="G1500" s="19">
        <f>IF(OR(C1500="",D1500=""),"",IFERROR(INDEX('Qida bazası'!$F$2:$F$103,MATCH(C1500,'Qida bazası'!$A$2:$A$103,0))*D1500/100,"?"))</f>
        <v/>
      </c>
      <c r="H1500" s="19">
        <f>IF(OR(C1500="",D1500=""),"",IFERROR(INDEX('Qida bazası'!$G$2:$G$103,MATCH(C1500,'Qida bazası'!$A$2:$A$103,0))*D1500/100,"?"))</f>
        <v/>
      </c>
    </row>
    <row r="1501">
      <c r="A1501" s="21" t="n"/>
      <c r="E1501" s="18">
        <f>IF(OR(C1501="",D1501=""),"",IFERROR(INDEX('Qida bazası'!$D$2:$D$103,MATCH(C1501,'Qida bazası'!$A$2:$A$103,0))*D1501/100,"?"))</f>
        <v/>
      </c>
      <c r="F1501" s="19">
        <f>IF(OR(C1501="",D1501=""),"",IFERROR(INDEX('Qida bazası'!$E$2:$E$103,MATCH(C1501,'Qida bazası'!$A$2:$A$103,0))*D1501/100,"?"))</f>
        <v/>
      </c>
      <c r="G1501" s="19">
        <f>IF(OR(C1501="",D1501=""),"",IFERROR(INDEX('Qida bazası'!$F$2:$F$103,MATCH(C1501,'Qida bazası'!$A$2:$A$103,0))*D1501/100,"?"))</f>
        <v/>
      </c>
      <c r="H1501" s="19">
        <f>IF(OR(C1501="",D1501=""),"",IFERROR(INDEX('Qida bazası'!$G$2:$G$103,MATCH(C1501,'Qida bazası'!$A$2:$A$103,0))*D1501/100,"?"))</f>
        <v/>
      </c>
    </row>
    <row r="1502">
      <c r="A1502" s="21" t="n"/>
      <c r="E1502" s="18">
        <f>IF(OR(C1502="",D1502=""),"",IFERROR(INDEX('Qida bazası'!$D$2:$D$103,MATCH(C1502,'Qida bazası'!$A$2:$A$103,0))*D1502/100,"?"))</f>
        <v/>
      </c>
      <c r="F1502" s="19">
        <f>IF(OR(C1502="",D1502=""),"",IFERROR(INDEX('Qida bazası'!$E$2:$E$103,MATCH(C1502,'Qida bazası'!$A$2:$A$103,0))*D1502/100,"?"))</f>
        <v/>
      </c>
      <c r="G1502" s="19">
        <f>IF(OR(C1502="",D1502=""),"",IFERROR(INDEX('Qida bazası'!$F$2:$F$103,MATCH(C1502,'Qida bazası'!$A$2:$A$103,0))*D1502/100,"?"))</f>
        <v/>
      </c>
      <c r="H1502" s="19">
        <f>IF(OR(C1502="",D1502=""),"",IFERROR(INDEX('Qida bazası'!$G$2:$G$103,MATCH(C1502,'Qida bazası'!$A$2:$A$103,0))*D1502/100,"?"))</f>
        <v/>
      </c>
    </row>
    <row r="1503">
      <c r="A1503" s="21" t="n"/>
      <c r="E1503" s="18">
        <f>IF(OR(C1503="",D1503=""),"",IFERROR(INDEX('Qida bazası'!$D$2:$D$103,MATCH(C1503,'Qida bazası'!$A$2:$A$103,0))*D1503/100,"?"))</f>
        <v/>
      </c>
      <c r="F1503" s="19">
        <f>IF(OR(C1503="",D1503=""),"",IFERROR(INDEX('Qida bazası'!$E$2:$E$103,MATCH(C1503,'Qida bazası'!$A$2:$A$103,0))*D1503/100,"?"))</f>
        <v/>
      </c>
      <c r="G1503" s="19">
        <f>IF(OR(C1503="",D1503=""),"",IFERROR(INDEX('Qida bazası'!$F$2:$F$103,MATCH(C1503,'Qida bazası'!$A$2:$A$103,0))*D1503/100,"?"))</f>
        <v/>
      </c>
      <c r="H1503" s="19">
        <f>IF(OR(C1503="",D1503=""),"",IFERROR(INDEX('Qida bazası'!$G$2:$G$103,MATCH(C1503,'Qida bazası'!$A$2:$A$103,0))*D1503/100,"?"))</f>
        <v/>
      </c>
    </row>
    <row r="1504">
      <c r="A1504" s="21" t="n"/>
      <c r="E1504" s="18">
        <f>IF(OR(C1504="",D1504=""),"",IFERROR(INDEX('Qida bazası'!$D$2:$D$103,MATCH(C1504,'Qida bazası'!$A$2:$A$103,0))*D1504/100,"?"))</f>
        <v/>
      </c>
      <c r="F1504" s="19">
        <f>IF(OR(C1504="",D1504=""),"",IFERROR(INDEX('Qida bazası'!$E$2:$E$103,MATCH(C1504,'Qida bazası'!$A$2:$A$103,0))*D1504/100,"?"))</f>
        <v/>
      </c>
      <c r="G1504" s="19">
        <f>IF(OR(C1504="",D1504=""),"",IFERROR(INDEX('Qida bazası'!$F$2:$F$103,MATCH(C1504,'Qida bazası'!$A$2:$A$103,0))*D1504/100,"?"))</f>
        <v/>
      </c>
      <c r="H1504" s="19">
        <f>IF(OR(C1504="",D1504=""),"",IFERROR(INDEX('Qida bazası'!$G$2:$G$103,MATCH(C1504,'Qida bazası'!$A$2:$A$103,0))*D1504/100,"?"))</f>
        <v/>
      </c>
    </row>
    <row r="1505">
      <c r="A1505" s="21" t="n"/>
      <c r="E1505" s="18">
        <f>IF(OR(C1505="",D1505=""),"",IFERROR(INDEX('Qida bazası'!$D$2:$D$103,MATCH(C1505,'Qida bazası'!$A$2:$A$103,0))*D1505/100,"?"))</f>
        <v/>
      </c>
      <c r="F1505" s="19">
        <f>IF(OR(C1505="",D1505=""),"",IFERROR(INDEX('Qida bazası'!$E$2:$E$103,MATCH(C1505,'Qida bazası'!$A$2:$A$103,0))*D1505/100,"?"))</f>
        <v/>
      </c>
      <c r="G1505" s="19">
        <f>IF(OR(C1505="",D1505=""),"",IFERROR(INDEX('Qida bazası'!$F$2:$F$103,MATCH(C1505,'Qida bazası'!$A$2:$A$103,0))*D1505/100,"?"))</f>
        <v/>
      </c>
      <c r="H1505" s="19">
        <f>IF(OR(C1505="",D1505=""),"",IFERROR(INDEX('Qida bazası'!$G$2:$G$103,MATCH(C1505,'Qida bazası'!$A$2:$A$103,0))*D1505/100,"?"))</f>
        <v/>
      </c>
    </row>
    <row r="1506">
      <c r="A1506" s="21" t="n"/>
      <c r="E1506" s="18">
        <f>IF(OR(C1506="",D1506=""),"",IFERROR(INDEX('Qida bazası'!$D$2:$D$103,MATCH(C1506,'Qida bazası'!$A$2:$A$103,0))*D1506/100,"?"))</f>
        <v/>
      </c>
      <c r="F1506" s="19">
        <f>IF(OR(C1506="",D1506=""),"",IFERROR(INDEX('Qida bazası'!$E$2:$E$103,MATCH(C1506,'Qida bazası'!$A$2:$A$103,0))*D1506/100,"?"))</f>
        <v/>
      </c>
      <c r="G1506" s="19">
        <f>IF(OR(C1506="",D1506=""),"",IFERROR(INDEX('Qida bazası'!$F$2:$F$103,MATCH(C1506,'Qida bazası'!$A$2:$A$103,0))*D1506/100,"?"))</f>
        <v/>
      </c>
      <c r="H1506" s="19">
        <f>IF(OR(C1506="",D1506=""),"",IFERROR(INDEX('Qida bazası'!$G$2:$G$103,MATCH(C1506,'Qida bazası'!$A$2:$A$103,0))*D1506/100,"?"))</f>
        <v/>
      </c>
    </row>
    <row r="1507">
      <c r="A1507" s="21" t="n"/>
      <c r="E1507" s="18">
        <f>IF(OR(C1507="",D1507=""),"",IFERROR(INDEX('Qida bazası'!$D$2:$D$103,MATCH(C1507,'Qida bazası'!$A$2:$A$103,0))*D1507/100,"?"))</f>
        <v/>
      </c>
      <c r="F1507" s="19">
        <f>IF(OR(C1507="",D1507=""),"",IFERROR(INDEX('Qida bazası'!$E$2:$E$103,MATCH(C1507,'Qida bazası'!$A$2:$A$103,0))*D1507/100,"?"))</f>
        <v/>
      </c>
      <c r="G1507" s="19">
        <f>IF(OR(C1507="",D1507=""),"",IFERROR(INDEX('Qida bazası'!$F$2:$F$103,MATCH(C1507,'Qida bazası'!$A$2:$A$103,0))*D1507/100,"?"))</f>
        <v/>
      </c>
      <c r="H1507" s="19">
        <f>IF(OR(C1507="",D1507=""),"",IFERROR(INDEX('Qida bazası'!$G$2:$G$103,MATCH(C1507,'Qida bazası'!$A$2:$A$103,0))*D1507/100,"?"))</f>
        <v/>
      </c>
    </row>
    <row r="1508">
      <c r="A1508" s="21" t="n"/>
      <c r="E1508" s="18">
        <f>IF(OR(C1508="",D1508=""),"",IFERROR(INDEX('Qida bazası'!$D$2:$D$103,MATCH(C1508,'Qida bazası'!$A$2:$A$103,0))*D1508/100,"?"))</f>
        <v/>
      </c>
      <c r="F1508" s="19">
        <f>IF(OR(C1508="",D1508=""),"",IFERROR(INDEX('Qida bazası'!$E$2:$E$103,MATCH(C1508,'Qida bazası'!$A$2:$A$103,0))*D1508/100,"?"))</f>
        <v/>
      </c>
      <c r="G1508" s="19">
        <f>IF(OR(C1508="",D1508=""),"",IFERROR(INDEX('Qida bazası'!$F$2:$F$103,MATCH(C1508,'Qida bazası'!$A$2:$A$103,0))*D1508/100,"?"))</f>
        <v/>
      </c>
      <c r="H1508" s="19">
        <f>IF(OR(C1508="",D1508=""),"",IFERROR(INDEX('Qida bazası'!$G$2:$G$103,MATCH(C1508,'Qida bazası'!$A$2:$A$103,0))*D1508/100,"?"))</f>
        <v/>
      </c>
    </row>
    <row r="1509">
      <c r="A1509" s="21" t="n"/>
      <c r="E1509" s="18">
        <f>IF(OR(C1509="",D1509=""),"",IFERROR(INDEX('Qida bazası'!$D$2:$D$103,MATCH(C1509,'Qida bazası'!$A$2:$A$103,0))*D1509/100,"?"))</f>
        <v/>
      </c>
      <c r="F1509" s="19">
        <f>IF(OR(C1509="",D1509=""),"",IFERROR(INDEX('Qida bazası'!$E$2:$E$103,MATCH(C1509,'Qida bazası'!$A$2:$A$103,0))*D1509/100,"?"))</f>
        <v/>
      </c>
      <c r="G1509" s="19">
        <f>IF(OR(C1509="",D1509=""),"",IFERROR(INDEX('Qida bazası'!$F$2:$F$103,MATCH(C1509,'Qida bazası'!$A$2:$A$103,0))*D1509/100,"?"))</f>
        <v/>
      </c>
      <c r="H1509" s="19">
        <f>IF(OR(C1509="",D1509=""),"",IFERROR(INDEX('Qida bazası'!$G$2:$G$103,MATCH(C1509,'Qida bazası'!$A$2:$A$103,0))*D1509/100,"?"))</f>
        <v/>
      </c>
    </row>
    <row r="1510">
      <c r="A1510" s="21" t="n"/>
      <c r="E1510" s="18">
        <f>IF(OR(C1510="",D1510=""),"",IFERROR(INDEX('Qida bazası'!$D$2:$D$103,MATCH(C1510,'Qida bazası'!$A$2:$A$103,0))*D1510/100,"?"))</f>
        <v/>
      </c>
      <c r="F1510" s="19">
        <f>IF(OR(C1510="",D1510=""),"",IFERROR(INDEX('Qida bazası'!$E$2:$E$103,MATCH(C1510,'Qida bazası'!$A$2:$A$103,0))*D1510/100,"?"))</f>
        <v/>
      </c>
      <c r="G1510" s="19">
        <f>IF(OR(C1510="",D1510=""),"",IFERROR(INDEX('Qida bazası'!$F$2:$F$103,MATCH(C1510,'Qida bazası'!$A$2:$A$103,0))*D1510/100,"?"))</f>
        <v/>
      </c>
      <c r="H1510" s="19">
        <f>IF(OR(C1510="",D1510=""),"",IFERROR(INDEX('Qida bazası'!$G$2:$G$103,MATCH(C1510,'Qida bazası'!$A$2:$A$103,0))*D1510/100,"?"))</f>
        <v/>
      </c>
    </row>
    <row r="1511">
      <c r="A1511" s="21" t="n"/>
      <c r="E1511" s="18">
        <f>IF(OR(C1511="",D1511=""),"",IFERROR(INDEX('Qida bazası'!$D$2:$D$103,MATCH(C1511,'Qida bazası'!$A$2:$A$103,0))*D1511/100,"?"))</f>
        <v/>
      </c>
      <c r="F1511" s="19">
        <f>IF(OR(C1511="",D1511=""),"",IFERROR(INDEX('Qida bazası'!$E$2:$E$103,MATCH(C1511,'Qida bazası'!$A$2:$A$103,0))*D1511/100,"?"))</f>
        <v/>
      </c>
      <c r="G1511" s="19">
        <f>IF(OR(C1511="",D1511=""),"",IFERROR(INDEX('Qida bazası'!$F$2:$F$103,MATCH(C1511,'Qida bazası'!$A$2:$A$103,0))*D1511/100,"?"))</f>
        <v/>
      </c>
      <c r="H1511" s="19">
        <f>IF(OR(C1511="",D1511=""),"",IFERROR(INDEX('Qida bazası'!$G$2:$G$103,MATCH(C1511,'Qida bazası'!$A$2:$A$103,0))*D1511/100,"?"))</f>
        <v/>
      </c>
    </row>
    <row r="1512">
      <c r="A1512" s="21" t="n"/>
      <c r="E1512" s="18">
        <f>IF(OR(C1512="",D1512=""),"",IFERROR(INDEX('Qida bazası'!$D$2:$D$103,MATCH(C1512,'Qida bazası'!$A$2:$A$103,0))*D1512/100,"?"))</f>
        <v/>
      </c>
      <c r="F1512" s="19">
        <f>IF(OR(C1512="",D1512=""),"",IFERROR(INDEX('Qida bazası'!$E$2:$E$103,MATCH(C1512,'Qida bazası'!$A$2:$A$103,0))*D1512/100,"?"))</f>
        <v/>
      </c>
      <c r="G1512" s="19">
        <f>IF(OR(C1512="",D1512=""),"",IFERROR(INDEX('Qida bazası'!$F$2:$F$103,MATCH(C1512,'Qida bazası'!$A$2:$A$103,0))*D1512/100,"?"))</f>
        <v/>
      </c>
      <c r="H1512" s="19">
        <f>IF(OR(C1512="",D1512=""),"",IFERROR(INDEX('Qida bazası'!$G$2:$G$103,MATCH(C1512,'Qida bazası'!$A$2:$A$103,0))*D1512/100,"?"))</f>
        <v/>
      </c>
    </row>
    <row r="1513">
      <c r="A1513" s="21" t="n"/>
      <c r="E1513" s="18">
        <f>IF(OR(C1513="",D1513=""),"",IFERROR(INDEX('Qida bazası'!$D$2:$D$103,MATCH(C1513,'Qida bazası'!$A$2:$A$103,0))*D1513/100,"?"))</f>
        <v/>
      </c>
      <c r="F1513" s="19">
        <f>IF(OR(C1513="",D1513=""),"",IFERROR(INDEX('Qida bazası'!$E$2:$E$103,MATCH(C1513,'Qida bazası'!$A$2:$A$103,0))*D1513/100,"?"))</f>
        <v/>
      </c>
      <c r="G1513" s="19">
        <f>IF(OR(C1513="",D1513=""),"",IFERROR(INDEX('Qida bazası'!$F$2:$F$103,MATCH(C1513,'Qida bazası'!$A$2:$A$103,0))*D1513/100,"?"))</f>
        <v/>
      </c>
      <c r="H1513" s="19">
        <f>IF(OR(C1513="",D1513=""),"",IFERROR(INDEX('Qida bazası'!$G$2:$G$103,MATCH(C1513,'Qida bazası'!$A$2:$A$103,0))*D1513/100,"?"))</f>
        <v/>
      </c>
    </row>
    <row r="1514">
      <c r="A1514" s="21" t="n"/>
      <c r="E1514" s="18">
        <f>IF(OR(C1514="",D1514=""),"",IFERROR(INDEX('Qida bazası'!$D$2:$D$103,MATCH(C1514,'Qida bazası'!$A$2:$A$103,0))*D1514/100,"?"))</f>
        <v/>
      </c>
      <c r="F1514" s="19">
        <f>IF(OR(C1514="",D1514=""),"",IFERROR(INDEX('Qida bazası'!$E$2:$E$103,MATCH(C1514,'Qida bazası'!$A$2:$A$103,0))*D1514/100,"?"))</f>
        <v/>
      </c>
      <c r="G1514" s="19">
        <f>IF(OR(C1514="",D1514=""),"",IFERROR(INDEX('Qida bazası'!$F$2:$F$103,MATCH(C1514,'Qida bazası'!$A$2:$A$103,0))*D1514/100,"?"))</f>
        <v/>
      </c>
      <c r="H1514" s="19">
        <f>IF(OR(C1514="",D1514=""),"",IFERROR(INDEX('Qida bazası'!$G$2:$G$103,MATCH(C1514,'Qida bazası'!$A$2:$A$103,0))*D1514/100,"?"))</f>
        <v/>
      </c>
    </row>
    <row r="1515">
      <c r="A1515" s="21" t="n"/>
      <c r="E1515" s="18">
        <f>IF(OR(C1515="",D1515=""),"",IFERROR(INDEX('Qida bazası'!$D$2:$D$103,MATCH(C1515,'Qida bazası'!$A$2:$A$103,0))*D1515/100,"?"))</f>
        <v/>
      </c>
      <c r="F1515" s="19">
        <f>IF(OR(C1515="",D1515=""),"",IFERROR(INDEX('Qida bazası'!$E$2:$E$103,MATCH(C1515,'Qida bazası'!$A$2:$A$103,0))*D1515/100,"?"))</f>
        <v/>
      </c>
      <c r="G1515" s="19">
        <f>IF(OR(C1515="",D1515=""),"",IFERROR(INDEX('Qida bazası'!$F$2:$F$103,MATCH(C1515,'Qida bazası'!$A$2:$A$103,0))*D1515/100,"?"))</f>
        <v/>
      </c>
      <c r="H1515" s="19">
        <f>IF(OR(C1515="",D1515=""),"",IFERROR(INDEX('Qida bazası'!$G$2:$G$103,MATCH(C1515,'Qida bazası'!$A$2:$A$103,0))*D1515/100,"?"))</f>
        <v/>
      </c>
    </row>
    <row r="1516">
      <c r="A1516" s="21" t="n"/>
      <c r="E1516" s="18">
        <f>IF(OR(C1516="",D1516=""),"",IFERROR(INDEX('Qida bazası'!$D$2:$D$103,MATCH(C1516,'Qida bazası'!$A$2:$A$103,0))*D1516/100,"?"))</f>
        <v/>
      </c>
      <c r="F1516" s="19">
        <f>IF(OR(C1516="",D1516=""),"",IFERROR(INDEX('Qida bazası'!$E$2:$E$103,MATCH(C1516,'Qida bazası'!$A$2:$A$103,0))*D1516/100,"?"))</f>
        <v/>
      </c>
      <c r="G1516" s="19">
        <f>IF(OR(C1516="",D1516=""),"",IFERROR(INDEX('Qida bazası'!$F$2:$F$103,MATCH(C1516,'Qida bazası'!$A$2:$A$103,0))*D1516/100,"?"))</f>
        <v/>
      </c>
      <c r="H1516" s="19">
        <f>IF(OR(C1516="",D1516=""),"",IFERROR(INDEX('Qida bazası'!$G$2:$G$103,MATCH(C1516,'Qida bazası'!$A$2:$A$103,0))*D1516/100,"?"))</f>
        <v/>
      </c>
    </row>
    <row r="1517">
      <c r="A1517" s="21" t="n"/>
      <c r="E1517" s="18">
        <f>IF(OR(C1517="",D1517=""),"",IFERROR(INDEX('Qida bazası'!$D$2:$D$103,MATCH(C1517,'Qida bazası'!$A$2:$A$103,0))*D1517/100,"?"))</f>
        <v/>
      </c>
      <c r="F1517" s="19">
        <f>IF(OR(C1517="",D1517=""),"",IFERROR(INDEX('Qida bazası'!$E$2:$E$103,MATCH(C1517,'Qida bazası'!$A$2:$A$103,0))*D1517/100,"?"))</f>
        <v/>
      </c>
      <c r="G1517" s="19">
        <f>IF(OR(C1517="",D1517=""),"",IFERROR(INDEX('Qida bazası'!$F$2:$F$103,MATCH(C1517,'Qida bazası'!$A$2:$A$103,0))*D1517/100,"?"))</f>
        <v/>
      </c>
      <c r="H1517" s="19">
        <f>IF(OR(C1517="",D1517=""),"",IFERROR(INDEX('Qida bazası'!$G$2:$G$103,MATCH(C1517,'Qida bazası'!$A$2:$A$103,0))*D1517/100,"?"))</f>
        <v/>
      </c>
    </row>
    <row r="1518">
      <c r="A1518" s="21" t="n"/>
      <c r="E1518" s="18">
        <f>IF(OR(C1518="",D1518=""),"",IFERROR(INDEX('Qida bazası'!$D$2:$D$103,MATCH(C1518,'Qida bazası'!$A$2:$A$103,0))*D1518/100,"?"))</f>
        <v/>
      </c>
      <c r="F1518" s="19">
        <f>IF(OR(C1518="",D1518=""),"",IFERROR(INDEX('Qida bazası'!$E$2:$E$103,MATCH(C1518,'Qida bazası'!$A$2:$A$103,0))*D1518/100,"?"))</f>
        <v/>
      </c>
      <c r="G1518" s="19">
        <f>IF(OR(C1518="",D1518=""),"",IFERROR(INDEX('Qida bazası'!$F$2:$F$103,MATCH(C1518,'Qida bazası'!$A$2:$A$103,0))*D1518/100,"?"))</f>
        <v/>
      </c>
      <c r="H1518" s="19">
        <f>IF(OR(C1518="",D1518=""),"",IFERROR(INDEX('Qida bazası'!$G$2:$G$103,MATCH(C1518,'Qida bazası'!$A$2:$A$103,0))*D1518/100,"?"))</f>
        <v/>
      </c>
    </row>
    <row r="1519">
      <c r="A1519" s="21" t="n"/>
      <c r="E1519" s="18">
        <f>IF(OR(C1519="",D1519=""),"",IFERROR(INDEX('Qida bazası'!$D$2:$D$103,MATCH(C1519,'Qida bazası'!$A$2:$A$103,0))*D1519/100,"?"))</f>
        <v/>
      </c>
      <c r="F1519" s="19">
        <f>IF(OR(C1519="",D1519=""),"",IFERROR(INDEX('Qida bazası'!$E$2:$E$103,MATCH(C1519,'Qida bazası'!$A$2:$A$103,0))*D1519/100,"?"))</f>
        <v/>
      </c>
      <c r="G1519" s="19">
        <f>IF(OR(C1519="",D1519=""),"",IFERROR(INDEX('Qida bazası'!$F$2:$F$103,MATCH(C1519,'Qida bazası'!$A$2:$A$103,0))*D1519/100,"?"))</f>
        <v/>
      </c>
      <c r="H1519" s="19">
        <f>IF(OR(C1519="",D1519=""),"",IFERROR(INDEX('Qida bazası'!$G$2:$G$103,MATCH(C1519,'Qida bazası'!$A$2:$A$103,0))*D1519/100,"?"))</f>
        <v/>
      </c>
    </row>
    <row r="1520">
      <c r="A1520" s="21" t="n"/>
      <c r="E1520" s="18">
        <f>IF(OR(C1520="",D1520=""),"",IFERROR(INDEX('Qida bazası'!$D$2:$D$103,MATCH(C1520,'Qida bazası'!$A$2:$A$103,0))*D1520/100,"?"))</f>
        <v/>
      </c>
      <c r="F1520" s="19">
        <f>IF(OR(C1520="",D1520=""),"",IFERROR(INDEX('Qida bazası'!$E$2:$E$103,MATCH(C1520,'Qida bazası'!$A$2:$A$103,0))*D1520/100,"?"))</f>
        <v/>
      </c>
      <c r="G1520" s="19">
        <f>IF(OR(C1520="",D1520=""),"",IFERROR(INDEX('Qida bazası'!$F$2:$F$103,MATCH(C1520,'Qida bazası'!$A$2:$A$103,0))*D1520/100,"?"))</f>
        <v/>
      </c>
      <c r="H1520" s="19">
        <f>IF(OR(C1520="",D1520=""),"",IFERROR(INDEX('Qida bazası'!$G$2:$G$103,MATCH(C1520,'Qida bazası'!$A$2:$A$103,0))*D1520/100,"?"))</f>
        <v/>
      </c>
    </row>
    <row r="1521">
      <c r="A1521" s="21" t="n"/>
      <c r="E1521" s="18">
        <f>IF(OR(C1521="",D1521=""),"",IFERROR(INDEX('Qida bazası'!$D$2:$D$103,MATCH(C1521,'Qida bazası'!$A$2:$A$103,0))*D1521/100,"?"))</f>
        <v/>
      </c>
      <c r="F1521" s="19">
        <f>IF(OR(C1521="",D1521=""),"",IFERROR(INDEX('Qida bazası'!$E$2:$E$103,MATCH(C1521,'Qida bazası'!$A$2:$A$103,0))*D1521/100,"?"))</f>
        <v/>
      </c>
      <c r="G1521" s="19">
        <f>IF(OR(C1521="",D1521=""),"",IFERROR(INDEX('Qida bazası'!$F$2:$F$103,MATCH(C1521,'Qida bazası'!$A$2:$A$103,0))*D1521/100,"?"))</f>
        <v/>
      </c>
      <c r="H1521" s="19">
        <f>IF(OR(C1521="",D1521=""),"",IFERROR(INDEX('Qida bazası'!$G$2:$G$103,MATCH(C1521,'Qida bazası'!$A$2:$A$103,0))*D1521/100,"?"))</f>
        <v/>
      </c>
    </row>
    <row r="1522">
      <c r="A1522" s="21" t="n"/>
      <c r="E1522" s="18">
        <f>IF(OR(C1522="",D1522=""),"",IFERROR(INDEX('Qida bazası'!$D$2:$D$103,MATCH(C1522,'Qida bazası'!$A$2:$A$103,0))*D1522/100,"?"))</f>
        <v/>
      </c>
      <c r="F1522" s="19">
        <f>IF(OR(C1522="",D1522=""),"",IFERROR(INDEX('Qida bazası'!$E$2:$E$103,MATCH(C1522,'Qida bazası'!$A$2:$A$103,0))*D1522/100,"?"))</f>
        <v/>
      </c>
      <c r="G1522" s="19">
        <f>IF(OR(C1522="",D1522=""),"",IFERROR(INDEX('Qida bazası'!$F$2:$F$103,MATCH(C1522,'Qida bazası'!$A$2:$A$103,0))*D1522/100,"?"))</f>
        <v/>
      </c>
      <c r="H1522" s="19">
        <f>IF(OR(C1522="",D1522=""),"",IFERROR(INDEX('Qida bazası'!$G$2:$G$103,MATCH(C1522,'Qida bazası'!$A$2:$A$103,0))*D1522/100,"?"))</f>
        <v/>
      </c>
    </row>
    <row r="1523">
      <c r="A1523" s="21" t="n"/>
      <c r="E1523" s="18">
        <f>IF(OR(C1523="",D1523=""),"",IFERROR(INDEX('Qida bazası'!$D$2:$D$103,MATCH(C1523,'Qida bazası'!$A$2:$A$103,0))*D1523/100,"?"))</f>
        <v/>
      </c>
      <c r="F1523" s="19">
        <f>IF(OR(C1523="",D1523=""),"",IFERROR(INDEX('Qida bazası'!$E$2:$E$103,MATCH(C1523,'Qida bazası'!$A$2:$A$103,0))*D1523/100,"?"))</f>
        <v/>
      </c>
      <c r="G1523" s="19">
        <f>IF(OR(C1523="",D1523=""),"",IFERROR(INDEX('Qida bazası'!$F$2:$F$103,MATCH(C1523,'Qida bazası'!$A$2:$A$103,0))*D1523/100,"?"))</f>
        <v/>
      </c>
      <c r="H1523" s="19">
        <f>IF(OR(C1523="",D1523=""),"",IFERROR(INDEX('Qida bazası'!$G$2:$G$103,MATCH(C1523,'Qida bazası'!$A$2:$A$103,0))*D1523/100,"?"))</f>
        <v/>
      </c>
    </row>
    <row r="1524">
      <c r="A1524" s="21" t="n"/>
      <c r="E1524" s="18">
        <f>IF(OR(C1524="",D1524=""),"",IFERROR(INDEX('Qida bazası'!$D$2:$D$103,MATCH(C1524,'Qida bazası'!$A$2:$A$103,0))*D1524/100,"?"))</f>
        <v/>
      </c>
      <c r="F1524" s="19">
        <f>IF(OR(C1524="",D1524=""),"",IFERROR(INDEX('Qida bazası'!$E$2:$E$103,MATCH(C1524,'Qida bazası'!$A$2:$A$103,0))*D1524/100,"?"))</f>
        <v/>
      </c>
      <c r="G1524" s="19">
        <f>IF(OR(C1524="",D1524=""),"",IFERROR(INDEX('Qida bazası'!$F$2:$F$103,MATCH(C1524,'Qida bazası'!$A$2:$A$103,0))*D1524/100,"?"))</f>
        <v/>
      </c>
      <c r="H1524" s="19">
        <f>IF(OR(C1524="",D1524=""),"",IFERROR(INDEX('Qida bazası'!$G$2:$G$103,MATCH(C1524,'Qida bazası'!$A$2:$A$103,0))*D1524/100,"?"))</f>
        <v/>
      </c>
    </row>
    <row r="1525">
      <c r="A1525" s="21" t="n"/>
      <c r="E1525" s="18">
        <f>IF(OR(C1525="",D1525=""),"",IFERROR(INDEX('Qida bazası'!$D$2:$D$103,MATCH(C1525,'Qida bazası'!$A$2:$A$103,0))*D1525/100,"?"))</f>
        <v/>
      </c>
      <c r="F1525" s="19">
        <f>IF(OR(C1525="",D1525=""),"",IFERROR(INDEX('Qida bazası'!$E$2:$E$103,MATCH(C1525,'Qida bazası'!$A$2:$A$103,0))*D1525/100,"?"))</f>
        <v/>
      </c>
      <c r="G1525" s="19">
        <f>IF(OR(C1525="",D1525=""),"",IFERROR(INDEX('Qida bazası'!$F$2:$F$103,MATCH(C1525,'Qida bazası'!$A$2:$A$103,0))*D1525/100,"?"))</f>
        <v/>
      </c>
      <c r="H1525" s="19">
        <f>IF(OR(C1525="",D1525=""),"",IFERROR(INDEX('Qida bazası'!$G$2:$G$103,MATCH(C1525,'Qida bazası'!$A$2:$A$103,0))*D1525/100,"?"))</f>
        <v/>
      </c>
    </row>
    <row r="1526">
      <c r="A1526" s="21" t="n"/>
      <c r="E1526" s="18">
        <f>IF(OR(C1526="",D1526=""),"",IFERROR(INDEX('Qida bazası'!$D$2:$D$103,MATCH(C1526,'Qida bazası'!$A$2:$A$103,0))*D1526/100,"?"))</f>
        <v/>
      </c>
      <c r="F1526" s="19">
        <f>IF(OR(C1526="",D1526=""),"",IFERROR(INDEX('Qida bazası'!$E$2:$E$103,MATCH(C1526,'Qida bazası'!$A$2:$A$103,0))*D1526/100,"?"))</f>
        <v/>
      </c>
      <c r="G1526" s="19">
        <f>IF(OR(C1526="",D1526=""),"",IFERROR(INDEX('Qida bazası'!$F$2:$F$103,MATCH(C1526,'Qida bazası'!$A$2:$A$103,0))*D1526/100,"?"))</f>
        <v/>
      </c>
      <c r="H1526" s="19">
        <f>IF(OR(C1526="",D1526=""),"",IFERROR(INDEX('Qida bazası'!$G$2:$G$103,MATCH(C1526,'Qida bazası'!$A$2:$A$103,0))*D1526/100,"?"))</f>
        <v/>
      </c>
    </row>
    <row r="1527">
      <c r="A1527" s="21" t="n"/>
      <c r="E1527" s="18">
        <f>IF(OR(C1527="",D1527=""),"",IFERROR(INDEX('Qida bazası'!$D$2:$D$103,MATCH(C1527,'Qida bazası'!$A$2:$A$103,0))*D1527/100,"?"))</f>
        <v/>
      </c>
      <c r="F1527" s="19">
        <f>IF(OR(C1527="",D1527=""),"",IFERROR(INDEX('Qida bazası'!$E$2:$E$103,MATCH(C1527,'Qida bazası'!$A$2:$A$103,0))*D1527/100,"?"))</f>
        <v/>
      </c>
      <c r="G1527" s="19">
        <f>IF(OR(C1527="",D1527=""),"",IFERROR(INDEX('Qida bazası'!$F$2:$F$103,MATCH(C1527,'Qida bazası'!$A$2:$A$103,0))*D1527/100,"?"))</f>
        <v/>
      </c>
      <c r="H1527" s="19">
        <f>IF(OR(C1527="",D1527=""),"",IFERROR(INDEX('Qida bazası'!$G$2:$G$103,MATCH(C1527,'Qida bazası'!$A$2:$A$103,0))*D1527/100,"?"))</f>
        <v/>
      </c>
    </row>
    <row r="1528">
      <c r="A1528" s="21" t="n"/>
      <c r="E1528" s="18">
        <f>IF(OR(C1528="",D1528=""),"",IFERROR(INDEX('Qida bazası'!$D$2:$D$103,MATCH(C1528,'Qida bazası'!$A$2:$A$103,0))*D1528/100,"?"))</f>
        <v/>
      </c>
      <c r="F1528" s="19">
        <f>IF(OR(C1528="",D1528=""),"",IFERROR(INDEX('Qida bazası'!$E$2:$E$103,MATCH(C1528,'Qida bazası'!$A$2:$A$103,0))*D1528/100,"?"))</f>
        <v/>
      </c>
      <c r="G1528" s="19">
        <f>IF(OR(C1528="",D1528=""),"",IFERROR(INDEX('Qida bazası'!$F$2:$F$103,MATCH(C1528,'Qida bazası'!$A$2:$A$103,0))*D1528/100,"?"))</f>
        <v/>
      </c>
      <c r="H1528" s="19">
        <f>IF(OR(C1528="",D1528=""),"",IFERROR(INDEX('Qida bazası'!$G$2:$G$103,MATCH(C1528,'Qida bazası'!$A$2:$A$103,0))*D1528/100,"?"))</f>
        <v/>
      </c>
    </row>
    <row r="1529">
      <c r="A1529" s="21" t="n"/>
      <c r="E1529" s="18">
        <f>IF(OR(C1529="",D1529=""),"",IFERROR(INDEX('Qida bazası'!$D$2:$D$103,MATCH(C1529,'Qida bazası'!$A$2:$A$103,0))*D1529/100,"?"))</f>
        <v/>
      </c>
      <c r="F1529" s="19">
        <f>IF(OR(C1529="",D1529=""),"",IFERROR(INDEX('Qida bazası'!$E$2:$E$103,MATCH(C1529,'Qida bazası'!$A$2:$A$103,0))*D1529/100,"?"))</f>
        <v/>
      </c>
      <c r="G1529" s="19">
        <f>IF(OR(C1529="",D1529=""),"",IFERROR(INDEX('Qida bazası'!$F$2:$F$103,MATCH(C1529,'Qida bazası'!$A$2:$A$103,0))*D1529/100,"?"))</f>
        <v/>
      </c>
      <c r="H1529" s="19">
        <f>IF(OR(C1529="",D1529=""),"",IFERROR(INDEX('Qida bazası'!$G$2:$G$103,MATCH(C1529,'Qida bazası'!$A$2:$A$103,0))*D1529/100,"?"))</f>
        <v/>
      </c>
    </row>
    <row r="1530">
      <c r="A1530" s="21" t="n"/>
      <c r="E1530" s="18">
        <f>IF(OR(C1530="",D1530=""),"",IFERROR(INDEX('Qida bazası'!$D$2:$D$103,MATCH(C1530,'Qida bazası'!$A$2:$A$103,0))*D1530/100,"?"))</f>
        <v/>
      </c>
      <c r="F1530" s="19">
        <f>IF(OR(C1530="",D1530=""),"",IFERROR(INDEX('Qida bazası'!$E$2:$E$103,MATCH(C1530,'Qida bazası'!$A$2:$A$103,0))*D1530/100,"?"))</f>
        <v/>
      </c>
      <c r="G1530" s="19">
        <f>IF(OR(C1530="",D1530=""),"",IFERROR(INDEX('Qida bazası'!$F$2:$F$103,MATCH(C1530,'Qida bazası'!$A$2:$A$103,0))*D1530/100,"?"))</f>
        <v/>
      </c>
      <c r="H1530" s="19">
        <f>IF(OR(C1530="",D1530=""),"",IFERROR(INDEX('Qida bazası'!$G$2:$G$103,MATCH(C1530,'Qida bazası'!$A$2:$A$103,0))*D1530/100,"?"))</f>
        <v/>
      </c>
    </row>
    <row r="1531">
      <c r="A1531" s="21" t="n"/>
      <c r="E1531" s="18">
        <f>IF(OR(C1531="",D1531=""),"",IFERROR(INDEX('Qida bazası'!$D$2:$D$103,MATCH(C1531,'Qida bazası'!$A$2:$A$103,0))*D1531/100,"?"))</f>
        <v/>
      </c>
      <c r="F1531" s="19">
        <f>IF(OR(C1531="",D1531=""),"",IFERROR(INDEX('Qida bazası'!$E$2:$E$103,MATCH(C1531,'Qida bazası'!$A$2:$A$103,0))*D1531/100,"?"))</f>
        <v/>
      </c>
      <c r="G1531" s="19">
        <f>IF(OR(C1531="",D1531=""),"",IFERROR(INDEX('Qida bazası'!$F$2:$F$103,MATCH(C1531,'Qida bazası'!$A$2:$A$103,0))*D1531/100,"?"))</f>
        <v/>
      </c>
      <c r="H1531" s="19">
        <f>IF(OR(C1531="",D1531=""),"",IFERROR(INDEX('Qida bazası'!$G$2:$G$103,MATCH(C1531,'Qida bazası'!$A$2:$A$103,0))*D1531/100,"?"))</f>
        <v/>
      </c>
    </row>
    <row r="1532">
      <c r="A1532" s="21" t="n"/>
      <c r="E1532" s="18">
        <f>IF(OR(C1532="",D1532=""),"",IFERROR(INDEX('Qida bazası'!$D$2:$D$103,MATCH(C1532,'Qida bazası'!$A$2:$A$103,0))*D1532/100,"?"))</f>
        <v/>
      </c>
      <c r="F1532" s="19">
        <f>IF(OR(C1532="",D1532=""),"",IFERROR(INDEX('Qida bazası'!$E$2:$E$103,MATCH(C1532,'Qida bazası'!$A$2:$A$103,0))*D1532/100,"?"))</f>
        <v/>
      </c>
      <c r="G1532" s="19">
        <f>IF(OR(C1532="",D1532=""),"",IFERROR(INDEX('Qida bazası'!$F$2:$F$103,MATCH(C1532,'Qida bazası'!$A$2:$A$103,0))*D1532/100,"?"))</f>
        <v/>
      </c>
      <c r="H1532" s="19">
        <f>IF(OR(C1532="",D1532=""),"",IFERROR(INDEX('Qida bazası'!$G$2:$G$103,MATCH(C1532,'Qida bazası'!$A$2:$A$103,0))*D1532/100,"?"))</f>
        <v/>
      </c>
    </row>
    <row r="1533">
      <c r="A1533" s="21" t="n"/>
      <c r="E1533" s="18">
        <f>IF(OR(C1533="",D1533=""),"",IFERROR(INDEX('Qida bazası'!$D$2:$D$103,MATCH(C1533,'Qida bazası'!$A$2:$A$103,0))*D1533/100,"?"))</f>
        <v/>
      </c>
      <c r="F1533" s="19">
        <f>IF(OR(C1533="",D1533=""),"",IFERROR(INDEX('Qida bazası'!$E$2:$E$103,MATCH(C1533,'Qida bazası'!$A$2:$A$103,0))*D1533/100,"?"))</f>
        <v/>
      </c>
      <c r="G1533" s="19">
        <f>IF(OR(C1533="",D1533=""),"",IFERROR(INDEX('Qida bazası'!$F$2:$F$103,MATCH(C1533,'Qida bazası'!$A$2:$A$103,0))*D1533/100,"?"))</f>
        <v/>
      </c>
      <c r="H1533" s="19">
        <f>IF(OR(C1533="",D1533=""),"",IFERROR(INDEX('Qida bazası'!$G$2:$G$103,MATCH(C1533,'Qida bazası'!$A$2:$A$103,0))*D1533/100,"?"))</f>
        <v/>
      </c>
    </row>
    <row r="1534">
      <c r="A1534" s="21" t="n"/>
      <c r="E1534" s="18">
        <f>IF(OR(C1534="",D1534=""),"",IFERROR(INDEX('Qida bazası'!$D$2:$D$103,MATCH(C1534,'Qida bazası'!$A$2:$A$103,0))*D1534/100,"?"))</f>
        <v/>
      </c>
      <c r="F1534" s="19">
        <f>IF(OR(C1534="",D1534=""),"",IFERROR(INDEX('Qida bazası'!$E$2:$E$103,MATCH(C1534,'Qida bazası'!$A$2:$A$103,0))*D1534/100,"?"))</f>
        <v/>
      </c>
      <c r="G1534" s="19">
        <f>IF(OR(C1534="",D1534=""),"",IFERROR(INDEX('Qida bazası'!$F$2:$F$103,MATCH(C1534,'Qida bazası'!$A$2:$A$103,0))*D1534/100,"?"))</f>
        <v/>
      </c>
      <c r="H1534" s="19">
        <f>IF(OR(C1534="",D1534=""),"",IFERROR(INDEX('Qida bazası'!$G$2:$G$103,MATCH(C1534,'Qida bazası'!$A$2:$A$103,0))*D1534/100,"?"))</f>
        <v/>
      </c>
    </row>
    <row r="1535">
      <c r="A1535" s="21" t="n"/>
      <c r="E1535" s="18">
        <f>IF(OR(C1535="",D1535=""),"",IFERROR(INDEX('Qida bazası'!$D$2:$D$103,MATCH(C1535,'Qida bazası'!$A$2:$A$103,0))*D1535/100,"?"))</f>
        <v/>
      </c>
      <c r="F1535" s="19">
        <f>IF(OR(C1535="",D1535=""),"",IFERROR(INDEX('Qida bazası'!$E$2:$E$103,MATCH(C1535,'Qida bazası'!$A$2:$A$103,0))*D1535/100,"?"))</f>
        <v/>
      </c>
      <c r="G1535" s="19">
        <f>IF(OR(C1535="",D1535=""),"",IFERROR(INDEX('Qida bazası'!$F$2:$F$103,MATCH(C1535,'Qida bazası'!$A$2:$A$103,0))*D1535/100,"?"))</f>
        <v/>
      </c>
      <c r="H1535" s="19">
        <f>IF(OR(C1535="",D1535=""),"",IFERROR(INDEX('Qida bazası'!$G$2:$G$103,MATCH(C1535,'Qida bazası'!$A$2:$A$103,0))*D1535/100,"?"))</f>
        <v/>
      </c>
    </row>
    <row r="1536">
      <c r="A1536" s="21" t="n"/>
      <c r="E1536" s="18">
        <f>IF(OR(C1536="",D1536=""),"",IFERROR(INDEX('Qida bazası'!$D$2:$D$103,MATCH(C1536,'Qida bazası'!$A$2:$A$103,0))*D1536/100,"?"))</f>
        <v/>
      </c>
      <c r="F1536" s="19">
        <f>IF(OR(C1536="",D1536=""),"",IFERROR(INDEX('Qida bazası'!$E$2:$E$103,MATCH(C1536,'Qida bazası'!$A$2:$A$103,0))*D1536/100,"?"))</f>
        <v/>
      </c>
      <c r="G1536" s="19">
        <f>IF(OR(C1536="",D1536=""),"",IFERROR(INDEX('Qida bazası'!$F$2:$F$103,MATCH(C1536,'Qida bazası'!$A$2:$A$103,0))*D1536/100,"?"))</f>
        <v/>
      </c>
      <c r="H1536" s="19">
        <f>IF(OR(C1536="",D1536=""),"",IFERROR(INDEX('Qida bazası'!$G$2:$G$103,MATCH(C1536,'Qida bazası'!$A$2:$A$103,0))*D1536/100,"?"))</f>
        <v/>
      </c>
    </row>
    <row r="1537">
      <c r="A1537" s="21" t="n"/>
      <c r="E1537" s="18">
        <f>IF(OR(C1537="",D1537=""),"",IFERROR(INDEX('Qida bazası'!$D$2:$D$103,MATCH(C1537,'Qida bazası'!$A$2:$A$103,0))*D1537/100,"?"))</f>
        <v/>
      </c>
      <c r="F1537" s="19">
        <f>IF(OR(C1537="",D1537=""),"",IFERROR(INDEX('Qida bazası'!$E$2:$E$103,MATCH(C1537,'Qida bazası'!$A$2:$A$103,0))*D1537/100,"?"))</f>
        <v/>
      </c>
      <c r="G1537" s="19">
        <f>IF(OR(C1537="",D1537=""),"",IFERROR(INDEX('Qida bazası'!$F$2:$F$103,MATCH(C1537,'Qida bazası'!$A$2:$A$103,0))*D1537/100,"?"))</f>
        <v/>
      </c>
      <c r="H1537" s="19">
        <f>IF(OR(C1537="",D1537=""),"",IFERROR(INDEX('Qida bazası'!$G$2:$G$103,MATCH(C1537,'Qida bazası'!$A$2:$A$103,0))*D1537/100,"?"))</f>
        <v/>
      </c>
    </row>
    <row r="1538">
      <c r="A1538" s="21" t="n"/>
      <c r="E1538" s="18">
        <f>IF(OR(C1538="",D1538=""),"",IFERROR(INDEX('Qida bazası'!$D$2:$D$103,MATCH(C1538,'Qida bazası'!$A$2:$A$103,0))*D1538/100,"?"))</f>
        <v/>
      </c>
      <c r="F1538" s="19">
        <f>IF(OR(C1538="",D1538=""),"",IFERROR(INDEX('Qida bazası'!$E$2:$E$103,MATCH(C1538,'Qida bazası'!$A$2:$A$103,0))*D1538/100,"?"))</f>
        <v/>
      </c>
      <c r="G1538" s="19">
        <f>IF(OR(C1538="",D1538=""),"",IFERROR(INDEX('Qida bazası'!$F$2:$F$103,MATCH(C1538,'Qida bazası'!$A$2:$A$103,0))*D1538/100,"?"))</f>
        <v/>
      </c>
      <c r="H1538" s="19">
        <f>IF(OR(C1538="",D1538=""),"",IFERROR(INDEX('Qida bazası'!$G$2:$G$103,MATCH(C1538,'Qida bazası'!$A$2:$A$103,0))*D1538/100,"?"))</f>
        <v/>
      </c>
    </row>
    <row r="1539">
      <c r="A1539" s="21" t="n"/>
      <c r="E1539" s="18">
        <f>IF(OR(C1539="",D1539=""),"",IFERROR(INDEX('Qida bazası'!$D$2:$D$103,MATCH(C1539,'Qida bazası'!$A$2:$A$103,0))*D1539/100,"?"))</f>
        <v/>
      </c>
      <c r="F1539" s="19">
        <f>IF(OR(C1539="",D1539=""),"",IFERROR(INDEX('Qida bazası'!$E$2:$E$103,MATCH(C1539,'Qida bazası'!$A$2:$A$103,0))*D1539/100,"?"))</f>
        <v/>
      </c>
      <c r="G1539" s="19">
        <f>IF(OR(C1539="",D1539=""),"",IFERROR(INDEX('Qida bazası'!$F$2:$F$103,MATCH(C1539,'Qida bazası'!$A$2:$A$103,0))*D1539/100,"?"))</f>
        <v/>
      </c>
      <c r="H1539" s="19">
        <f>IF(OR(C1539="",D1539=""),"",IFERROR(INDEX('Qida bazası'!$G$2:$G$103,MATCH(C1539,'Qida bazası'!$A$2:$A$103,0))*D1539/100,"?"))</f>
        <v/>
      </c>
    </row>
    <row r="1540">
      <c r="A1540" s="21" t="n"/>
      <c r="E1540" s="18">
        <f>IF(OR(C1540="",D1540=""),"",IFERROR(INDEX('Qida bazası'!$D$2:$D$103,MATCH(C1540,'Qida bazası'!$A$2:$A$103,0))*D1540/100,"?"))</f>
        <v/>
      </c>
      <c r="F1540" s="19">
        <f>IF(OR(C1540="",D1540=""),"",IFERROR(INDEX('Qida bazası'!$E$2:$E$103,MATCH(C1540,'Qida bazası'!$A$2:$A$103,0))*D1540/100,"?"))</f>
        <v/>
      </c>
      <c r="G1540" s="19">
        <f>IF(OR(C1540="",D1540=""),"",IFERROR(INDEX('Qida bazası'!$F$2:$F$103,MATCH(C1540,'Qida bazası'!$A$2:$A$103,0))*D1540/100,"?"))</f>
        <v/>
      </c>
      <c r="H1540" s="19">
        <f>IF(OR(C1540="",D1540=""),"",IFERROR(INDEX('Qida bazası'!$G$2:$G$103,MATCH(C1540,'Qida bazası'!$A$2:$A$103,0))*D1540/100,"?"))</f>
        <v/>
      </c>
    </row>
    <row r="1541">
      <c r="A1541" s="21" t="n"/>
      <c r="E1541" s="18">
        <f>IF(OR(C1541="",D1541=""),"",IFERROR(INDEX('Qida bazası'!$D$2:$D$103,MATCH(C1541,'Qida bazası'!$A$2:$A$103,0))*D1541/100,"?"))</f>
        <v/>
      </c>
      <c r="F1541" s="19">
        <f>IF(OR(C1541="",D1541=""),"",IFERROR(INDEX('Qida bazası'!$E$2:$E$103,MATCH(C1541,'Qida bazası'!$A$2:$A$103,0))*D1541/100,"?"))</f>
        <v/>
      </c>
      <c r="G1541" s="19">
        <f>IF(OR(C1541="",D1541=""),"",IFERROR(INDEX('Qida bazası'!$F$2:$F$103,MATCH(C1541,'Qida bazası'!$A$2:$A$103,0))*D1541/100,"?"))</f>
        <v/>
      </c>
      <c r="H1541" s="19">
        <f>IF(OR(C1541="",D1541=""),"",IFERROR(INDEX('Qida bazası'!$G$2:$G$103,MATCH(C1541,'Qida bazası'!$A$2:$A$103,0))*D1541/100,"?"))</f>
        <v/>
      </c>
    </row>
    <row r="1542">
      <c r="A1542" s="21" t="n"/>
      <c r="E1542" s="18">
        <f>IF(OR(C1542="",D1542=""),"",IFERROR(INDEX('Qida bazası'!$D$2:$D$103,MATCH(C1542,'Qida bazası'!$A$2:$A$103,0))*D1542/100,"?"))</f>
        <v/>
      </c>
      <c r="F1542" s="19">
        <f>IF(OR(C1542="",D1542=""),"",IFERROR(INDEX('Qida bazası'!$E$2:$E$103,MATCH(C1542,'Qida bazası'!$A$2:$A$103,0))*D1542/100,"?"))</f>
        <v/>
      </c>
      <c r="G1542" s="19">
        <f>IF(OR(C1542="",D1542=""),"",IFERROR(INDEX('Qida bazası'!$F$2:$F$103,MATCH(C1542,'Qida bazası'!$A$2:$A$103,0))*D1542/100,"?"))</f>
        <v/>
      </c>
      <c r="H1542" s="19">
        <f>IF(OR(C1542="",D1542=""),"",IFERROR(INDEX('Qida bazası'!$G$2:$G$103,MATCH(C1542,'Qida bazası'!$A$2:$A$103,0))*D1542/100,"?"))</f>
        <v/>
      </c>
    </row>
    <row r="1543">
      <c r="A1543" s="21" t="n"/>
      <c r="E1543" s="18">
        <f>IF(OR(C1543="",D1543=""),"",IFERROR(INDEX('Qida bazası'!$D$2:$D$103,MATCH(C1543,'Qida bazası'!$A$2:$A$103,0))*D1543/100,"?"))</f>
        <v/>
      </c>
      <c r="F1543" s="19">
        <f>IF(OR(C1543="",D1543=""),"",IFERROR(INDEX('Qida bazası'!$E$2:$E$103,MATCH(C1543,'Qida bazası'!$A$2:$A$103,0))*D1543/100,"?"))</f>
        <v/>
      </c>
      <c r="G1543" s="19">
        <f>IF(OR(C1543="",D1543=""),"",IFERROR(INDEX('Qida bazası'!$F$2:$F$103,MATCH(C1543,'Qida bazası'!$A$2:$A$103,0))*D1543/100,"?"))</f>
        <v/>
      </c>
      <c r="H1543" s="19">
        <f>IF(OR(C1543="",D1543=""),"",IFERROR(INDEX('Qida bazası'!$G$2:$G$103,MATCH(C1543,'Qida bazası'!$A$2:$A$103,0))*D1543/100,"?"))</f>
        <v/>
      </c>
    </row>
    <row r="1544">
      <c r="A1544" s="21" t="n"/>
      <c r="E1544" s="18">
        <f>IF(OR(C1544="",D1544=""),"",IFERROR(INDEX('Qida bazası'!$D$2:$D$103,MATCH(C1544,'Qida bazası'!$A$2:$A$103,0))*D1544/100,"?"))</f>
        <v/>
      </c>
      <c r="F1544" s="19">
        <f>IF(OR(C1544="",D1544=""),"",IFERROR(INDEX('Qida bazası'!$E$2:$E$103,MATCH(C1544,'Qida bazası'!$A$2:$A$103,0))*D1544/100,"?"))</f>
        <v/>
      </c>
      <c r="G1544" s="19">
        <f>IF(OR(C1544="",D1544=""),"",IFERROR(INDEX('Qida bazası'!$F$2:$F$103,MATCH(C1544,'Qida bazası'!$A$2:$A$103,0))*D1544/100,"?"))</f>
        <v/>
      </c>
      <c r="H1544" s="19">
        <f>IF(OR(C1544="",D1544=""),"",IFERROR(INDEX('Qida bazası'!$G$2:$G$103,MATCH(C1544,'Qida bazası'!$A$2:$A$103,0))*D1544/100,"?"))</f>
        <v/>
      </c>
    </row>
    <row r="1545">
      <c r="A1545" s="21" t="n"/>
      <c r="E1545" s="18">
        <f>IF(OR(C1545="",D1545=""),"",IFERROR(INDEX('Qida bazası'!$D$2:$D$103,MATCH(C1545,'Qida bazası'!$A$2:$A$103,0))*D1545/100,"?"))</f>
        <v/>
      </c>
      <c r="F1545" s="19">
        <f>IF(OR(C1545="",D1545=""),"",IFERROR(INDEX('Qida bazası'!$E$2:$E$103,MATCH(C1545,'Qida bazası'!$A$2:$A$103,0))*D1545/100,"?"))</f>
        <v/>
      </c>
      <c r="G1545" s="19">
        <f>IF(OR(C1545="",D1545=""),"",IFERROR(INDEX('Qida bazası'!$F$2:$F$103,MATCH(C1545,'Qida bazası'!$A$2:$A$103,0))*D1545/100,"?"))</f>
        <v/>
      </c>
      <c r="H1545" s="19">
        <f>IF(OR(C1545="",D1545=""),"",IFERROR(INDEX('Qida bazası'!$G$2:$G$103,MATCH(C1545,'Qida bazası'!$A$2:$A$103,0))*D1545/100,"?"))</f>
        <v/>
      </c>
    </row>
    <row r="1546">
      <c r="A1546" s="21" t="n"/>
      <c r="E1546" s="18">
        <f>IF(OR(C1546="",D1546=""),"",IFERROR(INDEX('Qida bazası'!$D$2:$D$103,MATCH(C1546,'Qida bazası'!$A$2:$A$103,0))*D1546/100,"?"))</f>
        <v/>
      </c>
      <c r="F1546" s="19">
        <f>IF(OR(C1546="",D1546=""),"",IFERROR(INDEX('Qida bazası'!$E$2:$E$103,MATCH(C1546,'Qida bazası'!$A$2:$A$103,0))*D1546/100,"?"))</f>
        <v/>
      </c>
      <c r="G1546" s="19">
        <f>IF(OR(C1546="",D1546=""),"",IFERROR(INDEX('Qida bazası'!$F$2:$F$103,MATCH(C1546,'Qida bazası'!$A$2:$A$103,0))*D1546/100,"?"))</f>
        <v/>
      </c>
      <c r="H1546" s="19">
        <f>IF(OR(C1546="",D1546=""),"",IFERROR(INDEX('Qida bazası'!$G$2:$G$103,MATCH(C1546,'Qida bazası'!$A$2:$A$103,0))*D1546/100,"?"))</f>
        <v/>
      </c>
    </row>
    <row r="1547">
      <c r="A1547" s="21" t="n"/>
      <c r="E1547" s="18">
        <f>IF(OR(C1547="",D1547=""),"",IFERROR(INDEX('Qida bazası'!$D$2:$D$103,MATCH(C1547,'Qida bazası'!$A$2:$A$103,0))*D1547/100,"?"))</f>
        <v/>
      </c>
      <c r="F1547" s="19">
        <f>IF(OR(C1547="",D1547=""),"",IFERROR(INDEX('Qida bazası'!$E$2:$E$103,MATCH(C1547,'Qida bazası'!$A$2:$A$103,0))*D1547/100,"?"))</f>
        <v/>
      </c>
      <c r="G1547" s="19">
        <f>IF(OR(C1547="",D1547=""),"",IFERROR(INDEX('Qida bazası'!$F$2:$F$103,MATCH(C1547,'Qida bazası'!$A$2:$A$103,0))*D1547/100,"?"))</f>
        <v/>
      </c>
      <c r="H1547" s="19">
        <f>IF(OR(C1547="",D1547=""),"",IFERROR(INDEX('Qida bazası'!$G$2:$G$103,MATCH(C1547,'Qida bazası'!$A$2:$A$103,0))*D1547/100,"?"))</f>
        <v/>
      </c>
    </row>
    <row r="1548">
      <c r="A1548" s="21" t="n"/>
      <c r="E1548" s="18">
        <f>IF(OR(C1548="",D1548=""),"",IFERROR(INDEX('Qida bazası'!$D$2:$D$103,MATCH(C1548,'Qida bazası'!$A$2:$A$103,0))*D1548/100,"?"))</f>
        <v/>
      </c>
      <c r="F1548" s="19">
        <f>IF(OR(C1548="",D1548=""),"",IFERROR(INDEX('Qida bazası'!$E$2:$E$103,MATCH(C1548,'Qida bazası'!$A$2:$A$103,0))*D1548/100,"?"))</f>
        <v/>
      </c>
      <c r="G1548" s="19">
        <f>IF(OR(C1548="",D1548=""),"",IFERROR(INDEX('Qida bazası'!$F$2:$F$103,MATCH(C1548,'Qida bazası'!$A$2:$A$103,0))*D1548/100,"?"))</f>
        <v/>
      </c>
      <c r="H1548" s="19">
        <f>IF(OR(C1548="",D1548=""),"",IFERROR(INDEX('Qida bazası'!$G$2:$G$103,MATCH(C1548,'Qida bazası'!$A$2:$A$103,0))*D1548/100,"?"))</f>
        <v/>
      </c>
    </row>
    <row r="1549">
      <c r="A1549" s="21" t="n"/>
      <c r="E1549" s="18">
        <f>IF(OR(C1549="",D1549=""),"",IFERROR(INDEX('Qida bazası'!$D$2:$D$103,MATCH(C1549,'Qida bazası'!$A$2:$A$103,0))*D1549/100,"?"))</f>
        <v/>
      </c>
      <c r="F1549" s="19">
        <f>IF(OR(C1549="",D1549=""),"",IFERROR(INDEX('Qida bazası'!$E$2:$E$103,MATCH(C1549,'Qida bazası'!$A$2:$A$103,0))*D1549/100,"?"))</f>
        <v/>
      </c>
      <c r="G1549" s="19">
        <f>IF(OR(C1549="",D1549=""),"",IFERROR(INDEX('Qida bazası'!$F$2:$F$103,MATCH(C1549,'Qida bazası'!$A$2:$A$103,0))*D1549/100,"?"))</f>
        <v/>
      </c>
      <c r="H1549" s="19">
        <f>IF(OR(C1549="",D1549=""),"",IFERROR(INDEX('Qida bazası'!$G$2:$G$103,MATCH(C1549,'Qida bazası'!$A$2:$A$103,0))*D1549/100,"?"))</f>
        <v/>
      </c>
    </row>
    <row r="1550">
      <c r="A1550" s="21" t="n"/>
      <c r="E1550" s="18">
        <f>IF(OR(C1550="",D1550=""),"",IFERROR(INDEX('Qida bazası'!$D$2:$D$103,MATCH(C1550,'Qida bazası'!$A$2:$A$103,0))*D1550/100,"?"))</f>
        <v/>
      </c>
      <c r="F1550" s="19">
        <f>IF(OR(C1550="",D1550=""),"",IFERROR(INDEX('Qida bazası'!$E$2:$E$103,MATCH(C1550,'Qida bazası'!$A$2:$A$103,0))*D1550/100,"?"))</f>
        <v/>
      </c>
      <c r="G1550" s="19">
        <f>IF(OR(C1550="",D1550=""),"",IFERROR(INDEX('Qida bazası'!$F$2:$F$103,MATCH(C1550,'Qida bazası'!$A$2:$A$103,0))*D1550/100,"?"))</f>
        <v/>
      </c>
      <c r="H1550" s="19">
        <f>IF(OR(C1550="",D1550=""),"",IFERROR(INDEX('Qida bazası'!$G$2:$G$103,MATCH(C1550,'Qida bazası'!$A$2:$A$103,0))*D1550/100,"?"))</f>
        <v/>
      </c>
    </row>
    <row r="1551">
      <c r="A1551" s="21" t="n"/>
      <c r="E1551" s="18">
        <f>IF(OR(C1551="",D1551=""),"",IFERROR(INDEX('Qida bazası'!$D$2:$D$103,MATCH(C1551,'Qida bazası'!$A$2:$A$103,0))*D1551/100,"?"))</f>
        <v/>
      </c>
      <c r="F1551" s="19">
        <f>IF(OR(C1551="",D1551=""),"",IFERROR(INDEX('Qida bazası'!$E$2:$E$103,MATCH(C1551,'Qida bazası'!$A$2:$A$103,0))*D1551/100,"?"))</f>
        <v/>
      </c>
      <c r="G1551" s="19">
        <f>IF(OR(C1551="",D1551=""),"",IFERROR(INDEX('Qida bazası'!$F$2:$F$103,MATCH(C1551,'Qida bazası'!$A$2:$A$103,0))*D1551/100,"?"))</f>
        <v/>
      </c>
      <c r="H1551" s="19">
        <f>IF(OR(C1551="",D1551=""),"",IFERROR(INDEX('Qida bazası'!$G$2:$G$103,MATCH(C1551,'Qida bazası'!$A$2:$A$103,0))*D1551/100,"?"))</f>
        <v/>
      </c>
    </row>
    <row r="1552">
      <c r="A1552" s="21" t="n"/>
      <c r="E1552" s="18">
        <f>IF(OR(C1552="",D1552=""),"",IFERROR(INDEX('Qida bazası'!$D$2:$D$103,MATCH(C1552,'Qida bazası'!$A$2:$A$103,0))*D1552/100,"?"))</f>
        <v/>
      </c>
      <c r="F1552" s="19">
        <f>IF(OR(C1552="",D1552=""),"",IFERROR(INDEX('Qida bazası'!$E$2:$E$103,MATCH(C1552,'Qida bazası'!$A$2:$A$103,0))*D1552/100,"?"))</f>
        <v/>
      </c>
      <c r="G1552" s="19">
        <f>IF(OR(C1552="",D1552=""),"",IFERROR(INDEX('Qida bazası'!$F$2:$F$103,MATCH(C1552,'Qida bazası'!$A$2:$A$103,0))*D1552/100,"?"))</f>
        <v/>
      </c>
      <c r="H1552" s="19">
        <f>IF(OR(C1552="",D1552=""),"",IFERROR(INDEX('Qida bazası'!$G$2:$G$103,MATCH(C1552,'Qida bazası'!$A$2:$A$103,0))*D1552/100,"?"))</f>
        <v/>
      </c>
    </row>
    <row r="1553">
      <c r="A1553" s="21" t="n"/>
      <c r="E1553" s="18">
        <f>IF(OR(C1553="",D1553=""),"",IFERROR(INDEX('Qida bazası'!$D$2:$D$103,MATCH(C1553,'Qida bazası'!$A$2:$A$103,0))*D1553/100,"?"))</f>
        <v/>
      </c>
      <c r="F1553" s="19">
        <f>IF(OR(C1553="",D1553=""),"",IFERROR(INDEX('Qida bazası'!$E$2:$E$103,MATCH(C1553,'Qida bazası'!$A$2:$A$103,0))*D1553/100,"?"))</f>
        <v/>
      </c>
      <c r="G1553" s="19">
        <f>IF(OR(C1553="",D1553=""),"",IFERROR(INDEX('Qida bazası'!$F$2:$F$103,MATCH(C1553,'Qida bazası'!$A$2:$A$103,0))*D1553/100,"?"))</f>
        <v/>
      </c>
      <c r="H1553" s="19">
        <f>IF(OR(C1553="",D1553=""),"",IFERROR(INDEX('Qida bazası'!$G$2:$G$103,MATCH(C1553,'Qida bazası'!$A$2:$A$103,0))*D1553/100,"?"))</f>
        <v/>
      </c>
    </row>
    <row r="1554">
      <c r="A1554" s="21" t="n"/>
      <c r="E1554" s="18">
        <f>IF(OR(C1554="",D1554=""),"",IFERROR(INDEX('Qida bazası'!$D$2:$D$103,MATCH(C1554,'Qida bazası'!$A$2:$A$103,0))*D1554/100,"?"))</f>
        <v/>
      </c>
      <c r="F1554" s="19">
        <f>IF(OR(C1554="",D1554=""),"",IFERROR(INDEX('Qida bazası'!$E$2:$E$103,MATCH(C1554,'Qida bazası'!$A$2:$A$103,0))*D1554/100,"?"))</f>
        <v/>
      </c>
      <c r="G1554" s="19">
        <f>IF(OR(C1554="",D1554=""),"",IFERROR(INDEX('Qida bazası'!$F$2:$F$103,MATCH(C1554,'Qida bazası'!$A$2:$A$103,0))*D1554/100,"?"))</f>
        <v/>
      </c>
      <c r="H1554" s="19">
        <f>IF(OR(C1554="",D1554=""),"",IFERROR(INDEX('Qida bazası'!$G$2:$G$103,MATCH(C1554,'Qida bazası'!$A$2:$A$103,0))*D1554/100,"?"))</f>
        <v/>
      </c>
    </row>
    <row r="1555">
      <c r="A1555" s="21" t="n"/>
      <c r="E1555" s="18">
        <f>IF(OR(C1555="",D1555=""),"",IFERROR(INDEX('Qida bazası'!$D$2:$D$103,MATCH(C1555,'Qida bazası'!$A$2:$A$103,0))*D1555/100,"?"))</f>
        <v/>
      </c>
      <c r="F1555" s="19">
        <f>IF(OR(C1555="",D1555=""),"",IFERROR(INDEX('Qida bazası'!$E$2:$E$103,MATCH(C1555,'Qida bazası'!$A$2:$A$103,0))*D1555/100,"?"))</f>
        <v/>
      </c>
      <c r="G1555" s="19">
        <f>IF(OR(C1555="",D1555=""),"",IFERROR(INDEX('Qida bazası'!$F$2:$F$103,MATCH(C1555,'Qida bazası'!$A$2:$A$103,0))*D1555/100,"?"))</f>
        <v/>
      </c>
      <c r="H1555" s="19">
        <f>IF(OR(C1555="",D1555=""),"",IFERROR(INDEX('Qida bazası'!$G$2:$G$103,MATCH(C1555,'Qida bazası'!$A$2:$A$103,0))*D1555/100,"?"))</f>
        <v/>
      </c>
    </row>
    <row r="1556">
      <c r="A1556" s="21" t="n"/>
      <c r="E1556" s="18">
        <f>IF(OR(C1556="",D1556=""),"",IFERROR(INDEX('Qida bazası'!$D$2:$D$103,MATCH(C1556,'Qida bazası'!$A$2:$A$103,0))*D1556/100,"?"))</f>
        <v/>
      </c>
      <c r="F1556" s="19">
        <f>IF(OR(C1556="",D1556=""),"",IFERROR(INDEX('Qida bazası'!$E$2:$E$103,MATCH(C1556,'Qida bazası'!$A$2:$A$103,0))*D1556/100,"?"))</f>
        <v/>
      </c>
      <c r="G1556" s="19">
        <f>IF(OR(C1556="",D1556=""),"",IFERROR(INDEX('Qida bazası'!$F$2:$F$103,MATCH(C1556,'Qida bazası'!$A$2:$A$103,0))*D1556/100,"?"))</f>
        <v/>
      </c>
      <c r="H1556" s="19">
        <f>IF(OR(C1556="",D1556=""),"",IFERROR(INDEX('Qida bazası'!$G$2:$G$103,MATCH(C1556,'Qida bazası'!$A$2:$A$103,0))*D1556/100,"?"))</f>
        <v/>
      </c>
    </row>
    <row r="1557">
      <c r="A1557" s="21" t="n"/>
      <c r="E1557" s="18">
        <f>IF(OR(C1557="",D1557=""),"",IFERROR(INDEX('Qida bazası'!$D$2:$D$103,MATCH(C1557,'Qida bazası'!$A$2:$A$103,0))*D1557/100,"?"))</f>
        <v/>
      </c>
      <c r="F1557" s="19">
        <f>IF(OR(C1557="",D1557=""),"",IFERROR(INDEX('Qida bazası'!$E$2:$E$103,MATCH(C1557,'Qida bazası'!$A$2:$A$103,0))*D1557/100,"?"))</f>
        <v/>
      </c>
      <c r="G1557" s="19">
        <f>IF(OR(C1557="",D1557=""),"",IFERROR(INDEX('Qida bazası'!$F$2:$F$103,MATCH(C1557,'Qida bazası'!$A$2:$A$103,0))*D1557/100,"?"))</f>
        <v/>
      </c>
      <c r="H1557" s="19">
        <f>IF(OR(C1557="",D1557=""),"",IFERROR(INDEX('Qida bazası'!$G$2:$G$103,MATCH(C1557,'Qida bazası'!$A$2:$A$103,0))*D1557/100,"?"))</f>
        <v/>
      </c>
    </row>
    <row r="1558">
      <c r="A1558" s="21" t="n"/>
      <c r="E1558" s="18">
        <f>IF(OR(C1558="",D1558=""),"",IFERROR(INDEX('Qida bazası'!$D$2:$D$103,MATCH(C1558,'Qida bazası'!$A$2:$A$103,0))*D1558/100,"?"))</f>
        <v/>
      </c>
      <c r="F1558" s="19">
        <f>IF(OR(C1558="",D1558=""),"",IFERROR(INDEX('Qida bazası'!$E$2:$E$103,MATCH(C1558,'Qida bazası'!$A$2:$A$103,0))*D1558/100,"?"))</f>
        <v/>
      </c>
      <c r="G1558" s="19">
        <f>IF(OR(C1558="",D1558=""),"",IFERROR(INDEX('Qida bazası'!$F$2:$F$103,MATCH(C1558,'Qida bazası'!$A$2:$A$103,0))*D1558/100,"?"))</f>
        <v/>
      </c>
      <c r="H1558" s="19">
        <f>IF(OR(C1558="",D1558=""),"",IFERROR(INDEX('Qida bazası'!$G$2:$G$103,MATCH(C1558,'Qida bazası'!$A$2:$A$103,0))*D1558/100,"?"))</f>
        <v/>
      </c>
    </row>
    <row r="1559">
      <c r="A1559" s="21" t="n"/>
      <c r="E1559" s="18">
        <f>IF(OR(C1559="",D1559=""),"",IFERROR(INDEX('Qida bazası'!$D$2:$D$103,MATCH(C1559,'Qida bazası'!$A$2:$A$103,0))*D1559/100,"?"))</f>
        <v/>
      </c>
      <c r="F1559" s="19">
        <f>IF(OR(C1559="",D1559=""),"",IFERROR(INDEX('Qida bazası'!$E$2:$E$103,MATCH(C1559,'Qida bazası'!$A$2:$A$103,0))*D1559/100,"?"))</f>
        <v/>
      </c>
      <c r="G1559" s="19">
        <f>IF(OR(C1559="",D1559=""),"",IFERROR(INDEX('Qida bazası'!$F$2:$F$103,MATCH(C1559,'Qida bazası'!$A$2:$A$103,0))*D1559/100,"?"))</f>
        <v/>
      </c>
      <c r="H1559" s="19">
        <f>IF(OR(C1559="",D1559=""),"",IFERROR(INDEX('Qida bazası'!$G$2:$G$103,MATCH(C1559,'Qida bazası'!$A$2:$A$103,0))*D1559/100,"?"))</f>
        <v/>
      </c>
    </row>
    <row r="1560">
      <c r="A1560" s="21" t="n"/>
      <c r="E1560" s="18">
        <f>IF(OR(C1560="",D1560=""),"",IFERROR(INDEX('Qida bazası'!$D$2:$D$103,MATCH(C1560,'Qida bazası'!$A$2:$A$103,0))*D1560/100,"?"))</f>
        <v/>
      </c>
      <c r="F1560" s="19">
        <f>IF(OR(C1560="",D1560=""),"",IFERROR(INDEX('Qida bazası'!$E$2:$E$103,MATCH(C1560,'Qida bazası'!$A$2:$A$103,0))*D1560/100,"?"))</f>
        <v/>
      </c>
      <c r="G1560" s="19">
        <f>IF(OR(C1560="",D1560=""),"",IFERROR(INDEX('Qida bazası'!$F$2:$F$103,MATCH(C1560,'Qida bazası'!$A$2:$A$103,0))*D1560/100,"?"))</f>
        <v/>
      </c>
      <c r="H1560" s="19">
        <f>IF(OR(C1560="",D1560=""),"",IFERROR(INDEX('Qida bazası'!$G$2:$G$103,MATCH(C1560,'Qida bazası'!$A$2:$A$103,0))*D1560/100,"?"))</f>
        <v/>
      </c>
    </row>
    <row r="1561">
      <c r="A1561" s="21" t="n"/>
      <c r="E1561" s="18">
        <f>IF(OR(C1561="",D1561=""),"",IFERROR(INDEX('Qida bazası'!$D$2:$D$103,MATCH(C1561,'Qida bazası'!$A$2:$A$103,0))*D1561/100,"?"))</f>
        <v/>
      </c>
      <c r="F1561" s="19">
        <f>IF(OR(C1561="",D1561=""),"",IFERROR(INDEX('Qida bazası'!$E$2:$E$103,MATCH(C1561,'Qida bazası'!$A$2:$A$103,0))*D1561/100,"?"))</f>
        <v/>
      </c>
      <c r="G1561" s="19">
        <f>IF(OR(C1561="",D1561=""),"",IFERROR(INDEX('Qida bazası'!$F$2:$F$103,MATCH(C1561,'Qida bazası'!$A$2:$A$103,0))*D1561/100,"?"))</f>
        <v/>
      </c>
      <c r="H1561" s="19">
        <f>IF(OR(C1561="",D1561=""),"",IFERROR(INDEX('Qida bazası'!$G$2:$G$103,MATCH(C1561,'Qida bazası'!$A$2:$A$103,0))*D1561/100,"?"))</f>
        <v/>
      </c>
    </row>
    <row r="1562">
      <c r="A1562" s="21" t="n"/>
      <c r="E1562" s="18">
        <f>IF(OR(C1562="",D1562=""),"",IFERROR(INDEX('Qida bazası'!$D$2:$D$103,MATCH(C1562,'Qida bazası'!$A$2:$A$103,0))*D1562/100,"?"))</f>
        <v/>
      </c>
      <c r="F1562" s="19">
        <f>IF(OR(C1562="",D1562=""),"",IFERROR(INDEX('Qida bazası'!$E$2:$E$103,MATCH(C1562,'Qida bazası'!$A$2:$A$103,0))*D1562/100,"?"))</f>
        <v/>
      </c>
      <c r="G1562" s="19">
        <f>IF(OR(C1562="",D1562=""),"",IFERROR(INDEX('Qida bazası'!$F$2:$F$103,MATCH(C1562,'Qida bazası'!$A$2:$A$103,0))*D1562/100,"?"))</f>
        <v/>
      </c>
      <c r="H1562" s="19">
        <f>IF(OR(C1562="",D1562=""),"",IFERROR(INDEX('Qida bazası'!$G$2:$G$103,MATCH(C1562,'Qida bazası'!$A$2:$A$103,0))*D1562/100,"?"))</f>
        <v/>
      </c>
    </row>
    <row r="1563">
      <c r="A1563" s="21" t="n"/>
      <c r="E1563" s="18">
        <f>IF(OR(C1563="",D1563=""),"",IFERROR(INDEX('Qida bazası'!$D$2:$D$103,MATCH(C1563,'Qida bazası'!$A$2:$A$103,0))*D1563/100,"?"))</f>
        <v/>
      </c>
      <c r="F1563" s="19">
        <f>IF(OR(C1563="",D1563=""),"",IFERROR(INDEX('Qida bazası'!$E$2:$E$103,MATCH(C1563,'Qida bazası'!$A$2:$A$103,0))*D1563/100,"?"))</f>
        <v/>
      </c>
      <c r="G1563" s="19">
        <f>IF(OR(C1563="",D1563=""),"",IFERROR(INDEX('Qida bazası'!$F$2:$F$103,MATCH(C1563,'Qida bazası'!$A$2:$A$103,0))*D1563/100,"?"))</f>
        <v/>
      </c>
      <c r="H1563" s="19">
        <f>IF(OR(C1563="",D1563=""),"",IFERROR(INDEX('Qida bazası'!$G$2:$G$103,MATCH(C1563,'Qida bazası'!$A$2:$A$103,0))*D1563/100,"?"))</f>
        <v/>
      </c>
    </row>
    <row r="1564">
      <c r="A1564" s="21" t="n"/>
      <c r="E1564" s="18">
        <f>IF(OR(C1564="",D1564=""),"",IFERROR(INDEX('Qida bazası'!$D$2:$D$103,MATCH(C1564,'Qida bazası'!$A$2:$A$103,0))*D1564/100,"?"))</f>
        <v/>
      </c>
      <c r="F1564" s="19">
        <f>IF(OR(C1564="",D1564=""),"",IFERROR(INDEX('Qida bazası'!$E$2:$E$103,MATCH(C1564,'Qida bazası'!$A$2:$A$103,0))*D1564/100,"?"))</f>
        <v/>
      </c>
      <c r="G1564" s="19">
        <f>IF(OR(C1564="",D1564=""),"",IFERROR(INDEX('Qida bazası'!$F$2:$F$103,MATCH(C1564,'Qida bazası'!$A$2:$A$103,0))*D1564/100,"?"))</f>
        <v/>
      </c>
      <c r="H1564" s="19">
        <f>IF(OR(C1564="",D1564=""),"",IFERROR(INDEX('Qida bazası'!$G$2:$G$103,MATCH(C1564,'Qida bazası'!$A$2:$A$103,0))*D1564/100,"?"))</f>
        <v/>
      </c>
    </row>
    <row r="1565">
      <c r="A1565" s="21" t="n"/>
      <c r="E1565" s="18">
        <f>IF(OR(C1565="",D1565=""),"",IFERROR(INDEX('Qida bazası'!$D$2:$D$103,MATCH(C1565,'Qida bazası'!$A$2:$A$103,0))*D1565/100,"?"))</f>
        <v/>
      </c>
      <c r="F1565" s="19">
        <f>IF(OR(C1565="",D1565=""),"",IFERROR(INDEX('Qida bazası'!$E$2:$E$103,MATCH(C1565,'Qida bazası'!$A$2:$A$103,0))*D1565/100,"?"))</f>
        <v/>
      </c>
      <c r="G1565" s="19">
        <f>IF(OR(C1565="",D1565=""),"",IFERROR(INDEX('Qida bazası'!$F$2:$F$103,MATCH(C1565,'Qida bazası'!$A$2:$A$103,0))*D1565/100,"?"))</f>
        <v/>
      </c>
      <c r="H1565" s="19">
        <f>IF(OR(C1565="",D1565=""),"",IFERROR(INDEX('Qida bazası'!$G$2:$G$103,MATCH(C1565,'Qida bazası'!$A$2:$A$103,0))*D1565/100,"?"))</f>
        <v/>
      </c>
    </row>
    <row r="1566">
      <c r="A1566" s="21" t="n"/>
      <c r="E1566" s="18">
        <f>IF(OR(C1566="",D1566=""),"",IFERROR(INDEX('Qida bazası'!$D$2:$D$103,MATCH(C1566,'Qida bazası'!$A$2:$A$103,0))*D1566/100,"?"))</f>
        <v/>
      </c>
      <c r="F1566" s="19">
        <f>IF(OR(C1566="",D1566=""),"",IFERROR(INDEX('Qida bazası'!$E$2:$E$103,MATCH(C1566,'Qida bazası'!$A$2:$A$103,0))*D1566/100,"?"))</f>
        <v/>
      </c>
      <c r="G1566" s="19">
        <f>IF(OR(C1566="",D1566=""),"",IFERROR(INDEX('Qida bazası'!$F$2:$F$103,MATCH(C1566,'Qida bazası'!$A$2:$A$103,0))*D1566/100,"?"))</f>
        <v/>
      </c>
      <c r="H1566" s="19">
        <f>IF(OR(C1566="",D1566=""),"",IFERROR(INDEX('Qida bazası'!$G$2:$G$103,MATCH(C1566,'Qida bazası'!$A$2:$A$103,0))*D1566/100,"?"))</f>
        <v/>
      </c>
    </row>
    <row r="1567">
      <c r="A1567" s="21" t="n"/>
      <c r="E1567" s="18">
        <f>IF(OR(C1567="",D1567=""),"",IFERROR(INDEX('Qida bazası'!$D$2:$D$103,MATCH(C1567,'Qida bazası'!$A$2:$A$103,0))*D1567/100,"?"))</f>
        <v/>
      </c>
      <c r="F1567" s="19">
        <f>IF(OR(C1567="",D1567=""),"",IFERROR(INDEX('Qida bazası'!$E$2:$E$103,MATCH(C1567,'Qida bazası'!$A$2:$A$103,0))*D1567/100,"?"))</f>
        <v/>
      </c>
      <c r="G1567" s="19">
        <f>IF(OR(C1567="",D1567=""),"",IFERROR(INDEX('Qida bazası'!$F$2:$F$103,MATCH(C1567,'Qida bazası'!$A$2:$A$103,0))*D1567/100,"?"))</f>
        <v/>
      </c>
      <c r="H1567" s="19">
        <f>IF(OR(C1567="",D1567=""),"",IFERROR(INDEX('Qida bazası'!$G$2:$G$103,MATCH(C1567,'Qida bazası'!$A$2:$A$103,0))*D1567/100,"?"))</f>
        <v/>
      </c>
    </row>
    <row r="1568">
      <c r="A1568" s="21" t="n"/>
      <c r="E1568" s="18">
        <f>IF(OR(C1568="",D1568=""),"",IFERROR(INDEX('Qida bazası'!$D$2:$D$103,MATCH(C1568,'Qida bazası'!$A$2:$A$103,0))*D1568/100,"?"))</f>
        <v/>
      </c>
      <c r="F1568" s="19">
        <f>IF(OR(C1568="",D1568=""),"",IFERROR(INDEX('Qida bazası'!$E$2:$E$103,MATCH(C1568,'Qida bazası'!$A$2:$A$103,0))*D1568/100,"?"))</f>
        <v/>
      </c>
      <c r="G1568" s="19">
        <f>IF(OR(C1568="",D1568=""),"",IFERROR(INDEX('Qida bazası'!$F$2:$F$103,MATCH(C1568,'Qida bazası'!$A$2:$A$103,0))*D1568/100,"?"))</f>
        <v/>
      </c>
      <c r="H1568" s="19">
        <f>IF(OR(C1568="",D1568=""),"",IFERROR(INDEX('Qida bazası'!$G$2:$G$103,MATCH(C1568,'Qida bazası'!$A$2:$A$103,0))*D1568/100,"?"))</f>
        <v/>
      </c>
    </row>
    <row r="1569">
      <c r="A1569" s="21" t="n"/>
      <c r="E1569" s="18">
        <f>IF(OR(C1569="",D1569=""),"",IFERROR(INDEX('Qida bazası'!$D$2:$D$103,MATCH(C1569,'Qida bazası'!$A$2:$A$103,0))*D1569/100,"?"))</f>
        <v/>
      </c>
      <c r="F1569" s="19">
        <f>IF(OR(C1569="",D1569=""),"",IFERROR(INDEX('Qida bazası'!$E$2:$E$103,MATCH(C1569,'Qida bazası'!$A$2:$A$103,0))*D1569/100,"?"))</f>
        <v/>
      </c>
      <c r="G1569" s="19">
        <f>IF(OR(C1569="",D1569=""),"",IFERROR(INDEX('Qida bazası'!$F$2:$F$103,MATCH(C1569,'Qida bazası'!$A$2:$A$103,0))*D1569/100,"?"))</f>
        <v/>
      </c>
      <c r="H1569" s="19">
        <f>IF(OR(C1569="",D1569=""),"",IFERROR(INDEX('Qida bazası'!$G$2:$G$103,MATCH(C1569,'Qida bazası'!$A$2:$A$103,0))*D1569/100,"?"))</f>
        <v/>
      </c>
    </row>
    <row r="1570">
      <c r="A1570" s="21" t="n"/>
      <c r="E1570" s="18">
        <f>IF(OR(C1570="",D1570=""),"",IFERROR(INDEX('Qida bazası'!$D$2:$D$103,MATCH(C1570,'Qida bazası'!$A$2:$A$103,0))*D1570/100,"?"))</f>
        <v/>
      </c>
      <c r="F1570" s="19">
        <f>IF(OR(C1570="",D1570=""),"",IFERROR(INDEX('Qida bazası'!$E$2:$E$103,MATCH(C1570,'Qida bazası'!$A$2:$A$103,0))*D1570/100,"?"))</f>
        <v/>
      </c>
      <c r="G1570" s="19">
        <f>IF(OR(C1570="",D1570=""),"",IFERROR(INDEX('Qida bazası'!$F$2:$F$103,MATCH(C1570,'Qida bazası'!$A$2:$A$103,0))*D1570/100,"?"))</f>
        <v/>
      </c>
      <c r="H1570" s="19">
        <f>IF(OR(C1570="",D1570=""),"",IFERROR(INDEX('Qida bazası'!$G$2:$G$103,MATCH(C1570,'Qida bazası'!$A$2:$A$103,0))*D1570/100,"?"))</f>
        <v/>
      </c>
    </row>
    <row r="1571">
      <c r="A1571" s="21" t="n"/>
      <c r="E1571" s="18">
        <f>IF(OR(C1571="",D1571=""),"",IFERROR(INDEX('Qida bazası'!$D$2:$D$103,MATCH(C1571,'Qida bazası'!$A$2:$A$103,0))*D1571/100,"?"))</f>
        <v/>
      </c>
      <c r="F1571" s="19">
        <f>IF(OR(C1571="",D1571=""),"",IFERROR(INDEX('Qida bazası'!$E$2:$E$103,MATCH(C1571,'Qida bazası'!$A$2:$A$103,0))*D1571/100,"?"))</f>
        <v/>
      </c>
      <c r="G1571" s="19">
        <f>IF(OR(C1571="",D1571=""),"",IFERROR(INDEX('Qida bazası'!$F$2:$F$103,MATCH(C1571,'Qida bazası'!$A$2:$A$103,0))*D1571/100,"?"))</f>
        <v/>
      </c>
      <c r="H1571" s="19">
        <f>IF(OR(C1571="",D1571=""),"",IFERROR(INDEX('Qida bazası'!$G$2:$G$103,MATCH(C1571,'Qida bazası'!$A$2:$A$103,0))*D1571/100,"?"))</f>
        <v/>
      </c>
    </row>
    <row r="1572">
      <c r="A1572" s="21" t="n"/>
      <c r="E1572" s="18">
        <f>IF(OR(C1572="",D1572=""),"",IFERROR(INDEX('Qida bazası'!$D$2:$D$103,MATCH(C1572,'Qida bazası'!$A$2:$A$103,0))*D1572/100,"?"))</f>
        <v/>
      </c>
      <c r="F1572" s="19">
        <f>IF(OR(C1572="",D1572=""),"",IFERROR(INDEX('Qida bazası'!$E$2:$E$103,MATCH(C1572,'Qida bazası'!$A$2:$A$103,0))*D1572/100,"?"))</f>
        <v/>
      </c>
      <c r="G1572" s="19">
        <f>IF(OR(C1572="",D1572=""),"",IFERROR(INDEX('Qida bazası'!$F$2:$F$103,MATCH(C1572,'Qida bazası'!$A$2:$A$103,0))*D1572/100,"?"))</f>
        <v/>
      </c>
      <c r="H1572" s="19">
        <f>IF(OR(C1572="",D1572=""),"",IFERROR(INDEX('Qida bazası'!$G$2:$G$103,MATCH(C1572,'Qida bazası'!$A$2:$A$103,0))*D1572/100,"?"))</f>
        <v/>
      </c>
    </row>
    <row r="1573">
      <c r="A1573" s="21" t="n"/>
      <c r="E1573" s="18">
        <f>IF(OR(C1573="",D1573=""),"",IFERROR(INDEX('Qida bazası'!$D$2:$D$103,MATCH(C1573,'Qida bazası'!$A$2:$A$103,0))*D1573/100,"?"))</f>
        <v/>
      </c>
      <c r="F1573" s="19">
        <f>IF(OR(C1573="",D1573=""),"",IFERROR(INDEX('Qida bazası'!$E$2:$E$103,MATCH(C1573,'Qida bazası'!$A$2:$A$103,0))*D1573/100,"?"))</f>
        <v/>
      </c>
      <c r="G1573" s="19">
        <f>IF(OR(C1573="",D1573=""),"",IFERROR(INDEX('Qida bazası'!$F$2:$F$103,MATCH(C1573,'Qida bazası'!$A$2:$A$103,0))*D1573/100,"?"))</f>
        <v/>
      </c>
      <c r="H1573" s="19">
        <f>IF(OR(C1573="",D1573=""),"",IFERROR(INDEX('Qida bazası'!$G$2:$G$103,MATCH(C1573,'Qida bazası'!$A$2:$A$103,0))*D1573/100,"?"))</f>
        <v/>
      </c>
    </row>
    <row r="1574">
      <c r="A1574" s="21" t="n"/>
      <c r="E1574" s="18">
        <f>IF(OR(C1574="",D1574=""),"",IFERROR(INDEX('Qida bazası'!$D$2:$D$103,MATCH(C1574,'Qida bazası'!$A$2:$A$103,0))*D1574/100,"?"))</f>
        <v/>
      </c>
      <c r="F1574" s="19">
        <f>IF(OR(C1574="",D1574=""),"",IFERROR(INDEX('Qida bazası'!$E$2:$E$103,MATCH(C1574,'Qida bazası'!$A$2:$A$103,0))*D1574/100,"?"))</f>
        <v/>
      </c>
      <c r="G1574" s="19">
        <f>IF(OR(C1574="",D1574=""),"",IFERROR(INDEX('Qida bazası'!$F$2:$F$103,MATCH(C1574,'Qida bazası'!$A$2:$A$103,0))*D1574/100,"?"))</f>
        <v/>
      </c>
      <c r="H1574" s="19">
        <f>IF(OR(C1574="",D1574=""),"",IFERROR(INDEX('Qida bazası'!$G$2:$G$103,MATCH(C1574,'Qida bazası'!$A$2:$A$103,0))*D1574/100,"?"))</f>
        <v/>
      </c>
    </row>
    <row r="1575">
      <c r="A1575" s="21" t="n"/>
      <c r="E1575" s="18">
        <f>IF(OR(C1575="",D1575=""),"",IFERROR(INDEX('Qida bazası'!$D$2:$D$103,MATCH(C1575,'Qida bazası'!$A$2:$A$103,0))*D1575/100,"?"))</f>
        <v/>
      </c>
      <c r="F1575" s="19">
        <f>IF(OR(C1575="",D1575=""),"",IFERROR(INDEX('Qida bazası'!$E$2:$E$103,MATCH(C1575,'Qida bazası'!$A$2:$A$103,0))*D1575/100,"?"))</f>
        <v/>
      </c>
      <c r="G1575" s="19">
        <f>IF(OR(C1575="",D1575=""),"",IFERROR(INDEX('Qida bazası'!$F$2:$F$103,MATCH(C1575,'Qida bazası'!$A$2:$A$103,0))*D1575/100,"?"))</f>
        <v/>
      </c>
      <c r="H1575" s="19">
        <f>IF(OR(C1575="",D1575=""),"",IFERROR(INDEX('Qida bazası'!$G$2:$G$103,MATCH(C1575,'Qida bazası'!$A$2:$A$103,0))*D1575/100,"?"))</f>
        <v/>
      </c>
    </row>
    <row r="1576">
      <c r="A1576" s="21" t="n"/>
      <c r="E1576" s="18">
        <f>IF(OR(C1576="",D1576=""),"",IFERROR(INDEX('Qida bazası'!$D$2:$D$103,MATCH(C1576,'Qida bazası'!$A$2:$A$103,0))*D1576/100,"?"))</f>
        <v/>
      </c>
      <c r="F1576" s="19">
        <f>IF(OR(C1576="",D1576=""),"",IFERROR(INDEX('Qida bazası'!$E$2:$E$103,MATCH(C1576,'Qida bazası'!$A$2:$A$103,0))*D1576/100,"?"))</f>
        <v/>
      </c>
      <c r="G1576" s="19">
        <f>IF(OR(C1576="",D1576=""),"",IFERROR(INDEX('Qida bazası'!$F$2:$F$103,MATCH(C1576,'Qida bazası'!$A$2:$A$103,0))*D1576/100,"?"))</f>
        <v/>
      </c>
      <c r="H1576" s="19">
        <f>IF(OR(C1576="",D1576=""),"",IFERROR(INDEX('Qida bazası'!$G$2:$G$103,MATCH(C1576,'Qida bazası'!$A$2:$A$103,0))*D1576/100,"?"))</f>
        <v/>
      </c>
    </row>
    <row r="1577">
      <c r="A1577" s="21" t="n"/>
      <c r="E1577" s="18">
        <f>IF(OR(C1577="",D1577=""),"",IFERROR(INDEX('Qida bazası'!$D$2:$D$103,MATCH(C1577,'Qida bazası'!$A$2:$A$103,0))*D1577/100,"?"))</f>
        <v/>
      </c>
      <c r="F1577" s="19">
        <f>IF(OR(C1577="",D1577=""),"",IFERROR(INDEX('Qida bazası'!$E$2:$E$103,MATCH(C1577,'Qida bazası'!$A$2:$A$103,0))*D1577/100,"?"))</f>
        <v/>
      </c>
      <c r="G1577" s="19">
        <f>IF(OR(C1577="",D1577=""),"",IFERROR(INDEX('Qida bazası'!$F$2:$F$103,MATCH(C1577,'Qida bazası'!$A$2:$A$103,0))*D1577/100,"?"))</f>
        <v/>
      </c>
      <c r="H1577" s="19">
        <f>IF(OR(C1577="",D1577=""),"",IFERROR(INDEX('Qida bazası'!$G$2:$G$103,MATCH(C1577,'Qida bazası'!$A$2:$A$103,0))*D1577/100,"?"))</f>
        <v/>
      </c>
    </row>
    <row r="1578">
      <c r="A1578" s="21" t="n"/>
      <c r="E1578" s="18">
        <f>IF(OR(C1578="",D1578=""),"",IFERROR(INDEX('Qida bazası'!$D$2:$D$103,MATCH(C1578,'Qida bazası'!$A$2:$A$103,0))*D1578/100,"?"))</f>
        <v/>
      </c>
      <c r="F1578" s="19">
        <f>IF(OR(C1578="",D1578=""),"",IFERROR(INDEX('Qida bazası'!$E$2:$E$103,MATCH(C1578,'Qida bazası'!$A$2:$A$103,0))*D1578/100,"?"))</f>
        <v/>
      </c>
      <c r="G1578" s="19">
        <f>IF(OR(C1578="",D1578=""),"",IFERROR(INDEX('Qida bazası'!$F$2:$F$103,MATCH(C1578,'Qida bazası'!$A$2:$A$103,0))*D1578/100,"?"))</f>
        <v/>
      </c>
      <c r="H1578" s="19">
        <f>IF(OR(C1578="",D1578=""),"",IFERROR(INDEX('Qida bazası'!$G$2:$G$103,MATCH(C1578,'Qida bazası'!$A$2:$A$103,0))*D1578/100,"?"))</f>
        <v/>
      </c>
    </row>
    <row r="1579">
      <c r="A1579" s="21" t="n"/>
      <c r="E1579" s="18">
        <f>IF(OR(C1579="",D1579=""),"",IFERROR(INDEX('Qida bazası'!$D$2:$D$103,MATCH(C1579,'Qida bazası'!$A$2:$A$103,0))*D1579/100,"?"))</f>
        <v/>
      </c>
      <c r="F1579" s="19">
        <f>IF(OR(C1579="",D1579=""),"",IFERROR(INDEX('Qida bazası'!$E$2:$E$103,MATCH(C1579,'Qida bazası'!$A$2:$A$103,0))*D1579/100,"?"))</f>
        <v/>
      </c>
      <c r="G1579" s="19">
        <f>IF(OR(C1579="",D1579=""),"",IFERROR(INDEX('Qida bazası'!$F$2:$F$103,MATCH(C1579,'Qida bazası'!$A$2:$A$103,0))*D1579/100,"?"))</f>
        <v/>
      </c>
      <c r="H1579" s="19">
        <f>IF(OR(C1579="",D1579=""),"",IFERROR(INDEX('Qida bazası'!$G$2:$G$103,MATCH(C1579,'Qida bazası'!$A$2:$A$103,0))*D1579/100,"?"))</f>
        <v/>
      </c>
    </row>
    <row r="1580">
      <c r="A1580" s="21" t="n"/>
      <c r="E1580" s="18">
        <f>IF(OR(C1580="",D1580=""),"",IFERROR(INDEX('Qida bazası'!$D$2:$D$103,MATCH(C1580,'Qida bazası'!$A$2:$A$103,0))*D1580/100,"?"))</f>
        <v/>
      </c>
      <c r="F1580" s="19">
        <f>IF(OR(C1580="",D1580=""),"",IFERROR(INDEX('Qida bazası'!$E$2:$E$103,MATCH(C1580,'Qida bazası'!$A$2:$A$103,0))*D1580/100,"?"))</f>
        <v/>
      </c>
      <c r="G1580" s="19">
        <f>IF(OR(C1580="",D1580=""),"",IFERROR(INDEX('Qida bazası'!$F$2:$F$103,MATCH(C1580,'Qida bazası'!$A$2:$A$103,0))*D1580/100,"?"))</f>
        <v/>
      </c>
      <c r="H1580" s="19">
        <f>IF(OR(C1580="",D1580=""),"",IFERROR(INDEX('Qida bazası'!$G$2:$G$103,MATCH(C1580,'Qida bazası'!$A$2:$A$103,0))*D1580/100,"?"))</f>
        <v/>
      </c>
    </row>
    <row r="1581">
      <c r="A1581" s="21" t="n"/>
      <c r="E1581" s="18">
        <f>IF(OR(C1581="",D1581=""),"",IFERROR(INDEX('Qida bazası'!$D$2:$D$103,MATCH(C1581,'Qida bazası'!$A$2:$A$103,0))*D1581/100,"?"))</f>
        <v/>
      </c>
      <c r="F1581" s="19">
        <f>IF(OR(C1581="",D1581=""),"",IFERROR(INDEX('Qida bazası'!$E$2:$E$103,MATCH(C1581,'Qida bazası'!$A$2:$A$103,0))*D1581/100,"?"))</f>
        <v/>
      </c>
      <c r="G1581" s="19">
        <f>IF(OR(C1581="",D1581=""),"",IFERROR(INDEX('Qida bazası'!$F$2:$F$103,MATCH(C1581,'Qida bazası'!$A$2:$A$103,0))*D1581/100,"?"))</f>
        <v/>
      </c>
      <c r="H1581" s="19">
        <f>IF(OR(C1581="",D1581=""),"",IFERROR(INDEX('Qida bazası'!$G$2:$G$103,MATCH(C1581,'Qida bazası'!$A$2:$A$103,0))*D1581/100,"?"))</f>
        <v/>
      </c>
    </row>
    <row r="1582">
      <c r="A1582" s="21" t="n"/>
      <c r="E1582" s="18">
        <f>IF(OR(C1582="",D1582=""),"",IFERROR(INDEX('Qida bazası'!$D$2:$D$103,MATCH(C1582,'Qida bazası'!$A$2:$A$103,0))*D1582/100,"?"))</f>
        <v/>
      </c>
      <c r="F1582" s="19">
        <f>IF(OR(C1582="",D1582=""),"",IFERROR(INDEX('Qida bazası'!$E$2:$E$103,MATCH(C1582,'Qida bazası'!$A$2:$A$103,0))*D1582/100,"?"))</f>
        <v/>
      </c>
      <c r="G1582" s="19">
        <f>IF(OR(C1582="",D1582=""),"",IFERROR(INDEX('Qida bazası'!$F$2:$F$103,MATCH(C1582,'Qida bazası'!$A$2:$A$103,0))*D1582/100,"?"))</f>
        <v/>
      </c>
      <c r="H1582" s="19">
        <f>IF(OR(C1582="",D1582=""),"",IFERROR(INDEX('Qida bazası'!$G$2:$G$103,MATCH(C1582,'Qida bazası'!$A$2:$A$103,0))*D1582/100,"?"))</f>
        <v/>
      </c>
    </row>
    <row r="1583">
      <c r="A1583" s="21" t="n"/>
      <c r="E1583" s="18">
        <f>IF(OR(C1583="",D1583=""),"",IFERROR(INDEX('Qida bazası'!$D$2:$D$103,MATCH(C1583,'Qida bazası'!$A$2:$A$103,0))*D1583/100,"?"))</f>
        <v/>
      </c>
      <c r="F1583" s="19">
        <f>IF(OR(C1583="",D1583=""),"",IFERROR(INDEX('Qida bazası'!$E$2:$E$103,MATCH(C1583,'Qida bazası'!$A$2:$A$103,0))*D1583/100,"?"))</f>
        <v/>
      </c>
      <c r="G1583" s="19">
        <f>IF(OR(C1583="",D1583=""),"",IFERROR(INDEX('Qida bazası'!$F$2:$F$103,MATCH(C1583,'Qida bazası'!$A$2:$A$103,0))*D1583/100,"?"))</f>
        <v/>
      </c>
      <c r="H1583" s="19">
        <f>IF(OR(C1583="",D1583=""),"",IFERROR(INDEX('Qida bazası'!$G$2:$G$103,MATCH(C1583,'Qida bazası'!$A$2:$A$103,0))*D1583/100,"?"))</f>
        <v/>
      </c>
    </row>
    <row r="1584">
      <c r="A1584" s="21" t="n"/>
      <c r="E1584" s="18">
        <f>IF(OR(C1584="",D1584=""),"",IFERROR(INDEX('Qida bazası'!$D$2:$D$103,MATCH(C1584,'Qida bazası'!$A$2:$A$103,0))*D1584/100,"?"))</f>
        <v/>
      </c>
      <c r="F1584" s="19">
        <f>IF(OR(C1584="",D1584=""),"",IFERROR(INDEX('Qida bazası'!$E$2:$E$103,MATCH(C1584,'Qida bazası'!$A$2:$A$103,0))*D1584/100,"?"))</f>
        <v/>
      </c>
      <c r="G1584" s="19">
        <f>IF(OR(C1584="",D1584=""),"",IFERROR(INDEX('Qida bazası'!$F$2:$F$103,MATCH(C1584,'Qida bazası'!$A$2:$A$103,0))*D1584/100,"?"))</f>
        <v/>
      </c>
      <c r="H1584" s="19">
        <f>IF(OR(C1584="",D1584=""),"",IFERROR(INDEX('Qida bazası'!$G$2:$G$103,MATCH(C1584,'Qida bazası'!$A$2:$A$103,0))*D1584/100,"?"))</f>
        <v/>
      </c>
    </row>
    <row r="1585">
      <c r="A1585" s="21" t="n"/>
      <c r="E1585" s="18">
        <f>IF(OR(C1585="",D1585=""),"",IFERROR(INDEX('Qida bazası'!$D$2:$D$103,MATCH(C1585,'Qida bazası'!$A$2:$A$103,0))*D1585/100,"?"))</f>
        <v/>
      </c>
      <c r="F1585" s="19">
        <f>IF(OR(C1585="",D1585=""),"",IFERROR(INDEX('Qida bazası'!$E$2:$E$103,MATCH(C1585,'Qida bazası'!$A$2:$A$103,0))*D1585/100,"?"))</f>
        <v/>
      </c>
      <c r="G1585" s="19">
        <f>IF(OR(C1585="",D1585=""),"",IFERROR(INDEX('Qida bazası'!$F$2:$F$103,MATCH(C1585,'Qida bazası'!$A$2:$A$103,0))*D1585/100,"?"))</f>
        <v/>
      </c>
      <c r="H1585" s="19">
        <f>IF(OR(C1585="",D1585=""),"",IFERROR(INDEX('Qida bazası'!$G$2:$G$103,MATCH(C1585,'Qida bazası'!$A$2:$A$103,0))*D1585/100,"?"))</f>
        <v/>
      </c>
    </row>
    <row r="1586">
      <c r="A1586" s="21" t="n"/>
      <c r="E1586" s="18">
        <f>IF(OR(C1586="",D1586=""),"",IFERROR(INDEX('Qida bazası'!$D$2:$D$103,MATCH(C1586,'Qida bazası'!$A$2:$A$103,0))*D1586/100,"?"))</f>
        <v/>
      </c>
      <c r="F1586" s="19">
        <f>IF(OR(C1586="",D1586=""),"",IFERROR(INDEX('Qida bazası'!$E$2:$E$103,MATCH(C1586,'Qida bazası'!$A$2:$A$103,0))*D1586/100,"?"))</f>
        <v/>
      </c>
      <c r="G1586" s="19">
        <f>IF(OR(C1586="",D1586=""),"",IFERROR(INDEX('Qida bazası'!$F$2:$F$103,MATCH(C1586,'Qida bazası'!$A$2:$A$103,0))*D1586/100,"?"))</f>
        <v/>
      </c>
      <c r="H1586" s="19">
        <f>IF(OR(C1586="",D1586=""),"",IFERROR(INDEX('Qida bazası'!$G$2:$G$103,MATCH(C1586,'Qida bazası'!$A$2:$A$103,0))*D1586/100,"?"))</f>
        <v/>
      </c>
    </row>
    <row r="1587">
      <c r="A1587" s="21" t="n"/>
      <c r="E1587" s="18">
        <f>IF(OR(C1587="",D1587=""),"",IFERROR(INDEX('Qida bazası'!$D$2:$D$103,MATCH(C1587,'Qida bazası'!$A$2:$A$103,0))*D1587/100,"?"))</f>
        <v/>
      </c>
      <c r="F1587" s="19">
        <f>IF(OR(C1587="",D1587=""),"",IFERROR(INDEX('Qida bazası'!$E$2:$E$103,MATCH(C1587,'Qida bazası'!$A$2:$A$103,0))*D1587/100,"?"))</f>
        <v/>
      </c>
      <c r="G1587" s="19">
        <f>IF(OR(C1587="",D1587=""),"",IFERROR(INDEX('Qida bazası'!$F$2:$F$103,MATCH(C1587,'Qida bazası'!$A$2:$A$103,0))*D1587/100,"?"))</f>
        <v/>
      </c>
      <c r="H1587" s="19">
        <f>IF(OR(C1587="",D1587=""),"",IFERROR(INDEX('Qida bazası'!$G$2:$G$103,MATCH(C1587,'Qida bazası'!$A$2:$A$103,0))*D1587/100,"?"))</f>
        <v/>
      </c>
    </row>
    <row r="1588">
      <c r="A1588" s="21" t="n"/>
      <c r="E1588" s="18">
        <f>IF(OR(C1588="",D1588=""),"",IFERROR(INDEX('Qida bazası'!$D$2:$D$103,MATCH(C1588,'Qida bazası'!$A$2:$A$103,0))*D1588/100,"?"))</f>
        <v/>
      </c>
      <c r="F1588" s="19">
        <f>IF(OR(C1588="",D1588=""),"",IFERROR(INDEX('Qida bazası'!$E$2:$E$103,MATCH(C1588,'Qida bazası'!$A$2:$A$103,0))*D1588/100,"?"))</f>
        <v/>
      </c>
      <c r="G1588" s="19">
        <f>IF(OR(C1588="",D1588=""),"",IFERROR(INDEX('Qida bazası'!$F$2:$F$103,MATCH(C1588,'Qida bazası'!$A$2:$A$103,0))*D1588/100,"?"))</f>
        <v/>
      </c>
      <c r="H1588" s="19">
        <f>IF(OR(C1588="",D1588=""),"",IFERROR(INDEX('Qida bazası'!$G$2:$G$103,MATCH(C1588,'Qida bazası'!$A$2:$A$103,0))*D1588/100,"?"))</f>
        <v/>
      </c>
    </row>
    <row r="1589">
      <c r="A1589" s="21" t="n"/>
      <c r="E1589" s="18">
        <f>IF(OR(C1589="",D1589=""),"",IFERROR(INDEX('Qida bazası'!$D$2:$D$103,MATCH(C1589,'Qida bazası'!$A$2:$A$103,0))*D1589/100,"?"))</f>
        <v/>
      </c>
      <c r="F1589" s="19">
        <f>IF(OR(C1589="",D1589=""),"",IFERROR(INDEX('Qida bazası'!$E$2:$E$103,MATCH(C1589,'Qida bazası'!$A$2:$A$103,0))*D1589/100,"?"))</f>
        <v/>
      </c>
      <c r="G1589" s="19">
        <f>IF(OR(C1589="",D1589=""),"",IFERROR(INDEX('Qida bazası'!$F$2:$F$103,MATCH(C1589,'Qida bazası'!$A$2:$A$103,0))*D1589/100,"?"))</f>
        <v/>
      </c>
      <c r="H1589" s="19">
        <f>IF(OR(C1589="",D1589=""),"",IFERROR(INDEX('Qida bazası'!$G$2:$G$103,MATCH(C1589,'Qida bazası'!$A$2:$A$103,0))*D1589/100,"?"))</f>
        <v/>
      </c>
    </row>
    <row r="1590">
      <c r="A1590" s="21" t="n"/>
      <c r="E1590" s="18">
        <f>IF(OR(C1590="",D1590=""),"",IFERROR(INDEX('Qida bazası'!$D$2:$D$103,MATCH(C1590,'Qida bazası'!$A$2:$A$103,0))*D1590/100,"?"))</f>
        <v/>
      </c>
      <c r="F1590" s="19">
        <f>IF(OR(C1590="",D1590=""),"",IFERROR(INDEX('Qida bazası'!$E$2:$E$103,MATCH(C1590,'Qida bazası'!$A$2:$A$103,0))*D1590/100,"?"))</f>
        <v/>
      </c>
      <c r="G1590" s="19">
        <f>IF(OR(C1590="",D1590=""),"",IFERROR(INDEX('Qida bazası'!$F$2:$F$103,MATCH(C1590,'Qida bazası'!$A$2:$A$103,0))*D1590/100,"?"))</f>
        <v/>
      </c>
      <c r="H1590" s="19">
        <f>IF(OR(C1590="",D1590=""),"",IFERROR(INDEX('Qida bazası'!$G$2:$G$103,MATCH(C1590,'Qida bazası'!$A$2:$A$103,0))*D1590/100,"?"))</f>
        <v/>
      </c>
    </row>
    <row r="1591">
      <c r="A1591" s="21" t="n"/>
      <c r="E1591" s="18">
        <f>IF(OR(C1591="",D1591=""),"",IFERROR(INDEX('Qida bazası'!$D$2:$D$103,MATCH(C1591,'Qida bazası'!$A$2:$A$103,0))*D1591/100,"?"))</f>
        <v/>
      </c>
      <c r="F1591" s="19">
        <f>IF(OR(C1591="",D1591=""),"",IFERROR(INDEX('Qida bazası'!$E$2:$E$103,MATCH(C1591,'Qida bazası'!$A$2:$A$103,0))*D1591/100,"?"))</f>
        <v/>
      </c>
      <c r="G1591" s="19">
        <f>IF(OR(C1591="",D1591=""),"",IFERROR(INDEX('Qida bazası'!$F$2:$F$103,MATCH(C1591,'Qida bazası'!$A$2:$A$103,0))*D1591/100,"?"))</f>
        <v/>
      </c>
      <c r="H1591" s="19">
        <f>IF(OR(C1591="",D1591=""),"",IFERROR(INDEX('Qida bazası'!$G$2:$G$103,MATCH(C1591,'Qida bazası'!$A$2:$A$103,0))*D1591/100,"?"))</f>
        <v/>
      </c>
    </row>
    <row r="1592">
      <c r="A1592" s="21" t="n"/>
      <c r="E1592" s="18">
        <f>IF(OR(C1592="",D1592=""),"",IFERROR(INDEX('Qida bazası'!$D$2:$D$103,MATCH(C1592,'Qida bazası'!$A$2:$A$103,0))*D1592/100,"?"))</f>
        <v/>
      </c>
      <c r="F1592" s="19">
        <f>IF(OR(C1592="",D1592=""),"",IFERROR(INDEX('Qida bazası'!$E$2:$E$103,MATCH(C1592,'Qida bazası'!$A$2:$A$103,0))*D1592/100,"?"))</f>
        <v/>
      </c>
      <c r="G1592" s="19">
        <f>IF(OR(C1592="",D1592=""),"",IFERROR(INDEX('Qida bazası'!$F$2:$F$103,MATCH(C1592,'Qida bazası'!$A$2:$A$103,0))*D1592/100,"?"))</f>
        <v/>
      </c>
      <c r="H1592" s="19">
        <f>IF(OR(C1592="",D1592=""),"",IFERROR(INDEX('Qida bazası'!$G$2:$G$103,MATCH(C1592,'Qida bazası'!$A$2:$A$103,0))*D1592/100,"?"))</f>
        <v/>
      </c>
    </row>
    <row r="1593">
      <c r="A1593" s="21" t="n"/>
      <c r="E1593" s="18">
        <f>IF(OR(C1593="",D1593=""),"",IFERROR(INDEX('Qida bazası'!$D$2:$D$103,MATCH(C1593,'Qida bazası'!$A$2:$A$103,0))*D1593/100,"?"))</f>
        <v/>
      </c>
      <c r="F1593" s="19">
        <f>IF(OR(C1593="",D1593=""),"",IFERROR(INDEX('Qida bazası'!$E$2:$E$103,MATCH(C1593,'Qida bazası'!$A$2:$A$103,0))*D1593/100,"?"))</f>
        <v/>
      </c>
      <c r="G1593" s="19">
        <f>IF(OR(C1593="",D1593=""),"",IFERROR(INDEX('Qida bazası'!$F$2:$F$103,MATCH(C1593,'Qida bazası'!$A$2:$A$103,0))*D1593/100,"?"))</f>
        <v/>
      </c>
      <c r="H1593" s="19">
        <f>IF(OR(C1593="",D1593=""),"",IFERROR(INDEX('Qida bazası'!$G$2:$G$103,MATCH(C1593,'Qida bazası'!$A$2:$A$103,0))*D1593/100,"?"))</f>
        <v/>
      </c>
    </row>
    <row r="1594">
      <c r="A1594" s="21" t="n"/>
      <c r="E1594" s="18">
        <f>IF(OR(C1594="",D1594=""),"",IFERROR(INDEX('Qida bazası'!$D$2:$D$103,MATCH(C1594,'Qida bazası'!$A$2:$A$103,0))*D1594/100,"?"))</f>
        <v/>
      </c>
      <c r="F1594" s="19">
        <f>IF(OR(C1594="",D1594=""),"",IFERROR(INDEX('Qida bazası'!$E$2:$E$103,MATCH(C1594,'Qida bazası'!$A$2:$A$103,0))*D1594/100,"?"))</f>
        <v/>
      </c>
      <c r="G1594" s="19">
        <f>IF(OR(C1594="",D1594=""),"",IFERROR(INDEX('Qida bazası'!$F$2:$F$103,MATCH(C1594,'Qida bazası'!$A$2:$A$103,0))*D1594/100,"?"))</f>
        <v/>
      </c>
      <c r="H1594" s="19">
        <f>IF(OR(C1594="",D1594=""),"",IFERROR(INDEX('Qida bazası'!$G$2:$G$103,MATCH(C1594,'Qida bazası'!$A$2:$A$103,0))*D1594/100,"?"))</f>
        <v/>
      </c>
    </row>
    <row r="1595">
      <c r="A1595" s="21" t="n"/>
      <c r="E1595" s="18">
        <f>IF(OR(C1595="",D1595=""),"",IFERROR(INDEX('Qida bazası'!$D$2:$D$103,MATCH(C1595,'Qida bazası'!$A$2:$A$103,0))*D1595/100,"?"))</f>
        <v/>
      </c>
      <c r="F1595" s="19">
        <f>IF(OR(C1595="",D1595=""),"",IFERROR(INDEX('Qida bazası'!$E$2:$E$103,MATCH(C1595,'Qida bazası'!$A$2:$A$103,0))*D1595/100,"?"))</f>
        <v/>
      </c>
      <c r="G1595" s="19">
        <f>IF(OR(C1595="",D1595=""),"",IFERROR(INDEX('Qida bazası'!$F$2:$F$103,MATCH(C1595,'Qida bazası'!$A$2:$A$103,0))*D1595/100,"?"))</f>
        <v/>
      </c>
      <c r="H1595" s="19">
        <f>IF(OR(C1595="",D1595=""),"",IFERROR(INDEX('Qida bazası'!$G$2:$G$103,MATCH(C1595,'Qida bazası'!$A$2:$A$103,0))*D1595/100,"?"))</f>
        <v/>
      </c>
    </row>
    <row r="1596">
      <c r="A1596" s="21" t="n"/>
      <c r="E1596" s="18">
        <f>IF(OR(C1596="",D1596=""),"",IFERROR(INDEX('Qida bazası'!$D$2:$D$103,MATCH(C1596,'Qida bazası'!$A$2:$A$103,0))*D1596/100,"?"))</f>
        <v/>
      </c>
      <c r="F1596" s="19">
        <f>IF(OR(C1596="",D1596=""),"",IFERROR(INDEX('Qida bazası'!$E$2:$E$103,MATCH(C1596,'Qida bazası'!$A$2:$A$103,0))*D1596/100,"?"))</f>
        <v/>
      </c>
      <c r="G1596" s="19">
        <f>IF(OR(C1596="",D1596=""),"",IFERROR(INDEX('Qida bazası'!$F$2:$F$103,MATCH(C1596,'Qida bazası'!$A$2:$A$103,0))*D1596/100,"?"))</f>
        <v/>
      </c>
      <c r="H1596" s="19">
        <f>IF(OR(C1596="",D1596=""),"",IFERROR(INDEX('Qida bazası'!$G$2:$G$103,MATCH(C1596,'Qida bazası'!$A$2:$A$103,0))*D1596/100,"?"))</f>
        <v/>
      </c>
    </row>
    <row r="1597">
      <c r="A1597" s="21" t="n"/>
      <c r="E1597" s="18">
        <f>IF(OR(C1597="",D1597=""),"",IFERROR(INDEX('Qida bazası'!$D$2:$D$103,MATCH(C1597,'Qida bazası'!$A$2:$A$103,0))*D1597/100,"?"))</f>
        <v/>
      </c>
      <c r="F1597" s="19">
        <f>IF(OR(C1597="",D1597=""),"",IFERROR(INDEX('Qida bazası'!$E$2:$E$103,MATCH(C1597,'Qida bazası'!$A$2:$A$103,0))*D1597/100,"?"))</f>
        <v/>
      </c>
      <c r="G1597" s="19">
        <f>IF(OR(C1597="",D1597=""),"",IFERROR(INDEX('Qida bazası'!$F$2:$F$103,MATCH(C1597,'Qida bazası'!$A$2:$A$103,0))*D1597/100,"?"))</f>
        <v/>
      </c>
      <c r="H1597" s="19">
        <f>IF(OR(C1597="",D1597=""),"",IFERROR(INDEX('Qida bazası'!$G$2:$G$103,MATCH(C1597,'Qida bazası'!$A$2:$A$103,0))*D1597/100,"?"))</f>
        <v/>
      </c>
    </row>
    <row r="1598">
      <c r="A1598" s="21" t="n"/>
      <c r="E1598" s="18">
        <f>IF(OR(C1598="",D1598=""),"",IFERROR(INDEX('Qida bazası'!$D$2:$D$103,MATCH(C1598,'Qida bazası'!$A$2:$A$103,0))*D1598/100,"?"))</f>
        <v/>
      </c>
      <c r="F1598" s="19">
        <f>IF(OR(C1598="",D1598=""),"",IFERROR(INDEX('Qida bazası'!$E$2:$E$103,MATCH(C1598,'Qida bazası'!$A$2:$A$103,0))*D1598/100,"?"))</f>
        <v/>
      </c>
      <c r="G1598" s="19">
        <f>IF(OR(C1598="",D1598=""),"",IFERROR(INDEX('Qida bazası'!$F$2:$F$103,MATCH(C1598,'Qida bazası'!$A$2:$A$103,0))*D1598/100,"?"))</f>
        <v/>
      </c>
      <c r="H1598" s="19">
        <f>IF(OR(C1598="",D1598=""),"",IFERROR(INDEX('Qida bazası'!$G$2:$G$103,MATCH(C1598,'Qida bazası'!$A$2:$A$103,0))*D1598/100,"?"))</f>
        <v/>
      </c>
    </row>
    <row r="1599">
      <c r="A1599" s="21" t="n"/>
      <c r="E1599" s="18">
        <f>IF(OR(C1599="",D1599=""),"",IFERROR(INDEX('Qida bazası'!$D$2:$D$103,MATCH(C1599,'Qida bazası'!$A$2:$A$103,0))*D1599/100,"?"))</f>
        <v/>
      </c>
      <c r="F1599" s="19">
        <f>IF(OR(C1599="",D1599=""),"",IFERROR(INDEX('Qida bazası'!$E$2:$E$103,MATCH(C1599,'Qida bazası'!$A$2:$A$103,0))*D1599/100,"?"))</f>
        <v/>
      </c>
      <c r="G1599" s="19">
        <f>IF(OR(C1599="",D1599=""),"",IFERROR(INDEX('Qida bazası'!$F$2:$F$103,MATCH(C1599,'Qida bazası'!$A$2:$A$103,0))*D1599/100,"?"))</f>
        <v/>
      </c>
      <c r="H1599" s="19">
        <f>IF(OR(C1599="",D1599=""),"",IFERROR(INDEX('Qida bazası'!$G$2:$G$103,MATCH(C1599,'Qida bazası'!$A$2:$A$103,0))*D1599/100,"?"))</f>
        <v/>
      </c>
    </row>
    <row r="1600">
      <c r="A1600" s="21" t="n"/>
      <c r="E1600" s="18">
        <f>IF(OR(C1600="",D1600=""),"",IFERROR(INDEX('Qida bazası'!$D$2:$D$103,MATCH(C1600,'Qida bazası'!$A$2:$A$103,0))*D1600/100,"?"))</f>
        <v/>
      </c>
      <c r="F1600" s="19">
        <f>IF(OR(C1600="",D1600=""),"",IFERROR(INDEX('Qida bazası'!$E$2:$E$103,MATCH(C1600,'Qida bazası'!$A$2:$A$103,0))*D1600/100,"?"))</f>
        <v/>
      </c>
      <c r="G1600" s="19">
        <f>IF(OR(C1600="",D1600=""),"",IFERROR(INDEX('Qida bazası'!$F$2:$F$103,MATCH(C1600,'Qida bazası'!$A$2:$A$103,0))*D1600/100,"?"))</f>
        <v/>
      </c>
      <c r="H1600" s="19">
        <f>IF(OR(C1600="",D1600=""),"",IFERROR(INDEX('Qida bazası'!$G$2:$G$103,MATCH(C1600,'Qida bazası'!$A$2:$A$103,0))*D1600/100,"?"))</f>
        <v/>
      </c>
    </row>
    <row r="1601">
      <c r="A1601" s="21" t="n"/>
      <c r="E1601" s="18">
        <f>IF(OR(C1601="",D1601=""),"",IFERROR(INDEX('Qida bazası'!$D$2:$D$103,MATCH(C1601,'Qida bazası'!$A$2:$A$103,0))*D1601/100,"?"))</f>
        <v/>
      </c>
      <c r="F1601" s="19">
        <f>IF(OR(C1601="",D1601=""),"",IFERROR(INDEX('Qida bazası'!$E$2:$E$103,MATCH(C1601,'Qida bazası'!$A$2:$A$103,0))*D1601/100,"?"))</f>
        <v/>
      </c>
      <c r="G1601" s="19">
        <f>IF(OR(C1601="",D1601=""),"",IFERROR(INDEX('Qida bazası'!$F$2:$F$103,MATCH(C1601,'Qida bazası'!$A$2:$A$103,0))*D1601/100,"?"))</f>
        <v/>
      </c>
      <c r="H1601" s="19">
        <f>IF(OR(C1601="",D1601=""),"",IFERROR(INDEX('Qida bazası'!$G$2:$G$103,MATCH(C1601,'Qida bazası'!$A$2:$A$103,0))*D1601/100,"?"))</f>
        <v/>
      </c>
    </row>
    <row r="1602">
      <c r="A1602" s="21" t="n"/>
      <c r="E1602" s="18">
        <f>IF(OR(C1602="",D1602=""),"",IFERROR(INDEX('Qida bazası'!$D$2:$D$103,MATCH(C1602,'Qida bazası'!$A$2:$A$103,0))*D1602/100,"?"))</f>
        <v/>
      </c>
      <c r="F1602" s="19">
        <f>IF(OR(C1602="",D1602=""),"",IFERROR(INDEX('Qida bazası'!$E$2:$E$103,MATCH(C1602,'Qida bazası'!$A$2:$A$103,0))*D1602/100,"?"))</f>
        <v/>
      </c>
      <c r="G1602" s="19">
        <f>IF(OR(C1602="",D1602=""),"",IFERROR(INDEX('Qida bazası'!$F$2:$F$103,MATCH(C1602,'Qida bazası'!$A$2:$A$103,0))*D1602/100,"?"))</f>
        <v/>
      </c>
      <c r="H1602" s="19">
        <f>IF(OR(C1602="",D1602=""),"",IFERROR(INDEX('Qida bazası'!$G$2:$G$103,MATCH(C1602,'Qida bazası'!$A$2:$A$103,0))*D1602/100,"?"))</f>
        <v/>
      </c>
    </row>
    <row r="1603">
      <c r="A1603" s="21" t="n"/>
      <c r="E1603" s="18">
        <f>IF(OR(C1603="",D1603=""),"",IFERROR(INDEX('Qida bazası'!$D$2:$D$103,MATCH(C1603,'Qida bazası'!$A$2:$A$103,0))*D1603/100,"?"))</f>
        <v/>
      </c>
      <c r="F1603" s="19">
        <f>IF(OR(C1603="",D1603=""),"",IFERROR(INDEX('Qida bazası'!$E$2:$E$103,MATCH(C1603,'Qida bazası'!$A$2:$A$103,0))*D1603/100,"?"))</f>
        <v/>
      </c>
      <c r="G1603" s="19">
        <f>IF(OR(C1603="",D1603=""),"",IFERROR(INDEX('Qida bazası'!$F$2:$F$103,MATCH(C1603,'Qida bazası'!$A$2:$A$103,0))*D1603/100,"?"))</f>
        <v/>
      </c>
      <c r="H1603" s="19">
        <f>IF(OR(C1603="",D1603=""),"",IFERROR(INDEX('Qida bazası'!$G$2:$G$103,MATCH(C1603,'Qida bazası'!$A$2:$A$103,0))*D1603/100,"?"))</f>
        <v/>
      </c>
    </row>
    <row r="1604">
      <c r="A1604" s="21" t="n"/>
      <c r="E1604" s="18">
        <f>IF(OR(C1604="",D1604=""),"",IFERROR(INDEX('Qida bazası'!$D$2:$D$103,MATCH(C1604,'Qida bazası'!$A$2:$A$103,0))*D1604/100,"?"))</f>
        <v/>
      </c>
      <c r="F1604" s="19">
        <f>IF(OR(C1604="",D1604=""),"",IFERROR(INDEX('Qida bazası'!$E$2:$E$103,MATCH(C1604,'Qida bazası'!$A$2:$A$103,0))*D1604/100,"?"))</f>
        <v/>
      </c>
      <c r="G1604" s="19">
        <f>IF(OR(C1604="",D1604=""),"",IFERROR(INDEX('Qida bazası'!$F$2:$F$103,MATCH(C1604,'Qida bazası'!$A$2:$A$103,0))*D1604/100,"?"))</f>
        <v/>
      </c>
      <c r="H1604" s="19">
        <f>IF(OR(C1604="",D1604=""),"",IFERROR(INDEX('Qida bazası'!$G$2:$G$103,MATCH(C1604,'Qida bazası'!$A$2:$A$103,0))*D1604/100,"?"))</f>
        <v/>
      </c>
    </row>
    <row r="1605">
      <c r="A1605" s="21" t="n"/>
      <c r="E1605" s="18">
        <f>IF(OR(C1605="",D1605=""),"",IFERROR(INDEX('Qida bazası'!$D$2:$D$103,MATCH(C1605,'Qida bazası'!$A$2:$A$103,0))*D1605/100,"?"))</f>
        <v/>
      </c>
      <c r="F1605" s="19">
        <f>IF(OR(C1605="",D1605=""),"",IFERROR(INDEX('Qida bazası'!$E$2:$E$103,MATCH(C1605,'Qida bazası'!$A$2:$A$103,0))*D1605/100,"?"))</f>
        <v/>
      </c>
      <c r="G1605" s="19">
        <f>IF(OR(C1605="",D1605=""),"",IFERROR(INDEX('Qida bazası'!$F$2:$F$103,MATCH(C1605,'Qida bazası'!$A$2:$A$103,0))*D1605/100,"?"))</f>
        <v/>
      </c>
      <c r="H1605" s="19">
        <f>IF(OR(C1605="",D1605=""),"",IFERROR(INDEX('Qida bazası'!$G$2:$G$103,MATCH(C1605,'Qida bazası'!$A$2:$A$103,0))*D1605/100,"?"))</f>
        <v/>
      </c>
    </row>
    <row r="1606">
      <c r="A1606" s="21" t="n"/>
      <c r="E1606" s="18">
        <f>IF(OR(C1606="",D1606=""),"",IFERROR(INDEX('Qida bazası'!$D$2:$D$103,MATCH(C1606,'Qida bazası'!$A$2:$A$103,0))*D1606/100,"?"))</f>
        <v/>
      </c>
      <c r="F1606" s="19">
        <f>IF(OR(C1606="",D1606=""),"",IFERROR(INDEX('Qida bazası'!$E$2:$E$103,MATCH(C1606,'Qida bazası'!$A$2:$A$103,0))*D1606/100,"?"))</f>
        <v/>
      </c>
      <c r="G1606" s="19">
        <f>IF(OR(C1606="",D1606=""),"",IFERROR(INDEX('Qida bazası'!$F$2:$F$103,MATCH(C1606,'Qida bazası'!$A$2:$A$103,0))*D1606/100,"?"))</f>
        <v/>
      </c>
      <c r="H1606" s="19">
        <f>IF(OR(C1606="",D1606=""),"",IFERROR(INDEX('Qida bazası'!$G$2:$G$103,MATCH(C1606,'Qida bazası'!$A$2:$A$103,0))*D1606/100,"?"))</f>
        <v/>
      </c>
    </row>
    <row r="1607">
      <c r="A1607" s="21" t="n"/>
      <c r="E1607" s="18">
        <f>IF(OR(C1607="",D1607=""),"",IFERROR(INDEX('Qida bazası'!$D$2:$D$103,MATCH(C1607,'Qida bazası'!$A$2:$A$103,0))*D1607/100,"?"))</f>
        <v/>
      </c>
      <c r="F1607" s="19">
        <f>IF(OR(C1607="",D1607=""),"",IFERROR(INDEX('Qida bazası'!$E$2:$E$103,MATCH(C1607,'Qida bazası'!$A$2:$A$103,0))*D1607/100,"?"))</f>
        <v/>
      </c>
      <c r="G1607" s="19">
        <f>IF(OR(C1607="",D1607=""),"",IFERROR(INDEX('Qida bazası'!$F$2:$F$103,MATCH(C1607,'Qida bazası'!$A$2:$A$103,0))*D1607/100,"?"))</f>
        <v/>
      </c>
      <c r="H1607" s="19">
        <f>IF(OR(C1607="",D1607=""),"",IFERROR(INDEX('Qida bazası'!$G$2:$G$103,MATCH(C1607,'Qida bazası'!$A$2:$A$103,0))*D1607/100,"?"))</f>
        <v/>
      </c>
    </row>
    <row r="1608">
      <c r="A1608" s="21" t="n"/>
      <c r="E1608" s="18">
        <f>IF(OR(C1608="",D1608=""),"",IFERROR(INDEX('Qida bazası'!$D$2:$D$103,MATCH(C1608,'Qida bazası'!$A$2:$A$103,0))*D1608/100,"?"))</f>
        <v/>
      </c>
      <c r="F1608" s="19">
        <f>IF(OR(C1608="",D1608=""),"",IFERROR(INDEX('Qida bazası'!$E$2:$E$103,MATCH(C1608,'Qida bazası'!$A$2:$A$103,0))*D1608/100,"?"))</f>
        <v/>
      </c>
      <c r="G1608" s="19">
        <f>IF(OR(C1608="",D1608=""),"",IFERROR(INDEX('Qida bazası'!$F$2:$F$103,MATCH(C1608,'Qida bazası'!$A$2:$A$103,0))*D1608/100,"?"))</f>
        <v/>
      </c>
      <c r="H1608" s="19">
        <f>IF(OR(C1608="",D1608=""),"",IFERROR(INDEX('Qida bazası'!$G$2:$G$103,MATCH(C1608,'Qida bazası'!$A$2:$A$103,0))*D1608/100,"?"))</f>
        <v/>
      </c>
    </row>
    <row r="1609">
      <c r="A1609" s="21" t="n"/>
      <c r="E1609" s="18">
        <f>IF(OR(C1609="",D1609=""),"",IFERROR(INDEX('Qida bazası'!$D$2:$D$103,MATCH(C1609,'Qida bazası'!$A$2:$A$103,0))*D1609/100,"?"))</f>
        <v/>
      </c>
      <c r="F1609" s="19">
        <f>IF(OR(C1609="",D1609=""),"",IFERROR(INDEX('Qida bazası'!$E$2:$E$103,MATCH(C1609,'Qida bazası'!$A$2:$A$103,0))*D1609/100,"?"))</f>
        <v/>
      </c>
      <c r="G1609" s="19">
        <f>IF(OR(C1609="",D1609=""),"",IFERROR(INDEX('Qida bazası'!$F$2:$F$103,MATCH(C1609,'Qida bazası'!$A$2:$A$103,0))*D1609/100,"?"))</f>
        <v/>
      </c>
      <c r="H1609" s="19">
        <f>IF(OR(C1609="",D1609=""),"",IFERROR(INDEX('Qida bazası'!$G$2:$G$103,MATCH(C1609,'Qida bazası'!$A$2:$A$103,0))*D1609/100,"?"))</f>
        <v/>
      </c>
    </row>
    <row r="1610">
      <c r="A1610" s="21" t="n"/>
      <c r="E1610" s="18">
        <f>IF(OR(C1610="",D1610=""),"",IFERROR(INDEX('Qida bazası'!$D$2:$D$103,MATCH(C1610,'Qida bazası'!$A$2:$A$103,0))*D1610/100,"?"))</f>
        <v/>
      </c>
      <c r="F1610" s="19">
        <f>IF(OR(C1610="",D1610=""),"",IFERROR(INDEX('Qida bazası'!$E$2:$E$103,MATCH(C1610,'Qida bazası'!$A$2:$A$103,0))*D1610/100,"?"))</f>
        <v/>
      </c>
      <c r="G1610" s="19">
        <f>IF(OR(C1610="",D1610=""),"",IFERROR(INDEX('Qida bazası'!$F$2:$F$103,MATCH(C1610,'Qida bazası'!$A$2:$A$103,0))*D1610/100,"?"))</f>
        <v/>
      </c>
      <c r="H1610" s="19">
        <f>IF(OR(C1610="",D1610=""),"",IFERROR(INDEX('Qida bazası'!$G$2:$G$103,MATCH(C1610,'Qida bazası'!$A$2:$A$103,0))*D1610/100,"?"))</f>
        <v/>
      </c>
    </row>
    <row r="1611">
      <c r="A1611" s="21" t="n"/>
      <c r="E1611" s="18">
        <f>IF(OR(C1611="",D1611=""),"",IFERROR(INDEX('Qida bazası'!$D$2:$D$103,MATCH(C1611,'Qida bazası'!$A$2:$A$103,0))*D1611/100,"?"))</f>
        <v/>
      </c>
      <c r="F1611" s="19">
        <f>IF(OR(C1611="",D1611=""),"",IFERROR(INDEX('Qida bazası'!$E$2:$E$103,MATCH(C1611,'Qida bazası'!$A$2:$A$103,0))*D1611/100,"?"))</f>
        <v/>
      </c>
      <c r="G1611" s="19">
        <f>IF(OR(C1611="",D1611=""),"",IFERROR(INDEX('Qida bazası'!$F$2:$F$103,MATCH(C1611,'Qida bazası'!$A$2:$A$103,0))*D1611/100,"?"))</f>
        <v/>
      </c>
      <c r="H1611" s="19">
        <f>IF(OR(C1611="",D1611=""),"",IFERROR(INDEX('Qida bazası'!$G$2:$G$103,MATCH(C1611,'Qida bazası'!$A$2:$A$103,0))*D1611/100,"?"))</f>
        <v/>
      </c>
    </row>
    <row r="1612">
      <c r="A1612" s="21" t="n"/>
      <c r="E1612" s="18">
        <f>IF(OR(C1612="",D1612=""),"",IFERROR(INDEX('Qida bazası'!$D$2:$D$103,MATCH(C1612,'Qida bazası'!$A$2:$A$103,0))*D1612/100,"?"))</f>
        <v/>
      </c>
      <c r="F1612" s="19">
        <f>IF(OR(C1612="",D1612=""),"",IFERROR(INDEX('Qida bazası'!$E$2:$E$103,MATCH(C1612,'Qida bazası'!$A$2:$A$103,0))*D1612/100,"?"))</f>
        <v/>
      </c>
      <c r="G1612" s="19">
        <f>IF(OR(C1612="",D1612=""),"",IFERROR(INDEX('Qida bazası'!$F$2:$F$103,MATCH(C1612,'Qida bazası'!$A$2:$A$103,0))*D1612/100,"?"))</f>
        <v/>
      </c>
      <c r="H1612" s="19">
        <f>IF(OR(C1612="",D1612=""),"",IFERROR(INDEX('Qida bazası'!$G$2:$G$103,MATCH(C1612,'Qida bazası'!$A$2:$A$103,0))*D1612/100,"?"))</f>
        <v/>
      </c>
    </row>
    <row r="1613">
      <c r="A1613" s="21" t="n"/>
      <c r="E1613" s="18">
        <f>IF(OR(C1613="",D1613=""),"",IFERROR(INDEX('Qida bazası'!$D$2:$D$103,MATCH(C1613,'Qida bazası'!$A$2:$A$103,0))*D1613/100,"?"))</f>
        <v/>
      </c>
      <c r="F1613" s="19">
        <f>IF(OR(C1613="",D1613=""),"",IFERROR(INDEX('Qida bazası'!$E$2:$E$103,MATCH(C1613,'Qida bazası'!$A$2:$A$103,0))*D1613/100,"?"))</f>
        <v/>
      </c>
      <c r="G1613" s="19">
        <f>IF(OR(C1613="",D1613=""),"",IFERROR(INDEX('Qida bazası'!$F$2:$F$103,MATCH(C1613,'Qida bazası'!$A$2:$A$103,0))*D1613/100,"?"))</f>
        <v/>
      </c>
      <c r="H1613" s="19">
        <f>IF(OR(C1613="",D1613=""),"",IFERROR(INDEX('Qida bazası'!$G$2:$G$103,MATCH(C1613,'Qida bazası'!$A$2:$A$103,0))*D1613/100,"?"))</f>
        <v/>
      </c>
    </row>
    <row r="1614">
      <c r="A1614" s="21" t="n"/>
      <c r="E1614" s="18">
        <f>IF(OR(C1614="",D1614=""),"",IFERROR(INDEX('Qida bazası'!$D$2:$D$103,MATCH(C1614,'Qida bazası'!$A$2:$A$103,0))*D1614/100,"?"))</f>
        <v/>
      </c>
      <c r="F1614" s="19">
        <f>IF(OR(C1614="",D1614=""),"",IFERROR(INDEX('Qida bazası'!$E$2:$E$103,MATCH(C1614,'Qida bazası'!$A$2:$A$103,0))*D1614/100,"?"))</f>
        <v/>
      </c>
      <c r="G1614" s="19">
        <f>IF(OR(C1614="",D1614=""),"",IFERROR(INDEX('Qida bazası'!$F$2:$F$103,MATCH(C1614,'Qida bazası'!$A$2:$A$103,0))*D1614/100,"?"))</f>
        <v/>
      </c>
      <c r="H1614" s="19">
        <f>IF(OR(C1614="",D1614=""),"",IFERROR(INDEX('Qida bazası'!$G$2:$G$103,MATCH(C1614,'Qida bazası'!$A$2:$A$103,0))*D1614/100,"?"))</f>
        <v/>
      </c>
    </row>
    <row r="1615">
      <c r="A1615" s="21" t="n"/>
      <c r="E1615" s="18">
        <f>IF(OR(C1615="",D1615=""),"",IFERROR(INDEX('Qida bazası'!$D$2:$D$103,MATCH(C1615,'Qida bazası'!$A$2:$A$103,0))*D1615/100,"?"))</f>
        <v/>
      </c>
      <c r="F1615" s="19">
        <f>IF(OR(C1615="",D1615=""),"",IFERROR(INDEX('Qida bazası'!$E$2:$E$103,MATCH(C1615,'Qida bazası'!$A$2:$A$103,0))*D1615/100,"?"))</f>
        <v/>
      </c>
      <c r="G1615" s="19">
        <f>IF(OR(C1615="",D1615=""),"",IFERROR(INDEX('Qida bazası'!$F$2:$F$103,MATCH(C1615,'Qida bazası'!$A$2:$A$103,0))*D1615/100,"?"))</f>
        <v/>
      </c>
      <c r="H1615" s="19">
        <f>IF(OR(C1615="",D1615=""),"",IFERROR(INDEX('Qida bazası'!$G$2:$G$103,MATCH(C1615,'Qida bazası'!$A$2:$A$103,0))*D1615/100,"?"))</f>
        <v/>
      </c>
    </row>
    <row r="1616">
      <c r="A1616" s="21" t="n"/>
      <c r="E1616" s="18">
        <f>IF(OR(C1616="",D1616=""),"",IFERROR(INDEX('Qida bazası'!$D$2:$D$103,MATCH(C1616,'Qida bazası'!$A$2:$A$103,0))*D1616/100,"?"))</f>
        <v/>
      </c>
      <c r="F1616" s="19">
        <f>IF(OR(C1616="",D1616=""),"",IFERROR(INDEX('Qida bazası'!$E$2:$E$103,MATCH(C1616,'Qida bazası'!$A$2:$A$103,0))*D1616/100,"?"))</f>
        <v/>
      </c>
      <c r="G1616" s="19">
        <f>IF(OR(C1616="",D1616=""),"",IFERROR(INDEX('Qida bazası'!$F$2:$F$103,MATCH(C1616,'Qida bazası'!$A$2:$A$103,0))*D1616/100,"?"))</f>
        <v/>
      </c>
      <c r="H1616" s="19">
        <f>IF(OR(C1616="",D1616=""),"",IFERROR(INDEX('Qida bazası'!$G$2:$G$103,MATCH(C1616,'Qida bazası'!$A$2:$A$103,0))*D1616/100,"?"))</f>
        <v/>
      </c>
    </row>
    <row r="1617">
      <c r="A1617" s="21" t="n"/>
      <c r="E1617" s="18">
        <f>IF(OR(C1617="",D1617=""),"",IFERROR(INDEX('Qida bazası'!$D$2:$D$103,MATCH(C1617,'Qida bazası'!$A$2:$A$103,0))*D1617/100,"?"))</f>
        <v/>
      </c>
      <c r="F1617" s="19">
        <f>IF(OR(C1617="",D1617=""),"",IFERROR(INDEX('Qida bazası'!$E$2:$E$103,MATCH(C1617,'Qida bazası'!$A$2:$A$103,0))*D1617/100,"?"))</f>
        <v/>
      </c>
      <c r="G1617" s="19">
        <f>IF(OR(C1617="",D1617=""),"",IFERROR(INDEX('Qida bazası'!$F$2:$F$103,MATCH(C1617,'Qida bazası'!$A$2:$A$103,0))*D1617/100,"?"))</f>
        <v/>
      </c>
      <c r="H1617" s="19">
        <f>IF(OR(C1617="",D1617=""),"",IFERROR(INDEX('Qida bazası'!$G$2:$G$103,MATCH(C1617,'Qida bazası'!$A$2:$A$103,0))*D1617/100,"?"))</f>
        <v/>
      </c>
    </row>
    <row r="1618">
      <c r="A1618" s="21" t="n"/>
      <c r="E1618" s="18">
        <f>IF(OR(C1618="",D1618=""),"",IFERROR(INDEX('Qida bazası'!$D$2:$D$103,MATCH(C1618,'Qida bazası'!$A$2:$A$103,0))*D1618/100,"?"))</f>
        <v/>
      </c>
      <c r="F1618" s="19">
        <f>IF(OR(C1618="",D1618=""),"",IFERROR(INDEX('Qida bazası'!$E$2:$E$103,MATCH(C1618,'Qida bazası'!$A$2:$A$103,0))*D1618/100,"?"))</f>
        <v/>
      </c>
      <c r="G1618" s="19">
        <f>IF(OR(C1618="",D1618=""),"",IFERROR(INDEX('Qida bazası'!$F$2:$F$103,MATCH(C1618,'Qida bazası'!$A$2:$A$103,0))*D1618/100,"?"))</f>
        <v/>
      </c>
      <c r="H1618" s="19">
        <f>IF(OR(C1618="",D1618=""),"",IFERROR(INDEX('Qida bazası'!$G$2:$G$103,MATCH(C1618,'Qida bazası'!$A$2:$A$103,0))*D1618/100,"?"))</f>
        <v/>
      </c>
    </row>
    <row r="1619">
      <c r="A1619" s="21" t="n"/>
      <c r="E1619" s="18">
        <f>IF(OR(C1619="",D1619=""),"",IFERROR(INDEX('Qida bazası'!$D$2:$D$103,MATCH(C1619,'Qida bazası'!$A$2:$A$103,0))*D1619/100,"?"))</f>
        <v/>
      </c>
      <c r="F1619" s="19">
        <f>IF(OR(C1619="",D1619=""),"",IFERROR(INDEX('Qida bazası'!$E$2:$E$103,MATCH(C1619,'Qida bazası'!$A$2:$A$103,0))*D1619/100,"?"))</f>
        <v/>
      </c>
      <c r="G1619" s="19">
        <f>IF(OR(C1619="",D1619=""),"",IFERROR(INDEX('Qida bazası'!$F$2:$F$103,MATCH(C1619,'Qida bazası'!$A$2:$A$103,0))*D1619/100,"?"))</f>
        <v/>
      </c>
      <c r="H1619" s="19">
        <f>IF(OR(C1619="",D1619=""),"",IFERROR(INDEX('Qida bazası'!$G$2:$G$103,MATCH(C1619,'Qida bazası'!$A$2:$A$103,0))*D1619/100,"?"))</f>
        <v/>
      </c>
    </row>
    <row r="1620">
      <c r="A1620" s="21" t="n"/>
      <c r="E1620" s="18">
        <f>IF(OR(C1620="",D1620=""),"",IFERROR(INDEX('Qida bazası'!$D$2:$D$103,MATCH(C1620,'Qida bazası'!$A$2:$A$103,0))*D1620/100,"?"))</f>
        <v/>
      </c>
      <c r="F1620" s="19">
        <f>IF(OR(C1620="",D1620=""),"",IFERROR(INDEX('Qida bazası'!$E$2:$E$103,MATCH(C1620,'Qida bazası'!$A$2:$A$103,0))*D1620/100,"?"))</f>
        <v/>
      </c>
      <c r="G1620" s="19">
        <f>IF(OR(C1620="",D1620=""),"",IFERROR(INDEX('Qida bazası'!$F$2:$F$103,MATCH(C1620,'Qida bazası'!$A$2:$A$103,0))*D1620/100,"?"))</f>
        <v/>
      </c>
      <c r="H1620" s="19">
        <f>IF(OR(C1620="",D1620=""),"",IFERROR(INDEX('Qida bazası'!$G$2:$G$103,MATCH(C1620,'Qida bazası'!$A$2:$A$103,0))*D1620/100,"?"))</f>
        <v/>
      </c>
    </row>
    <row r="1621">
      <c r="A1621" s="21" t="n"/>
      <c r="E1621" s="18">
        <f>IF(OR(C1621="",D1621=""),"",IFERROR(INDEX('Qida bazası'!$D$2:$D$103,MATCH(C1621,'Qida bazası'!$A$2:$A$103,0))*D1621/100,"?"))</f>
        <v/>
      </c>
      <c r="F1621" s="19">
        <f>IF(OR(C1621="",D1621=""),"",IFERROR(INDEX('Qida bazası'!$E$2:$E$103,MATCH(C1621,'Qida bazası'!$A$2:$A$103,0))*D1621/100,"?"))</f>
        <v/>
      </c>
      <c r="G1621" s="19">
        <f>IF(OR(C1621="",D1621=""),"",IFERROR(INDEX('Qida bazası'!$F$2:$F$103,MATCH(C1621,'Qida bazası'!$A$2:$A$103,0))*D1621/100,"?"))</f>
        <v/>
      </c>
      <c r="H1621" s="19">
        <f>IF(OR(C1621="",D1621=""),"",IFERROR(INDEX('Qida bazası'!$G$2:$G$103,MATCH(C1621,'Qida bazası'!$A$2:$A$103,0))*D1621/100,"?"))</f>
        <v/>
      </c>
    </row>
    <row r="1622">
      <c r="A1622" s="21" t="n"/>
      <c r="E1622" s="18">
        <f>IF(OR(C1622="",D1622=""),"",IFERROR(INDEX('Qida bazası'!$D$2:$D$103,MATCH(C1622,'Qida bazası'!$A$2:$A$103,0))*D1622/100,"?"))</f>
        <v/>
      </c>
      <c r="F1622" s="19">
        <f>IF(OR(C1622="",D1622=""),"",IFERROR(INDEX('Qida bazası'!$E$2:$E$103,MATCH(C1622,'Qida bazası'!$A$2:$A$103,0))*D1622/100,"?"))</f>
        <v/>
      </c>
      <c r="G1622" s="19">
        <f>IF(OR(C1622="",D1622=""),"",IFERROR(INDEX('Qida bazası'!$F$2:$F$103,MATCH(C1622,'Qida bazası'!$A$2:$A$103,0))*D1622/100,"?"))</f>
        <v/>
      </c>
      <c r="H1622" s="19">
        <f>IF(OR(C1622="",D1622=""),"",IFERROR(INDEX('Qida bazası'!$G$2:$G$103,MATCH(C1622,'Qida bazası'!$A$2:$A$103,0))*D1622/100,"?"))</f>
        <v/>
      </c>
    </row>
    <row r="1623">
      <c r="A1623" s="21" t="n"/>
      <c r="E1623" s="18">
        <f>IF(OR(C1623="",D1623=""),"",IFERROR(INDEX('Qida bazası'!$D$2:$D$103,MATCH(C1623,'Qida bazası'!$A$2:$A$103,0))*D1623/100,"?"))</f>
        <v/>
      </c>
      <c r="F1623" s="19">
        <f>IF(OR(C1623="",D1623=""),"",IFERROR(INDEX('Qida bazası'!$E$2:$E$103,MATCH(C1623,'Qida bazası'!$A$2:$A$103,0))*D1623/100,"?"))</f>
        <v/>
      </c>
      <c r="G1623" s="19">
        <f>IF(OR(C1623="",D1623=""),"",IFERROR(INDEX('Qida bazası'!$F$2:$F$103,MATCH(C1623,'Qida bazası'!$A$2:$A$103,0))*D1623/100,"?"))</f>
        <v/>
      </c>
      <c r="H1623" s="19">
        <f>IF(OR(C1623="",D1623=""),"",IFERROR(INDEX('Qida bazası'!$G$2:$G$103,MATCH(C1623,'Qida bazası'!$A$2:$A$103,0))*D1623/100,"?"))</f>
        <v/>
      </c>
    </row>
    <row r="1624">
      <c r="A1624" s="21" t="n"/>
      <c r="E1624" s="18">
        <f>IF(OR(C1624="",D1624=""),"",IFERROR(INDEX('Qida bazası'!$D$2:$D$103,MATCH(C1624,'Qida bazası'!$A$2:$A$103,0))*D1624/100,"?"))</f>
        <v/>
      </c>
      <c r="F1624" s="19">
        <f>IF(OR(C1624="",D1624=""),"",IFERROR(INDEX('Qida bazası'!$E$2:$E$103,MATCH(C1624,'Qida bazası'!$A$2:$A$103,0))*D1624/100,"?"))</f>
        <v/>
      </c>
      <c r="G1624" s="19">
        <f>IF(OR(C1624="",D1624=""),"",IFERROR(INDEX('Qida bazası'!$F$2:$F$103,MATCH(C1624,'Qida bazası'!$A$2:$A$103,0))*D1624/100,"?"))</f>
        <v/>
      </c>
      <c r="H1624" s="19">
        <f>IF(OR(C1624="",D1624=""),"",IFERROR(INDEX('Qida bazası'!$G$2:$G$103,MATCH(C1624,'Qida bazası'!$A$2:$A$103,0))*D1624/100,"?"))</f>
        <v/>
      </c>
    </row>
    <row r="1625">
      <c r="A1625" s="21" t="n"/>
      <c r="E1625" s="18">
        <f>IF(OR(C1625="",D1625=""),"",IFERROR(INDEX('Qida bazası'!$D$2:$D$103,MATCH(C1625,'Qida bazası'!$A$2:$A$103,0))*D1625/100,"?"))</f>
        <v/>
      </c>
      <c r="F1625" s="19">
        <f>IF(OR(C1625="",D1625=""),"",IFERROR(INDEX('Qida bazası'!$E$2:$E$103,MATCH(C1625,'Qida bazası'!$A$2:$A$103,0))*D1625/100,"?"))</f>
        <v/>
      </c>
      <c r="G1625" s="19">
        <f>IF(OR(C1625="",D1625=""),"",IFERROR(INDEX('Qida bazası'!$F$2:$F$103,MATCH(C1625,'Qida bazası'!$A$2:$A$103,0))*D1625/100,"?"))</f>
        <v/>
      </c>
      <c r="H1625" s="19">
        <f>IF(OR(C1625="",D1625=""),"",IFERROR(INDEX('Qida bazası'!$G$2:$G$103,MATCH(C1625,'Qida bazası'!$A$2:$A$103,0))*D1625/100,"?"))</f>
        <v/>
      </c>
    </row>
    <row r="1626">
      <c r="A1626" s="21" t="n"/>
      <c r="E1626" s="18">
        <f>IF(OR(C1626="",D1626=""),"",IFERROR(INDEX('Qida bazası'!$D$2:$D$103,MATCH(C1626,'Qida bazası'!$A$2:$A$103,0))*D1626/100,"?"))</f>
        <v/>
      </c>
      <c r="F1626" s="19">
        <f>IF(OR(C1626="",D1626=""),"",IFERROR(INDEX('Qida bazası'!$E$2:$E$103,MATCH(C1626,'Qida bazası'!$A$2:$A$103,0))*D1626/100,"?"))</f>
        <v/>
      </c>
      <c r="G1626" s="19">
        <f>IF(OR(C1626="",D1626=""),"",IFERROR(INDEX('Qida bazası'!$F$2:$F$103,MATCH(C1626,'Qida bazası'!$A$2:$A$103,0))*D1626/100,"?"))</f>
        <v/>
      </c>
      <c r="H1626" s="19">
        <f>IF(OR(C1626="",D1626=""),"",IFERROR(INDEX('Qida bazası'!$G$2:$G$103,MATCH(C1626,'Qida bazası'!$A$2:$A$103,0))*D1626/100,"?"))</f>
        <v/>
      </c>
    </row>
    <row r="1627">
      <c r="A1627" s="21" t="n"/>
      <c r="E1627" s="18">
        <f>IF(OR(C1627="",D1627=""),"",IFERROR(INDEX('Qida bazası'!$D$2:$D$103,MATCH(C1627,'Qida bazası'!$A$2:$A$103,0))*D1627/100,"?"))</f>
        <v/>
      </c>
      <c r="F1627" s="19">
        <f>IF(OR(C1627="",D1627=""),"",IFERROR(INDEX('Qida bazası'!$E$2:$E$103,MATCH(C1627,'Qida bazası'!$A$2:$A$103,0))*D1627/100,"?"))</f>
        <v/>
      </c>
      <c r="G1627" s="19">
        <f>IF(OR(C1627="",D1627=""),"",IFERROR(INDEX('Qida bazası'!$F$2:$F$103,MATCH(C1627,'Qida bazası'!$A$2:$A$103,0))*D1627/100,"?"))</f>
        <v/>
      </c>
      <c r="H1627" s="19">
        <f>IF(OR(C1627="",D1627=""),"",IFERROR(INDEX('Qida bazası'!$G$2:$G$103,MATCH(C1627,'Qida bazası'!$A$2:$A$103,0))*D1627/100,"?"))</f>
        <v/>
      </c>
    </row>
    <row r="1628">
      <c r="A1628" s="21" t="n"/>
      <c r="E1628" s="18">
        <f>IF(OR(C1628="",D1628=""),"",IFERROR(INDEX('Qida bazası'!$D$2:$D$103,MATCH(C1628,'Qida bazası'!$A$2:$A$103,0))*D1628/100,"?"))</f>
        <v/>
      </c>
      <c r="F1628" s="19">
        <f>IF(OR(C1628="",D1628=""),"",IFERROR(INDEX('Qida bazası'!$E$2:$E$103,MATCH(C1628,'Qida bazası'!$A$2:$A$103,0))*D1628/100,"?"))</f>
        <v/>
      </c>
      <c r="G1628" s="19">
        <f>IF(OR(C1628="",D1628=""),"",IFERROR(INDEX('Qida bazası'!$F$2:$F$103,MATCH(C1628,'Qida bazası'!$A$2:$A$103,0))*D1628/100,"?"))</f>
        <v/>
      </c>
      <c r="H1628" s="19">
        <f>IF(OR(C1628="",D1628=""),"",IFERROR(INDEX('Qida bazası'!$G$2:$G$103,MATCH(C1628,'Qida bazası'!$A$2:$A$103,0))*D1628/100,"?"))</f>
        <v/>
      </c>
    </row>
    <row r="1629">
      <c r="A1629" s="21" t="n"/>
      <c r="E1629" s="18">
        <f>IF(OR(C1629="",D1629=""),"",IFERROR(INDEX('Qida bazası'!$D$2:$D$103,MATCH(C1629,'Qida bazası'!$A$2:$A$103,0))*D1629/100,"?"))</f>
        <v/>
      </c>
      <c r="F1629" s="19">
        <f>IF(OR(C1629="",D1629=""),"",IFERROR(INDEX('Qida bazası'!$E$2:$E$103,MATCH(C1629,'Qida bazası'!$A$2:$A$103,0))*D1629/100,"?"))</f>
        <v/>
      </c>
      <c r="G1629" s="19">
        <f>IF(OR(C1629="",D1629=""),"",IFERROR(INDEX('Qida bazası'!$F$2:$F$103,MATCH(C1629,'Qida bazası'!$A$2:$A$103,0))*D1629/100,"?"))</f>
        <v/>
      </c>
      <c r="H1629" s="19">
        <f>IF(OR(C1629="",D1629=""),"",IFERROR(INDEX('Qida bazası'!$G$2:$G$103,MATCH(C1629,'Qida bazası'!$A$2:$A$103,0))*D1629/100,"?"))</f>
        <v/>
      </c>
    </row>
    <row r="1630">
      <c r="A1630" s="21" t="n"/>
      <c r="E1630" s="18">
        <f>IF(OR(C1630="",D1630=""),"",IFERROR(INDEX('Qida bazası'!$D$2:$D$103,MATCH(C1630,'Qida bazası'!$A$2:$A$103,0))*D1630/100,"?"))</f>
        <v/>
      </c>
      <c r="F1630" s="19">
        <f>IF(OR(C1630="",D1630=""),"",IFERROR(INDEX('Qida bazası'!$E$2:$E$103,MATCH(C1630,'Qida bazası'!$A$2:$A$103,0))*D1630/100,"?"))</f>
        <v/>
      </c>
      <c r="G1630" s="19">
        <f>IF(OR(C1630="",D1630=""),"",IFERROR(INDEX('Qida bazası'!$F$2:$F$103,MATCH(C1630,'Qida bazası'!$A$2:$A$103,0))*D1630/100,"?"))</f>
        <v/>
      </c>
      <c r="H1630" s="19">
        <f>IF(OR(C1630="",D1630=""),"",IFERROR(INDEX('Qida bazası'!$G$2:$G$103,MATCH(C1630,'Qida bazası'!$A$2:$A$103,0))*D1630/100,"?"))</f>
        <v/>
      </c>
    </row>
    <row r="1631">
      <c r="A1631" s="21" t="n"/>
      <c r="E1631" s="18">
        <f>IF(OR(C1631="",D1631=""),"",IFERROR(INDEX('Qida bazası'!$D$2:$D$103,MATCH(C1631,'Qida bazası'!$A$2:$A$103,0))*D1631/100,"?"))</f>
        <v/>
      </c>
      <c r="F1631" s="19">
        <f>IF(OR(C1631="",D1631=""),"",IFERROR(INDEX('Qida bazası'!$E$2:$E$103,MATCH(C1631,'Qida bazası'!$A$2:$A$103,0))*D1631/100,"?"))</f>
        <v/>
      </c>
      <c r="G1631" s="19">
        <f>IF(OR(C1631="",D1631=""),"",IFERROR(INDEX('Qida bazası'!$F$2:$F$103,MATCH(C1631,'Qida bazası'!$A$2:$A$103,0))*D1631/100,"?"))</f>
        <v/>
      </c>
      <c r="H1631" s="19">
        <f>IF(OR(C1631="",D1631=""),"",IFERROR(INDEX('Qida bazası'!$G$2:$G$103,MATCH(C1631,'Qida bazası'!$A$2:$A$103,0))*D1631/100,"?"))</f>
        <v/>
      </c>
    </row>
    <row r="1632">
      <c r="A1632" s="21" t="n"/>
      <c r="E1632" s="18">
        <f>IF(OR(C1632="",D1632=""),"",IFERROR(INDEX('Qida bazası'!$D$2:$D$103,MATCH(C1632,'Qida bazası'!$A$2:$A$103,0))*D1632/100,"?"))</f>
        <v/>
      </c>
      <c r="F1632" s="19">
        <f>IF(OR(C1632="",D1632=""),"",IFERROR(INDEX('Qida bazası'!$E$2:$E$103,MATCH(C1632,'Qida bazası'!$A$2:$A$103,0))*D1632/100,"?"))</f>
        <v/>
      </c>
      <c r="G1632" s="19">
        <f>IF(OR(C1632="",D1632=""),"",IFERROR(INDEX('Qida bazası'!$F$2:$F$103,MATCH(C1632,'Qida bazası'!$A$2:$A$103,0))*D1632/100,"?"))</f>
        <v/>
      </c>
      <c r="H1632" s="19">
        <f>IF(OR(C1632="",D1632=""),"",IFERROR(INDEX('Qida bazası'!$G$2:$G$103,MATCH(C1632,'Qida bazası'!$A$2:$A$103,0))*D1632/100,"?"))</f>
        <v/>
      </c>
    </row>
    <row r="1633">
      <c r="A1633" s="21" t="n"/>
      <c r="E1633" s="18">
        <f>IF(OR(C1633="",D1633=""),"",IFERROR(INDEX('Qida bazası'!$D$2:$D$103,MATCH(C1633,'Qida bazası'!$A$2:$A$103,0))*D1633/100,"?"))</f>
        <v/>
      </c>
      <c r="F1633" s="19">
        <f>IF(OR(C1633="",D1633=""),"",IFERROR(INDEX('Qida bazası'!$E$2:$E$103,MATCH(C1633,'Qida bazası'!$A$2:$A$103,0))*D1633/100,"?"))</f>
        <v/>
      </c>
      <c r="G1633" s="19">
        <f>IF(OR(C1633="",D1633=""),"",IFERROR(INDEX('Qida bazası'!$F$2:$F$103,MATCH(C1633,'Qida bazası'!$A$2:$A$103,0))*D1633/100,"?"))</f>
        <v/>
      </c>
      <c r="H1633" s="19">
        <f>IF(OR(C1633="",D1633=""),"",IFERROR(INDEX('Qida bazası'!$G$2:$G$103,MATCH(C1633,'Qida bazası'!$A$2:$A$103,0))*D1633/100,"?"))</f>
        <v/>
      </c>
    </row>
    <row r="1634">
      <c r="A1634" s="21" t="n"/>
      <c r="E1634" s="18">
        <f>IF(OR(C1634="",D1634=""),"",IFERROR(INDEX('Qida bazası'!$D$2:$D$103,MATCH(C1634,'Qida bazası'!$A$2:$A$103,0))*D1634/100,"?"))</f>
        <v/>
      </c>
      <c r="F1634" s="19">
        <f>IF(OR(C1634="",D1634=""),"",IFERROR(INDEX('Qida bazası'!$E$2:$E$103,MATCH(C1634,'Qida bazası'!$A$2:$A$103,0))*D1634/100,"?"))</f>
        <v/>
      </c>
      <c r="G1634" s="19">
        <f>IF(OR(C1634="",D1634=""),"",IFERROR(INDEX('Qida bazası'!$F$2:$F$103,MATCH(C1634,'Qida bazası'!$A$2:$A$103,0))*D1634/100,"?"))</f>
        <v/>
      </c>
      <c r="H1634" s="19">
        <f>IF(OR(C1634="",D1634=""),"",IFERROR(INDEX('Qida bazası'!$G$2:$G$103,MATCH(C1634,'Qida bazası'!$A$2:$A$103,0))*D1634/100,"?"))</f>
        <v/>
      </c>
    </row>
    <row r="1635">
      <c r="A1635" s="21" t="n"/>
      <c r="E1635" s="18">
        <f>IF(OR(C1635="",D1635=""),"",IFERROR(INDEX('Qida bazası'!$D$2:$D$103,MATCH(C1635,'Qida bazası'!$A$2:$A$103,0))*D1635/100,"?"))</f>
        <v/>
      </c>
      <c r="F1635" s="19">
        <f>IF(OR(C1635="",D1635=""),"",IFERROR(INDEX('Qida bazası'!$E$2:$E$103,MATCH(C1635,'Qida bazası'!$A$2:$A$103,0))*D1635/100,"?"))</f>
        <v/>
      </c>
      <c r="G1635" s="19">
        <f>IF(OR(C1635="",D1635=""),"",IFERROR(INDEX('Qida bazası'!$F$2:$F$103,MATCH(C1635,'Qida bazası'!$A$2:$A$103,0))*D1635/100,"?"))</f>
        <v/>
      </c>
      <c r="H1635" s="19">
        <f>IF(OR(C1635="",D1635=""),"",IFERROR(INDEX('Qida bazası'!$G$2:$G$103,MATCH(C1635,'Qida bazası'!$A$2:$A$103,0))*D1635/100,"?"))</f>
        <v/>
      </c>
    </row>
    <row r="1636">
      <c r="A1636" s="21" t="n"/>
      <c r="E1636" s="18">
        <f>IF(OR(C1636="",D1636=""),"",IFERROR(INDEX('Qida bazası'!$D$2:$D$103,MATCH(C1636,'Qida bazası'!$A$2:$A$103,0))*D1636/100,"?"))</f>
        <v/>
      </c>
      <c r="F1636" s="19">
        <f>IF(OR(C1636="",D1636=""),"",IFERROR(INDEX('Qida bazası'!$E$2:$E$103,MATCH(C1636,'Qida bazası'!$A$2:$A$103,0))*D1636/100,"?"))</f>
        <v/>
      </c>
      <c r="G1636" s="19">
        <f>IF(OR(C1636="",D1636=""),"",IFERROR(INDEX('Qida bazası'!$F$2:$F$103,MATCH(C1636,'Qida bazası'!$A$2:$A$103,0))*D1636/100,"?"))</f>
        <v/>
      </c>
      <c r="H1636" s="19">
        <f>IF(OR(C1636="",D1636=""),"",IFERROR(INDEX('Qida bazası'!$G$2:$G$103,MATCH(C1636,'Qida bazası'!$A$2:$A$103,0))*D1636/100,"?"))</f>
        <v/>
      </c>
    </row>
    <row r="1637">
      <c r="A1637" s="21" t="n"/>
      <c r="E1637" s="18">
        <f>IF(OR(C1637="",D1637=""),"",IFERROR(INDEX('Qida bazası'!$D$2:$D$103,MATCH(C1637,'Qida bazası'!$A$2:$A$103,0))*D1637/100,"?"))</f>
        <v/>
      </c>
      <c r="F1637" s="19">
        <f>IF(OR(C1637="",D1637=""),"",IFERROR(INDEX('Qida bazası'!$E$2:$E$103,MATCH(C1637,'Qida bazası'!$A$2:$A$103,0))*D1637/100,"?"))</f>
        <v/>
      </c>
      <c r="G1637" s="19">
        <f>IF(OR(C1637="",D1637=""),"",IFERROR(INDEX('Qida bazası'!$F$2:$F$103,MATCH(C1637,'Qida bazası'!$A$2:$A$103,0))*D1637/100,"?"))</f>
        <v/>
      </c>
      <c r="H1637" s="19">
        <f>IF(OR(C1637="",D1637=""),"",IFERROR(INDEX('Qida bazası'!$G$2:$G$103,MATCH(C1637,'Qida bazası'!$A$2:$A$103,0))*D1637/100,"?"))</f>
        <v/>
      </c>
    </row>
    <row r="1638">
      <c r="A1638" s="21" t="n"/>
      <c r="E1638" s="18">
        <f>IF(OR(C1638="",D1638=""),"",IFERROR(INDEX('Qida bazası'!$D$2:$D$103,MATCH(C1638,'Qida bazası'!$A$2:$A$103,0))*D1638/100,"?"))</f>
        <v/>
      </c>
      <c r="F1638" s="19">
        <f>IF(OR(C1638="",D1638=""),"",IFERROR(INDEX('Qida bazası'!$E$2:$E$103,MATCH(C1638,'Qida bazası'!$A$2:$A$103,0))*D1638/100,"?"))</f>
        <v/>
      </c>
      <c r="G1638" s="19">
        <f>IF(OR(C1638="",D1638=""),"",IFERROR(INDEX('Qida bazası'!$F$2:$F$103,MATCH(C1638,'Qida bazası'!$A$2:$A$103,0))*D1638/100,"?"))</f>
        <v/>
      </c>
      <c r="H1638" s="19">
        <f>IF(OR(C1638="",D1638=""),"",IFERROR(INDEX('Qida bazası'!$G$2:$G$103,MATCH(C1638,'Qida bazası'!$A$2:$A$103,0))*D1638/100,"?"))</f>
        <v/>
      </c>
    </row>
    <row r="1639">
      <c r="A1639" s="21" t="n"/>
      <c r="E1639" s="18">
        <f>IF(OR(C1639="",D1639=""),"",IFERROR(INDEX('Qida bazası'!$D$2:$D$103,MATCH(C1639,'Qida bazası'!$A$2:$A$103,0))*D1639/100,"?"))</f>
        <v/>
      </c>
      <c r="F1639" s="19">
        <f>IF(OR(C1639="",D1639=""),"",IFERROR(INDEX('Qida bazası'!$E$2:$E$103,MATCH(C1639,'Qida bazası'!$A$2:$A$103,0))*D1639/100,"?"))</f>
        <v/>
      </c>
      <c r="G1639" s="19">
        <f>IF(OR(C1639="",D1639=""),"",IFERROR(INDEX('Qida bazası'!$F$2:$F$103,MATCH(C1639,'Qida bazası'!$A$2:$A$103,0))*D1639/100,"?"))</f>
        <v/>
      </c>
      <c r="H1639" s="19">
        <f>IF(OR(C1639="",D1639=""),"",IFERROR(INDEX('Qida bazası'!$G$2:$G$103,MATCH(C1639,'Qida bazası'!$A$2:$A$103,0))*D1639/100,"?"))</f>
        <v/>
      </c>
    </row>
    <row r="1640">
      <c r="A1640" s="21" t="n"/>
      <c r="E1640" s="18">
        <f>IF(OR(C1640="",D1640=""),"",IFERROR(INDEX('Qida bazası'!$D$2:$D$103,MATCH(C1640,'Qida bazası'!$A$2:$A$103,0))*D1640/100,"?"))</f>
        <v/>
      </c>
      <c r="F1640" s="19">
        <f>IF(OR(C1640="",D1640=""),"",IFERROR(INDEX('Qida bazası'!$E$2:$E$103,MATCH(C1640,'Qida bazası'!$A$2:$A$103,0))*D1640/100,"?"))</f>
        <v/>
      </c>
      <c r="G1640" s="19">
        <f>IF(OR(C1640="",D1640=""),"",IFERROR(INDEX('Qida bazası'!$F$2:$F$103,MATCH(C1640,'Qida bazası'!$A$2:$A$103,0))*D1640/100,"?"))</f>
        <v/>
      </c>
      <c r="H1640" s="19">
        <f>IF(OR(C1640="",D1640=""),"",IFERROR(INDEX('Qida bazası'!$G$2:$G$103,MATCH(C1640,'Qida bazası'!$A$2:$A$103,0))*D1640/100,"?"))</f>
        <v/>
      </c>
    </row>
    <row r="1641">
      <c r="A1641" s="21" t="n"/>
      <c r="E1641" s="18">
        <f>IF(OR(C1641="",D1641=""),"",IFERROR(INDEX('Qida bazası'!$D$2:$D$103,MATCH(C1641,'Qida bazası'!$A$2:$A$103,0))*D1641/100,"?"))</f>
        <v/>
      </c>
      <c r="F1641" s="19">
        <f>IF(OR(C1641="",D1641=""),"",IFERROR(INDEX('Qida bazası'!$E$2:$E$103,MATCH(C1641,'Qida bazası'!$A$2:$A$103,0))*D1641/100,"?"))</f>
        <v/>
      </c>
      <c r="G1641" s="19">
        <f>IF(OR(C1641="",D1641=""),"",IFERROR(INDEX('Qida bazası'!$F$2:$F$103,MATCH(C1641,'Qida bazası'!$A$2:$A$103,0))*D1641/100,"?"))</f>
        <v/>
      </c>
      <c r="H1641" s="19">
        <f>IF(OR(C1641="",D1641=""),"",IFERROR(INDEX('Qida bazası'!$G$2:$G$103,MATCH(C1641,'Qida bazası'!$A$2:$A$103,0))*D1641/100,"?"))</f>
        <v/>
      </c>
    </row>
    <row r="1642">
      <c r="A1642" s="21" t="n"/>
      <c r="E1642" s="18">
        <f>IF(OR(C1642="",D1642=""),"",IFERROR(INDEX('Qida bazası'!$D$2:$D$103,MATCH(C1642,'Qida bazası'!$A$2:$A$103,0))*D1642/100,"?"))</f>
        <v/>
      </c>
      <c r="F1642" s="19">
        <f>IF(OR(C1642="",D1642=""),"",IFERROR(INDEX('Qida bazası'!$E$2:$E$103,MATCH(C1642,'Qida bazası'!$A$2:$A$103,0))*D1642/100,"?"))</f>
        <v/>
      </c>
      <c r="G1642" s="19">
        <f>IF(OR(C1642="",D1642=""),"",IFERROR(INDEX('Qida bazası'!$F$2:$F$103,MATCH(C1642,'Qida bazası'!$A$2:$A$103,0))*D1642/100,"?"))</f>
        <v/>
      </c>
      <c r="H1642" s="19">
        <f>IF(OR(C1642="",D1642=""),"",IFERROR(INDEX('Qida bazası'!$G$2:$G$103,MATCH(C1642,'Qida bazası'!$A$2:$A$103,0))*D1642/100,"?"))</f>
        <v/>
      </c>
    </row>
    <row r="1643">
      <c r="A1643" s="21" t="n"/>
      <c r="E1643" s="18">
        <f>IF(OR(C1643="",D1643=""),"",IFERROR(INDEX('Qida bazası'!$D$2:$D$103,MATCH(C1643,'Qida bazası'!$A$2:$A$103,0))*D1643/100,"?"))</f>
        <v/>
      </c>
      <c r="F1643" s="19">
        <f>IF(OR(C1643="",D1643=""),"",IFERROR(INDEX('Qida bazası'!$E$2:$E$103,MATCH(C1643,'Qida bazası'!$A$2:$A$103,0))*D1643/100,"?"))</f>
        <v/>
      </c>
      <c r="G1643" s="19">
        <f>IF(OR(C1643="",D1643=""),"",IFERROR(INDEX('Qida bazası'!$F$2:$F$103,MATCH(C1643,'Qida bazası'!$A$2:$A$103,0))*D1643/100,"?"))</f>
        <v/>
      </c>
      <c r="H1643" s="19">
        <f>IF(OR(C1643="",D1643=""),"",IFERROR(INDEX('Qida bazası'!$G$2:$G$103,MATCH(C1643,'Qida bazası'!$A$2:$A$103,0))*D1643/100,"?"))</f>
        <v/>
      </c>
    </row>
    <row r="1644">
      <c r="A1644" s="21" t="n"/>
      <c r="E1644" s="18">
        <f>IF(OR(C1644="",D1644=""),"",IFERROR(INDEX('Qida bazası'!$D$2:$D$103,MATCH(C1644,'Qida bazası'!$A$2:$A$103,0))*D1644/100,"?"))</f>
        <v/>
      </c>
      <c r="F1644" s="19">
        <f>IF(OR(C1644="",D1644=""),"",IFERROR(INDEX('Qida bazası'!$E$2:$E$103,MATCH(C1644,'Qida bazası'!$A$2:$A$103,0))*D1644/100,"?"))</f>
        <v/>
      </c>
      <c r="G1644" s="19">
        <f>IF(OR(C1644="",D1644=""),"",IFERROR(INDEX('Qida bazası'!$F$2:$F$103,MATCH(C1644,'Qida bazası'!$A$2:$A$103,0))*D1644/100,"?"))</f>
        <v/>
      </c>
      <c r="H1644" s="19">
        <f>IF(OR(C1644="",D1644=""),"",IFERROR(INDEX('Qida bazası'!$G$2:$G$103,MATCH(C1644,'Qida bazası'!$A$2:$A$103,0))*D1644/100,"?"))</f>
        <v/>
      </c>
    </row>
    <row r="1645">
      <c r="A1645" s="21" t="n"/>
      <c r="E1645" s="18">
        <f>IF(OR(C1645="",D1645=""),"",IFERROR(INDEX('Qida bazası'!$D$2:$D$103,MATCH(C1645,'Qida bazası'!$A$2:$A$103,0))*D1645/100,"?"))</f>
        <v/>
      </c>
      <c r="F1645" s="19">
        <f>IF(OR(C1645="",D1645=""),"",IFERROR(INDEX('Qida bazası'!$E$2:$E$103,MATCH(C1645,'Qida bazası'!$A$2:$A$103,0))*D1645/100,"?"))</f>
        <v/>
      </c>
      <c r="G1645" s="19">
        <f>IF(OR(C1645="",D1645=""),"",IFERROR(INDEX('Qida bazası'!$F$2:$F$103,MATCH(C1645,'Qida bazası'!$A$2:$A$103,0))*D1645/100,"?"))</f>
        <v/>
      </c>
      <c r="H1645" s="19">
        <f>IF(OR(C1645="",D1645=""),"",IFERROR(INDEX('Qida bazası'!$G$2:$G$103,MATCH(C1645,'Qida bazası'!$A$2:$A$103,0))*D1645/100,"?"))</f>
        <v/>
      </c>
    </row>
    <row r="1646">
      <c r="A1646" s="21" t="n"/>
      <c r="E1646" s="18">
        <f>IF(OR(C1646="",D1646=""),"",IFERROR(INDEX('Qida bazası'!$D$2:$D$103,MATCH(C1646,'Qida bazası'!$A$2:$A$103,0))*D1646/100,"?"))</f>
        <v/>
      </c>
      <c r="F1646" s="19">
        <f>IF(OR(C1646="",D1646=""),"",IFERROR(INDEX('Qida bazası'!$E$2:$E$103,MATCH(C1646,'Qida bazası'!$A$2:$A$103,0))*D1646/100,"?"))</f>
        <v/>
      </c>
      <c r="G1646" s="19">
        <f>IF(OR(C1646="",D1646=""),"",IFERROR(INDEX('Qida bazası'!$F$2:$F$103,MATCH(C1646,'Qida bazası'!$A$2:$A$103,0))*D1646/100,"?"))</f>
        <v/>
      </c>
      <c r="H1646" s="19">
        <f>IF(OR(C1646="",D1646=""),"",IFERROR(INDEX('Qida bazası'!$G$2:$G$103,MATCH(C1646,'Qida bazası'!$A$2:$A$103,0))*D1646/100,"?"))</f>
        <v/>
      </c>
    </row>
    <row r="1647">
      <c r="A1647" s="21" t="n"/>
      <c r="E1647" s="18">
        <f>IF(OR(C1647="",D1647=""),"",IFERROR(INDEX('Qida bazası'!$D$2:$D$103,MATCH(C1647,'Qida bazası'!$A$2:$A$103,0))*D1647/100,"?"))</f>
        <v/>
      </c>
      <c r="F1647" s="19">
        <f>IF(OR(C1647="",D1647=""),"",IFERROR(INDEX('Qida bazası'!$E$2:$E$103,MATCH(C1647,'Qida bazası'!$A$2:$A$103,0))*D1647/100,"?"))</f>
        <v/>
      </c>
      <c r="G1647" s="19">
        <f>IF(OR(C1647="",D1647=""),"",IFERROR(INDEX('Qida bazası'!$F$2:$F$103,MATCH(C1647,'Qida bazası'!$A$2:$A$103,0))*D1647/100,"?"))</f>
        <v/>
      </c>
      <c r="H1647" s="19">
        <f>IF(OR(C1647="",D1647=""),"",IFERROR(INDEX('Qida bazası'!$G$2:$G$103,MATCH(C1647,'Qida bazası'!$A$2:$A$103,0))*D1647/100,"?"))</f>
        <v/>
      </c>
    </row>
    <row r="1648">
      <c r="A1648" s="21" t="n"/>
      <c r="E1648" s="18">
        <f>IF(OR(C1648="",D1648=""),"",IFERROR(INDEX('Qida bazası'!$D$2:$D$103,MATCH(C1648,'Qida bazası'!$A$2:$A$103,0))*D1648/100,"?"))</f>
        <v/>
      </c>
      <c r="F1648" s="19">
        <f>IF(OR(C1648="",D1648=""),"",IFERROR(INDEX('Qida bazası'!$E$2:$E$103,MATCH(C1648,'Qida bazası'!$A$2:$A$103,0))*D1648/100,"?"))</f>
        <v/>
      </c>
      <c r="G1648" s="19">
        <f>IF(OR(C1648="",D1648=""),"",IFERROR(INDEX('Qida bazası'!$F$2:$F$103,MATCH(C1648,'Qida bazası'!$A$2:$A$103,0))*D1648/100,"?"))</f>
        <v/>
      </c>
      <c r="H1648" s="19">
        <f>IF(OR(C1648="",D1648=""),"",IFERROR(INDEX('Qida bazası'!$G$2:$G$103,MATCH(C1648,'Qida bazası'!$A$2:$A$103,0))*D1648/100,"?"))</f>
        <v/>
      </c>
    </row>
    <row r="1649">
      <c r="A1649" s="21" t="n"/>
      <c r="E1649" s="18">
        <f>IF(OR(C1649="",D1649=""),"",IFERROR(INDEX('Qida bazası'!$D$2:$D$103,MATCH(C1649,'Qida bazası'!$A$2:$A$103,0))*D1649/100,"?"))</f>
        <v/>
      </c>
      <c r="F1649" s="19">
        <f>IF(OR(C1649="",D1649=""),"",IFERROR(INDEX('Qida bazası'!$E$2:$E$103,MATCH(C1649,'Qida bazası'!$A$2:$A$103,0))*D1649/100,"?"))</f>
        <v/>
      </c>
      <c r="G1649" s="19">
        <f>IF(OR(C1649="",D1649=""),"",IFERROR(INDEX('Qida bazası'!$F$2:$F$103,MATCH(C1649,'Qida bazası'!$A$2:$A$103,0))*D1649/100,"?"))</f>
        <v/>
      </c>
      <c r="H1649" s="19">
        <f>IF(OR(C1649="",D1649=""),"",IFERROR(INDEX('Qida bazası'!$G$2:$G$103,MATCH(C1649,'Qida bazası'!$A$2:$A$103,0))*D1649/100,"?"))</f>
        <v/>
      </c>
    </row>
    <row r="1650">
      <c r="A1650" s="21" t="n"/>
      <c r="E1650" s="18">
        <f>IF(OR(C1650="",D1650=""),"",IFERROR(INDEX('Qida bazası'!$D$2:$D$103,MATCH(C1650,'Qida bazası'!$A$2:$A$103,0))*D1650/100,"?"))</f>
        <v/>
      </c>
      <c r="F1650" s="19">
        <f>IF(OR(C1650="",D1650=""),"",IFERROR(INDEX('Qida bazası'!$E$2:$E$103,MATCH(C1650,'Qida bazası'!$A$2:$A$103,0))*D1650/100,"?"))</f>
        <v/>
      </c>
      <c r="G1650" s="19">
        <f>IF(OR(C1650="",D1650=""),"",IFERROR(INDEX('Qida bazası'!$F$2:$F$103,MATCH(C1650,'Qida bazası'!$A$2:$A$103,0))*D1650/100,"?"))</f>
        <v/>
      </c>
      <c r="H1650" s="19">
        <f>IF(OR(C1650="",D1650=""),"",IFERROR(INDEX('Qida bazası'!$G$2:$G$103,MATCH(C1650,'Qida bazası'!$A$2:$A$103,0))*D1650/100,"?"))</f>
        <v/>
      </c>
    </row>
    <row r="1651">
      <c r="A1651" s="21" t="n"/>
      <c r="E1651" s="18">
        <f>IF(OR(C1651="",D1651=""),"",IFERROR(INDEX('Qida bazası'!$D$2:$D$103,MATCH(C1651,'Qida bazası'!$A$2:$A$103,0))*D1651/100,"?"))</f>
        <v/>
      </c>
      <c r="F1651" s="19">
        <f>IF(OR(C1651="",D1651=""),"",IFERROR(INDEX('Qida bazası'!$E$2:$E$103,MATCH(C1651,'Qida bazası'!$A$2:$A$103,0))*D1651/100,"?"))</f>
        <v/>
      </c>
      <c r="G1651" s="19">
        <f>IF(OR(C1651="",D1651=""),"",IFERROR(INDEX('Qida bazası'!$F$2:$F$103,MATCH(C1651,'Qida bazası'!$A$2:$A$103,0))*D1651/100,"?"))</f>
        <v/>
      </c>
      <c r="H1651" s="19">
        <f>IF(OR(C1651="",D1651=""),"",IFERROR(INDEX('Qida bazası'!$G$2:$G$103,MATCH(C1651,'Qida bazası'!$A$2:$A$103,0))*D1651/100,"?"))</f>
        <v/>
      </c>
    </row>
    <row r="1652">
      <c r="A1652" s="21" t="n"/>
      <c r="E1652" s="18">
        <f>IF(OR(C1652="",D1652=""),"",IFERROR(INDEX('Qida bazası'!$D$2:$D$103,MATCH(C1652,'Qida bazası'!$A$2:$A$103,0))*D1652/100,"?"))</f>
        <v/>
      </c>
      <c r="F1652" s="19">
        <f>IF(OR(C1652="",D1652=""),"",IFERROR(INDEX('Qida bazası'!$E$2:$E$103,MATCH(C1652,'Qida bazası'!$A$2:$A$103,0))*D1652/100,"?"))</f>
        <v/>
      </c>
      <c r="G1652" s="19">
        <f>IF(OR(C1652="",D1652=""),"",IFERROR(INDEX('Qida bazası'!$F$2:$F$103,MATCH(C1652,'Qida bazası'!$A$2:$A$103,0))*D1652/100,"?"))</f>
        <v/>
      </c>
      <c r="H1652" s="19">
        <f>IF(OR(C1652="",D1652=""),"",IFERROR(INDEX('Qida bazası'!$G$2:$G$103,MATCH(C1652,'Qida bazası'!$A$2:$A$103,0))*D1652/100,"?"))</f>
        <v/>
      </c>
    </row>
    <row r="1653">
      <c r="A1653" s="21" t="n"/>
      <c r="E1653" s="18">
        <f>IF(OR(C1653="",D1653=""),"",IFERROR(INDEX('Qida bazası'!$D$2:$D$103,MATCH(C1653,'Qida bazası'!$A$2:$A$103,0))*D1653/100,"?"))</f>
        <v/>
      </c>
      <c r="F1653" s="19">
        <f>IF(OR(C1653="",D1653=""),"",IFERROR(INDEX('Qida bazası'!$E$2:$E$103,MATCH(C1653,'Qida bazası'!$A$2:$A$103,0))*D1653/100,"?"))</f>
        <v/>
      </c>
      <c r="G1653" s="19">
        <f>IF(OR(C1653="",D1653=""),"",IFERROR(INDEX('Qida bazası'!$F$2:$F$103,MATCH(C1653,'Qida bazası'!$A$2:$A$103,0))*D1653/100,"?"))</f>
        <v/>
      </c>
      <c r="H1653" s="19">
        <f>IF(OR(C1653="",D1653=""),"",IFERROR(INDEX('Qida bazası'!$G$2:$G$103,MATCH(C1653,'Qida bazası'!$A$2:$A$103,0))*D1653/100,"?"))</f>
        <v/>
      </c>
    </row>
    <row r="1654">
      <c r="A1654" s="21" t="n"/>
      <c r="E1654" s="18">
        <f>IF(OR(C1654="",D1654=""),"",IFERROR(INDEX('Qida bazası'!$D$2:$D$103,MATCH(C1654,'Qida bazası'!$A$2:$A$103,0))*D1654/100,"?"))</f>
        <v/>
      </c>
      <c r="F1654" s="19">
        <f>IF(OR(C1654="",D1654=""),"",IFERROR(INDEX('Qida bazası'!$E$2:$E$103,MATCH(C1654,'Qida bazası'!$A$2:$A$103,0))*D1654/100,"?"))</f>
        <v/>
      </c>
      <c r="G1654" s="19">
        <f>IF(OR(C1654="",D1654=""),"",IFERROR(INDEX('Qida bazası'!$F$2:$F$103,MATCH(C1654,'Qida bazası'!$A$2:$A$103,0))*D1654/100,"?"))</f>
        <v/>
      </c>
      <c r="H1654" s="19">
        <f>IF(OR(C1654="",D1654=""),"",IFERROR(INDEX('Qida bazası'!$G$2:$G$103,MATCH(C1654,'Qida bazası'!$A$2:$A$103,0))*D1654/100,"?"))</f>
        <v/>
      </c>
    </row>
    <row r="1655">
      <c r="A1655" s="21" t="n"/>
      <c r="E1655" s="18">
        <f>IF(OR(C1655="",D1655=""),"",IFERROR(INDEX('Qida bazası'!$D$2:$D$103,MATCH(C1655,'Qida bazası'!$A$2:$A$103,0))*D1655/100,"?"))</f>
        <v/>
      </c>
      <c r="F1655" s="19">
        <f>IF(OR(C1655="",D1655=""),"",IFERROR(INDEX('Qida bazası'!$E$2:$E$103,MATCH(C1655,'Qida bazası'!$A$2:$A$103,0))*D1655/100,"?"))</f>
        <v/>
      </c>
      <c r="G1655" s="19">
        <f>IF(OR(C1655="",D1655=""),"",IFERROR(INDEX('Qida bazası'!$F$2:$F$103,MATCH(C1655,'Qida bazası'!$A$2:$A$103,0))*D1655/100,"?"))</f>
        <v/>
      </c>
      <c r="H1655" s="19">
        <f>IF(OR(C1655="",D1655=""),"",IFERROR(INDEX('Qida bazası'!$G$2:$G$103,MATCH(C1655,'Qida bazası'!$A$2:$A$103,0))*D1655/100,"?"))</f>
        <v/>
      </c>
    </row>
    <row r="1656">
      <c r="A1656" s="21" t="n"/>
      <c r="E1656" s="18">
        <f>IF(OR(C1656="",D1656=""),"",IFERROR(INDEX('Qida bazası'!$D$2:$D$103,MATCH(C1656,'Qida bazası'!$A$2:$A$103,0))*D1656/100,"?"))</f>
        <v/>
      </c>
      <c r="F1656" s="19">
        <f>IF(OR(C1656="",D1656=""),"",IFERROR(INDEX('Qida bazası'!$E$2:$E$103,MATCH(C1656,'Qida bazası'!$A$2:$A$103,0))*D1656/100,"?"))</f>
        <v/>
      </c>
      <c r="G1656" s="19">
        <f>IF(OR(C1656="",D1656=""),"",IFERROR(INDEX('Qida bazası'!$F$2:$F$103,MATCH(C1656,'Qida bazası'!$A$2:$A$103,0))*D1656/100,"?"))</f>
        <v/>
      </c>
      <c r="H1656" s="19">
        <f>IF(OR(C1656="",D1656=""),"",IFERROR(INDEX('Qida bazası'!$G$2:$G$103,MATCH(C1656,'Qida bazası'!$A$2:$A$103,0))*D1656/100,"?"))</f>
        <v/>
      </c>
    </row>
    <row r="1657">
      <c r="A1657" s="21" t="n"/>
      <c r="E1657" s="18">
        <f>IF(OR(C1657="",D1657=""),"",IFERROR(INDEX('Qida bazası'!$D$2:$D$103,MATCH(C1657,'Qida bazası'!$A$2:$A$103,0))*D1657/100,"?"))</f>
        <v/>
      </c>
      <c r="F1657" s="19">
        <f>IF(OR(C1657="",D1657=""),"",IFERROR(INDEX('Qida bazası'!$E$2:$E$103,MATCH(C1657,'Qida bazası'!$A$2:$A$103,0))*D1657/100,"?"))</f>
        <v/>
      </c>
      <c r="G1657" s="19">
        <f>IF(OR(C1657="",D1657=""),"",IFERROR(INDEX('Qida bazası'!$F$2:$F$103,MATCH(C1657,'Qida bazası'!$A$2:$A$103,0))*D1657/100,"?"))</f>
        <v/>
      </c>
      <c r="H1657" s="19">
        <f>IF(OR(C1657="",D1657=""),"",IFERROR(INDEX('Qida bazası'!$G$2:$G$103,MATCH(C1657,'Qida bazası'!$A$2:$A$103,0))*D1657/100,"?"))</f>
        <v/>
      </c>
    </row>
    <row r="1658">
      <c r="A1658" s="21" t="n"/>
      <c r="E1658" s="18">
        <f>IF(OR(C1658="",D1658=""),"",IFERROR(INDEX('Qida bazası'!$D$2:$D$103,MATCH(C1658,'Qida bazası'!$A$2:$A$103,0))*D1658/100,"?"))</f>
        <v/>
      </c>
      <c r="F1658" s="19">
        <f>IF(OR(C1658="",D1658=""),"",IFERROR(INDEX('Qida bazası'!$E$2:$E$103,MATCH(C1658,'Qida bazası'!$A$2:$A$103,0))*D1658/100,"?"))</f>
        <v/>
      </c>
      <c r="G1658" s="19">
        <f>IF(OR(C1658="",D1658=""),"",IFERROR(INDEX('Qida bazası'!$F$2:$F$103,MATCH(C1658,'Qida bazası'!$A$2:$A$103,0))*D1658/100,"?"))</f>
        <v/>
      </c>
      <c r="H1658" s="19">
        <f>IF(OR(C1658="",D1658=""),"",IFERROR(INDEX('Qida bazası'!$G$2:$G$103,MATCH(C1658,'Qida bazası'!$A$2:$A$103,0))*D1658/100,"?"))</f>
        <v/>
      </c>
    </row>
    <row r="1659">
      <c r="A1659" s="21" t="n"/>
      <c r="E1659" s="18">
        <f>IF(OR(C1659="",D1659=""),"",IFERROR(INDEX('Qida bazası'!$D$2:$D$103,MATCH(C1659,'Qida bazası'!$A$2:$A$103,0))*D1659/100,"?"))</f>
        <v/>
      </c>
      <c r="F1659" s="19">
        <f>IF(OR(C1659="",D1659=""),"",IFERROR(INDEX('Qida bazası'!$E$2:$E$103,MATCH(C1659,'Qida bazası'!$A$2:$A$103,0))*D1659/100,"?"))</f>
        <v/>
      </c>
      <c r="G1659" s="19">
        <f>IF(OR(C1659="",D1659=""),"",IFERROR(INDEX('Qida bazası'!$F$2:$F$103,MATCH(C1659,'Qida bazası'!$A$2:$A$103,0))*D1659/100,"?"))</f>
        <v/>
      </c>
      <c r="H1659" s="19">
        <f>IF(OR(C1659="",D1659=""),"",IFERROR(INDEX('Qida bazası'!$G$2:$G$103,MATCH(C1659,'Qida bazası'!$A$2:$A$103,0))*D1659/100,"?"))</f>
        <v/>
      </c>
    </row>
    <row r="1660">
      <c r="A1660" s="21" t="n"/>
      <c r="E1660" s="18">
        <f>IF(OR(C1660="",D1660=""),"",IFERROR(INDEX('Qida bazası'!$D$2:$D$103,MATCH(C1660,'Qida bazası'!$A$2:$A$103,0))*D1660/100,"?"))</f>
        <v/>
      </c>
      <c r="F1660" s="19">
        <f>IF(OR(C1660="",D1660=""),"",IFERROR(INDEX('Qida bazası'!$E$2:$E$103,MATCH(C1660,'Qida bazası'!$A$2:$A$103,0))*D1660/100,"?"))</f>
        <v/>
      </c>
      <c r="G1660" s="19">
        <f>IF(OR(C1660="",D1660=""),"",IFERROR(INDEX('Qida bazası'!$F$2:$F$103,MATCH(C1660,'Qida bazası'!$A$2:$A$103,0))*D1660/100,"?"))</f>
        <v/>
      </c>
      <c r="H1660" s="19">
        <f>IF(OR(C1660="",D1660=""),"",IFERROR(INDEX('Qida bazası'!$G$2:$G$103,MATCH(C1660,'Qida bazası'!$A$2:$A$103,0))*D1660/100,"?"))</f>
        <v/>
      </c>
    </row>
    <row r="1661">
      <c r="A1661" s="21" t="n"/>
      <c r="E1661" s="18">
        <f>IF(OR(C1661="",D1661=""),"",IFERROR(INDEX('Qida bazası'!$D$2:$D$103,MATCH(C1661,'Qida bazası'!$A$2:$A$103,0))*D1661/100,"?"))</f>
        <v/>
      </c>
      <c r="F1661" s="19">
        <f>IF(OR(C1661="",D1661=""),"",IFERROR(INDEX('Qida bazası'!$E$2:$E$103,MATCH(C1661,'Qida bazası'!$A$2:$A$103,0))*D1661/100,"?"))</f>
        <v/>
      </c>
      <c r="G1661" s="19">
        <f>IF(OR(C1661="",D1661=""),"",IFERROR(INDEX('Qida bazası'!$F$2:$F$103,MATCH(C1661,'Qida bazası'!$A$2:$A$103,0))*D1661/100,"?"))</f>
        <v/>
      </c>
      <c r="H1661" s="19">
        <f>IF(OR(C1661="",D1661=""),"",IFERROR(INDEX('Qida bazası'!$G$2:$G$103,MATCH(C1661,'Qida bazası'!$A$2:$A$103,0))*D1661/100,"?"))</f>
        <v/>
      </c>
    </row>
    <row r="1662">
      <c r="A1662" s="21" t="n"/>
      <c r="E1662" s="18">
        <f>IF(OR(C1662="",D1662=""),"",IFERROR(INDEX('Qida bazası'!$D$2:$D$103,MATCH(C1662,'Qida bazası'!$A$2:$A$103,0))*D1662/100,"?"))</f>
        <v/>
      </c>
      <c r="F1662" s="19">
        <f>IF(OR(C1662="",D1662=""),"",IFERROR(INDEX('Qida bazası'!$E$2:$E$103,MATCH(C1662,'Qida bazası'!$A$2:$A$103,0))*D1662/100,"?"))</f>
        <v/>
      </c>
      <c r="G1662" s="19">
        <f>IF(OR(C1662="",D1662=""),"",IFERROR(INDEX('Qida bazası'!$F$2:$F$103,MATCH(C1662,'Qida bazası'!$A$2:$A$103,0))*D1662/100,"?"))</f>
        <v/>
      </c>
      <c r="H1662" s="19">
        <f>IF(OR(C1662="",D1662=""),"",IFERROR(INDEX('Qida bazası'!$G$2:$G$103,MATCH(C1662,'Qida bazası'!$A$2:$A$103,0))*D1662/100,"?"))</f>
        <v/>
      </c>
    </row>
    <row r="1663">
      <c r="A1663" s="21" t="n"/>
      <c r="E1663" s="18">
        <f>IF(OR(C1663="",D1663=""),"",IFERROR(INDEX('Qida bazası'!$D$2:$D$103,MATCH(C1663,'Qida bazası'!$A$2:$A$103,0))*D1663/100,"?"))</f>
        <v/>
      </c>
      <c r="F1663" s="19">
        <f>IF(OR(C1663="",D1663=""),"",IFERROR(INDEX('Qida bazası'!$E$2:$E$103,MATCH(C1663,'Qida bazası'!$A$2:$A$103,0))*D1663/100,"?"))</f>
        <v/>
      </c>
      <c r="G1663" s="19">
        <f>IF(OR(C1663="",D1663=""),"",IFERROR(INDEX('Qida bazası'!$F$2:$F$103,MATCH(C1663,'Qida bazası'!$A$2:$A$103,0))*D1663/100,"?"))</f>
        <v/>
      </c>
      <c r="H1663" s="19">
        <f>IF(OR(C1663="",D1663=""),"",IFERROR(INDEX('Qida bazası'!$G$2:$G$103,MATCH(C1663,'Qida bazası'!$A$2:$A$103,0))*D1663/100,"?"))</f>
        <v/>
      </c>
    </row>
    <row r="1664">
      <c r="A1664" s="21" t="n"/>
      <c r="E1664" s="18">
        <f>IF(OR(C1664="",D1664=""),"",IFERROR(INDEX('Qida bazası'!$D$2:$D$103,MATCH(C1664,'Qida bazası'!$A$2:$A$103,0))*D1664/100,"?"))</f>
        <v/>
      </c>
      <c r="F1664" s="19">
        <f>IF(OR(C1664="",D1664=""),"",IFERROR(INDEX('Qida bazası'!$E$2:$E$103,MATCH(C1664,'Qida bazası'!$A$2:$A$103,0))*D1664/100,"?"))</f>
        <v/>
      </c>
      <c r="G1664" s="19">
        <f>IF(OR(C1664="",D1664=""),"",IFERROR(INDEX('Qida bazası'!$F$2:$F$103,MATCH(C1664,'Qida bazası'!$A$2:$A$103,0))*D1664/100,"?"))</f>
        <v/>
      </c>
      <c r="H1664" s="19">
        <f>IF(OR(C1664="",D1664=""),"",IFERROR(INDEX('Qida bazası'!$G$2:$G$103,MATCH(C1664,'Qida bazası'!$A$2:$A$103,0))*D1664/100,"?"))</f>
        <v/>
      </c>
    </row>
    <row r="1665">
      <c r="A1665" s="21" t="n"/>
      <c r="E1665" s="18">
        <f>IF(OR(C1665="",D1665=""),"",IFERROR(INDEX('Qida bazası'!$D$2:$D$103,MATCH(C1665,'Qida bazası'!$A$2:$A$103,0))*D1665/100,"?"))</f>
        <v/>
      </c>
      <c r="F1665" s="19">
        <f>IF(OR(C1665="",D1665=""),"",IFERROR(INDEX('Qida bazası'!$E$2:$E$103,MATCH(C1665,'Qida bazası'!$A$2:$A$103,0))*D1665/100,"?"))</f>
        <v/>
      </c>
      <c r="G1665" s="19">
        <f>IF(OR(C1665="",D1665=""),"",IFERROR(INDEX('Qida bazası'!$F$2:$F$103,MATCH(C1665,'Qida bazası'!$A$2:$A$103,0))*D1665/100,"?"))</f>
        <v/>
      </c>
      <c r="H1665" s="19">
        <f>IF(OR(C1665="",D1665=""),"",IFERROR(INDEX('Qida bazası'!$G$2:$G$103,MATCH(C1665,'Qida bazası'!$A$2:$A$103,0))*D1665/100,"?"))</f>
        <v/>
      </c>
    </row>
    <row r="1666">
      <c r="A1666" s="21" t="n"/>
      <c r="E1666" s="18">
        <f>IF(OR(C1666="",D1666=""),"",IFERROR(INDEX('Qida bazası'!$D$2:$D$103,MATCH(C1666,'Qida bazası'!$A$2:$A$103,0))*D1666/100,"?"))</f>
        <v/>
      </c>
      <c r="F1666" s="19">
        <f>IF(OR(C1666="",D1666=""),"",IFERROR(INDEX('Qida bazası'!$E$2:$E$103,MATCH(C1666,'Qida bazası'!$A$2:$A$103,0))*D1666/100,"?"))</f>
        <v/>
      </c>
      <c r="G1666" s="19">
        <f>IF(OR(C1666="",D1666=""),"",IFERROR(INDEX('Qida bazası'!$F$2:$F$103,MATCH(C1666,'Qida bazası'!$A$2:$A$103,0))*D1666/100,"?"))</f>
        <v/>
      </c>
      <c r="H1666" s="19">
        <f>IF(OR(C1666="",D1666=""),"",IFERROR(INDEX('Qida bazası'!$G$2:$G$103,MATCH(C1666,'Qida bazası'!$A$2:$A$103,0))*D1666/100,"?"))</f>
        <v/>
      </c>
    </row>
    <row r="1667">
      <c r="A1667" s="21" t="n"/>
      <c r="E1667" s="18">
        <f>IF(OR(C1667="",D1667=""),"",IFERROR(INDEX('Qida bazası'!$D$2:$D$103,MATCH(C1667,'Qida bazası'!$A$2:$A$103,0))*D1667/100,"?"))</f>
        <v/>
      </c>
      <c r="F1667" s="19">
        <f>IF(OR(C1667="",D1667=""),"",IFERROR(INDEX('Qida bazası'!$E$2:$E$103,MATCH(C1667,'Qida bazası'!$A$2:$A$103,0))*D1667/100,"?"))</f>
        <v/>
      </c>
      <c r="G1667" s="19">
        <f>IF(OR(C1667="",D1667=""),"",IFERROR(INDEX('Qida bazası'!$F$2:$F$103,MATCH(C1667,'Qida bazası'!$A$2:$A$103,0))*D1667/100,"?"))</f>
        <v/>
      </c>
      <c r="H1667" s="19">
        <f>IF(OR(C1667="",D1667=""),"",IFERROR(INDEX('Qida bazası'!$G$2:$G$103,MATCH(C1667,'Qida bazası'!$A$2:$A$103,0))*D1667/100,"?"))</f>
        <v/>
      </c>
    </row>
    <row r="1668">
      <c r="A1668" s="21" t="n"/>
      <c r="E1668" s="18">
        <f>IF(OR(C1668="",D1668=""),"",IFERROR(INDEX('Qida bazası'!$D$2:$D$103,MATCH(C1668,'Qida bazası'!$A$2:$A$103,0))*D1668/100,"?"))</f>
        <v/>
      </c>
      <c r="F1668" s="19">
        <f>IF(OR(C1668="",D1668=""),"",IFERROR(INDEX('Qida bazası'!$E$2:$E$103,MATCH(C1668,'Qida bazası'!$A$2:$A$103,0))*D1668/100,"?"))</f>
        <v/>
      </c>
      <c r="G1668" s="19">
        <f>IF(OR(C1668="",D1668=""),"",IFERROR(INDEX('Qida bazası'!$F$2:$F$103,MATCH(C1668,'Qida bazası'!$A$2:$A$103,0))*D1668/100,"?"))</f>
        <v/>
      </c>
      <c r="H1668" s="19">
        <f>IF(OR(C1668="",D1668=""),"",IFERROR(INDEX('Qida bazası'!$G$2:$G$103,MATCH(C1668,'Qida bazası'!$A$2:$A$103,0))*D1668/100,"?"))</f>
        <v/>
      </c>
    </row>
    <row r="1669">
      <c r="A1669" s="21" t="n"/>
      <c r="E1669" s="18">
        <f>IF(OR(C1669="",D1669=""),"",IFERROR(INDEX('Qida bazası'!$D$2:$D$103,MATCH(C1669,'Qida bazası'!$A$2:$A$103,0))*D1669/100,"?"))</f>
        <v/>
      </c>
      <c r="F1669" s="19">
        <f>IF(OR(C1669="",D1669=""),"",IFERROR(INDEX('Qida bazası'!$E$2:$E$103,MATCH(C1669,'Qida bazası'!$A$2:$A$103,0))*D1669/100,"?"))</f>
        <v/>
      </c>
      <c r="G1669" s="19">
        <f>IF(OR(C1669="",D1669=""),"",IFERROR(INDEX('Qida bazası'!$F$2:$F$103,MATCH(C1669,'Qida bazası'!$A$2:$A$103,0))*D1669/100,"?"))</f>
        <v/>
      </c>
      <c r="H1669" s="19">
        <f>IF(OR(C1669="",D1669=""),"",IFERROR(INDEX('Qida bazası'!$G$2:$G$103,MATCH(C1669,'Qida bazası'!$A$2:$A$103,0))*D1669/100,"?"))</f>
        <v/>
      </c>
    </row>
    <row r="1670">
      <c r="A1670" s="21" t="n"/>
      <c r="E1670" s="18">
        <f>IF(OR(C1670="",D1670=""),"",IFERROR(INDEX('Qida bazası'!$D$2:$D$103,MATCH(C1670,'Qida bazası'!$A$2:$A$103,0))*D1670/100,"?"))</f>
        <v/>
      </c>
      <c r="F1670" s="19">
        <f>IF(OR(C1670="",D1670=""),"",IFERROR(INDEX('Qida bazası'!$E$2:$E$103,MATCH(C1670,'Qida bazası'!$A$2:$A$103,0))*D1670/100,"?"))</f>
        <v/>
      </c>
      <c r="G1670" s="19">
        <f>IF(OR(C1670="",D1670=""),"",IFERROR(INDEX('Qida bazası'!$F$2:$F$103,MATCH(C1670,'Qida bazası'!$A$2:$A$103,0))*D1670/100,"?"))</f>
        <v/>
      </c>
      <c r="H1670" s="19">
        <f>IF(OR(C1670="",D1670=""),"",IFERROR(INDEX('Qida bazası'!$G$2:$G$103,MATCH(C1670,'Qida bazası'!$A$2:$A$103,0))*D1670/100,"?"))</f>
        <v/>
      </c>
    </row>
    <row r="1671">
      <c r="A1671" s="21" t="n"/>
      <c r="E1671" s="18">
        <f>IF(OR(C1671="",D1671=""),"",IFERROR(INDEX('Qida bazası'!$D$2:$D$103,MATCH(C1671,'Qida bazası'!$A$2:$A$103,0))*D1671/100,"?"))</f>
        <v/>
      </c>
      <c r="F1671" s="19">
        <f>IF(OR(C1671="",D1671=""),"",IFERROR(INDEX('Qida bazası'!$E$2:$E$103,MATCH(C1671,'Qida bazası'!$A$2:$A$103,0))*D1671/100,"?"))</f>
        <v/>
      </c>
      <c r="G1671" s="19">
        <f>IF(OR(C1671="",D1671=""),"",IFERROR(INDEX('Qida bazası'!$F$2:$F$103,MATCH(C1671,'Qida bazası'!$A$2:$A$103,0))*D1671/100,"?"))</f>
        <v/>
      </c>
      <c r="H1671" s="19">
        <f>IF(OR(C1671="",D1671=""),"",IFERROR(INDEX('Qida bazası'!$G$2:$G$103,MATCH(C1671,'Qida bazası'!$A$2:$A$103,0))*D1671/100,"?"))</f>
        <v/>
      </c>
    </row>
    <row r="1672">
      <c r="A1672" s="21" t="n"/>
      <c r="E1672" s="18">
        <f>IF(OR(C1672="",D1672=""),"",IFERROR(INDEX('Qida bazası'!$D$2:$D$103,MATCH(C1672,'Qida bazası'!$A$2:$A$103,0))*D1672/100,"?"))</f>
        <v/>
      </c>
      <c r="F1672" s="19">
        <f>IF(OR(C1672="",D1672=""),"",IFERROR(INDEX('Qida bazası'!$E$2:$E$103,MATCH(C1672,'Qida bazası'!$A$2:$A$103,0))*D1672/100,"?"))</f>
        <v/>
      </c>
      <c r="G1672" s="19">
        <f>IF(OR(C1672="",D1672=""),"",IFERROR(INDEX('Qida bazası'!$F$2:$F$103,MATCH(C1672,'Qida bazası'!$A$2:$A$103,0))*D1672/100,"?"))</f>
        <v/>
      </c>
      <c r="H1672" s="19">
        <f>IF(OR(C1672="",D1672=""),"",IFERROR(INDEX('Qida bazası'!$G$2:$G$103,MATCH(C1672,'Qida bazası'!$A$2:$A$103,0))*D1672/100,"?"))</f>
        <v/>
      </c>
    </row>
    <row r="1673">
      <c r="A1673" s="21" t="n"/>
      <c r="E1673" s="18">
        <f>IF(OR(C1673="",D1673=""),"",IFERROR(INDEX('Qida bazası'!$D$2:$D$103,MATCH(C1673,'Qida bazası'!$A$2:$A$103,0))*D1673/100,"?"))</f>
        <v/>
      </c>
      <c r="F1673" s="19">
        <f>IF(OR(C1673="",D1673=""),"",IFERROR(INDEX('Qida bazası'!$E$2:$E$103,MATCH(C1673,'Qida bazası'!$A$2:$A$103,0))*D1673/100,"?"))</f>
        <v/>
      </c>
      <c r="G1673" s="19">
        <f>IF(OR(C1673="",D1673=""),"",IFERROR(INDEX('Qida bazası'!$F$2:$F$103,MATCH(C1673,'Qida bazası'!$A$2:$A$103,0))*D1673/100,"?"))</f>
        <v/>
      </c>
      <c r="H1673" s="19">
        <f>IF(OR(C1673="",D1673=""),"",IFERROR(INDEX('Qida bazası'!$G$2:$G$103,MATCH(C1673,'Qida bazası'!$A$2:$A$103,0))*D1673/100,"?"))</f>
        <v/>
      </c>
    </row>
    <row r="1674">
      <c r="A1674" s="21" t="n"/>
      <c r="E1674" s="18">
        <f>IF(OR(C1674="",D1674=""),"",IFERROR(INDEX('Qida bazası'!$D$2:$D$103,MATCH(C1674,'Qida bazası'!$A$2:$A$103,0))*D1674/100,"?"))</f>
        <v/>
      </c>
      <c r="F1674" s="19">
        <f>IF(OR(C1674="",D1674=""),"",IFERROR(INDEX('Qida bazası'!$E$2:$E$103,MATCH(C1674,'Qida bazası'!$A$2:$A$103,0))*D1674/100,"?"))</f>
        <v/>
      </c>
      <c r="G1674" s="19">
        <f>IF(OR(C1674="",D1674=""),"",IFERROR(INDEX('Qida bazası'!$F$2:$F$103,MATCH(C1674,'Qida bazası'!$A$2:$A$103,0))*D1674/100,"?"))</f>
        <v/>
      </c>
      <c r="H1674" s="19">
        <f>IF(OR(C1674="",D1674=""),"",IFERROR(INDEX('Qida bazası'!$G$2:$G$103,MATCH(C1674,'Qida bazası'!$A$2:$A$103,0))*D1674/100,"?"))</f>
        <v/>
      </c>
    </row>
    <row r="1675">
      <c r="A1675" s="21" t="n"/>
      <c r="E1675" s="18">
        <f>IF(OR(C1675="",D1675=""),"",IFERROR(INDEX('Qida bazası'!$D$2:$D$103,MATCH(C1675,'Qida bazası'!$A$2:$A$103,0))*D1675/100,"?"))</f>
        <v/>
      </c>
      <c r="F1675" s="19">
        <f>IF(OR(C1675="",D1675=""),"",IFERROR(INDEX('Qida bazası'!$E$2:$E$103,MATCH(C1675,'Qida bazası'!$A$2:$A$103,0))*D1675/100,"?"))</f>
        <v/>
      </c>
      <c r="G1675" s="19">
        <f>IF(OR(C1675="",D1675=""),"",IFERROR(INDEX('Qida bazası'!$F$2:$F$103,MATCH(C1675,'Qida bazası'!$A$2:$A$103,0))*D1675/100,"?"))</f>
        <v/>
      </c>
      <c r="H1675" s="19">
        <f>IF(OR(C1675="",D1675=""),"",IFERROR(INDEX('Qida bazası'!$G$2:$G$103,MATCH(C1675,'Qida bazası'!$A$2:$A$103,0))*D1675/100,"?"))</f>
        <v/>
      </c>
    </row>
    <row r="1676">
      <c r="A1676" s="21" t="n"/>
      <c r="E1676" s="18">
        <f>IF(OR(C1676="",D1676=""),"",IFERROR(INDEX('Qida bazası'!$D$2:$D$103,MATCH(C1676,'Qida bazası'!$A$2:$A$103,0))*D1676/100,"?"))</f>
        <v/>
      </c>
      <c r="F1676" s="19">
        <f>IF(OR(C1676="",D1676=""),"",IFERROR(INDEX('Qida bazası'!$E$2:$E$103,MATCH(C1676,'Qida bazası'!$A$2:$A$103,0))*D1676/100,"?"))</f>
        <v/>
      </c>
      <c r="G1676" s="19">
        <f>IF(OR(C1676="",D1676=""),"",IFERROR(INDEX('Qida bazası'!$F$2:$F$103,MATCH(C1676,'Qida bazası'!$A$2:$A$103,0))*D1676/100,"?"))</f>
        <v/>
      </c>
      <c r="H1676" s="19">
        <f>IF(OR(C1676="",D1676=""),"",IFERROR(INDEX('Qida bazası'!$G$2:$G$103,MATCH(C1676,'Qida bazası'!$A$2:$A$103,0))*D1676/100,"?"))</f>
        <v/>
      </c>
    </row>
    <row r="1677">
      <c r="A1677" s="21" t="n"/>
      <c r="E1677" s="18">
        <f>IF(OR(C1677="",D1677=""),"",IFERROR(INDEX('Qida bazası'!$D$2:$D$103,MATCH(C1677,'Qida bazası'!$A$2:$A$103,0))*D1677/100,"?"))</f>
        <v/>
      </c>
      <c r="F1677" s="19">
        <f>IF(OR(C1677="",D1677=""),"",IFERROR(INDEX('Qida bazası'!$E$2:$E$103,MATCH(C1677,'Qida bazası'!$A$2:$A$103,0))*D1677/100,"?"))</f>
        <v/>
      </c>
      <c r="G1677" s="19">
        <f>IF(OR(C1677="",D1677=""),"",IFERROR(INDEX('Qida bazası'!$F$2:$F$103,MATCH(C1677,'Qida bazası'!$A$2:$A$103,0))*D1677/100,"?"))</f>
        <v/>
      </c>
      <c r="H1677" s="19">
        <f>IF(OR(C1677="",D1677=""),"",IFERROR(INDEX('Qida bazası'!$G$2:$G$103,MATCH(C1677,'Qida bazası'!$A$2:$A$103,0))*D1677/100,"?"))</f>
        <v/>
      </c>
    </row>
    <row r="1678">
      <c r="A1678" s="21" t="n"/>
      <c r="E1678" s="18">
        <f>IF(OR(C1678="",D1678=""),"",IFERROR(INDEX('Qida bazası'!$D$2:$D$103,MATCH(C1678,'Qida bazası'!$A$2:$A$103,0))*D1678/100,"?"))</f>
        <v/>
      </c>
      <c r="F1678" s="19">
        <f>IF(OR(C1678="",D1678=""),"",IFERROR(INDEX('Qida bazası'!$E$2:$E$103,MATCH(C1678,'Qida bazası'!$A$2:$A$103,0))*D1678/100,"?"))</f>
        <v/>
      </c>
      <c r="G1678" s="19">
        <f>IF(OR(C1678="",D1678=""),"",IFERROR(INDEX('Qida bazası'!$F$2:$F$103,MATCH(C1678,'Qida bazası'!$A$2:$A$103,0))*D1678/100,"?"))</f>
        <v/>
      </c>
      <c r="H1678" s="19">
        <f>IF(OR(C1678="",D1678=""),"",IFERROR(INDEX('Qida bazası'!$G$2:$G$103,MATCH(C1678,'Qida bazası'!$A$2:$A$103,0))*D1678/100,"?"))</f>
        <v/>
      </c>
    </row>
    <row r="1679">
      <c r="A1679" s="21" t="n"/>
      <c r="E1679" s="18">
        <f>IF(OR(C1679="",D1679=""),"",IFERROR(INDEX('Qida bazası'!$D$2:$D$103,MATCH(C1679,'Qida bazası'!$A$2:$A$103,0))*D1679/100,"?"))</f>
        <v/>
      </c>
      <c r="F1679" s="19">
        <f>IF(OR(C1679="",D1679=""),"",IFERROR(INDEX('Qida bazası'!$E$2:$E$103,MATCH(C1679,'Qida bazası'!$A$2:$A$103,0))*D1679/100,"?"))</f>
        <v/>
      </c>
      <c r="G1679" s="19">
        <f>IF(OR(C1679="",D1679=""),"",IFERROR(INDEX('Qida bazası'!$F$2:$F$103,MATCH(C1679,'Qida bazası'!$A$2:$A$103,0))*D1679/100,"?"))</f>
        <v/>
      </c>
      <c r="H1679" s="19">
        <f>IF(OR(C1679="",D1679=""),"",IFERROR(INDEX('Qida bazası'!$G$2:$G$103,MATCH(C1679,'Qida bazası'!$A$2:$A$103,0))*D1679/100,"?"))</f>
        <v/>
      </c>
    </row>
    <row r="1680">
      <c r="A1680" s="21" t="n"/>
      <c r="E1680" s="18">
        <f>IF(OR(C1680="",D1680=""),"",IFERROR(INDEX('Qida bazası'!$D$2:$D$103,MATCH(C1680,'Qida bazası'!$A$2:$A$103,0))*D1680/100,"?"))</f>
        <v/>
      </c>
      <c r="F1680" s="19">
        <f>IF(OR(C1680="",D1680=""),"",IFERROR(INDEX('Qida bazası'!$E$2:$E$103,MATCH(C1680,'Qida bazası'!$A$2:$A$103,0))*D1680/100,"?"))</f>
        <v/>
      </c>
      <c r="G1680" s="19">
        <f>IF(OR(C1680="",D1680=""),"",IFERROR(INDEX('Qida bazası'!$F$2:$F$103,MATCH(C1680,'Qida bazası'!$A$2:$A$103,0))*D1680/100,"?"))</f>
        <v/>
      </c>
      <c r="H1680" s="19">
        <f>IF(OR(C1680="",D1680=""),"",IFERROR(INDEX('Qida bazası'!$G$2:$G$103,MATCH(C1680,'Qida bazası'!$A$2:$A$103,0))*D1680/100,"?"))</f>
        <v/>
      </c>
    </row>
    <row r="1681">
      <c r="A1681" s="21" t="n"/>
      <c r="E1681" s="18">
        <f>IF(OR(C1681="",D1681=""),"",IFERROR(INDEX('Qida bazası'!$D$2:$D$103,MATCH(C1681,'Qida bazası'!$A$2:$A$103,0))*D1681/100,"?"))</f>
        <v/>
      </c>
      <c r="F1681" s="19">
        <f>IF(OR(C1681="",D1681=""),"",IFERROR(INDEX('Qida bazası'!$E$2:$E$103,MATCH(C1681,'Qida bazası'!$A$2:$A$103,0))*D1681/100,"?"))</f>
        <v/>
      </c>
      <c r="G1681" s="19">
        <f>IF(OR(C1681="",D1681=""),"",IFERROR(INDEX('Qida bazası'!$F$2:$F$103,MATCH(C1681,'Qida bazası'!$A$2:$A$103,0))*D1681/100,"?"))</f>
        <v/>
      </c>
      <c r="H1681" s="19">
        <f>IF(OR(C1681="",D1681=""),"",IFERROR(INDEX('Qida bazası'!$G$2:$G$103,MATCH(C1681,'Qida bazası'!$A$2:$A$103,0))*D1681/100,"?"))</f>
        <v/>
      </c>
    </row>
    <row r="1682">
      <c r="A1682" s="21" t="n"/>
      <c r="E1682" s="18">
        <f>IF(OR(C1682="",D1682=""),"",IFERROR(INDEX('Qida bazası'!$D$2:$D$103,MATCH(C1682,'Qida bazası'!$A$2:$A$103,0))*D1682/100,"?"))</f>
        <v/>
      </c>
      <c r="F1682" s="19">
        <f>IF(OR(C1682="",D1682=""),"",IFERROR(INDEX('Qida bazası'!$E$2:$E$103,MATCH(C1682,'Qida bazası'!$A$2:$A$103,0))*D1682/100,"?"))</f>
        <v/>
      </c>
      <c r="G1682" s="19">
        <f>IF(OR(C1682="",D1682=""),"",IFERROR(INDEX('Qida bazası'!$F$2:$F$103,MATCH(C1682,'Qida bazası'!$A$2:$A$103,0))*D1682/100,"?"))</f>
        <v/>
      </c>
      <c r="H1682" s="19">
        <f>IF(OR(C1682="",D1682=""),"",IFERROR(INDEX('Qida bazası'!$G$2:$G$103,MATCH(C1682,'Qida bazası'!$A$2:$A$103,0))*D1682/100,"?"))</f>
        <v/>
      </c>
    </row>
    <row r="1683">
      <c r="A1683" s="21" t="n"/>
      <c r="E1683" s="18">
        <f>IF(OR(C1683="",D1683=""),"",IFERROR(INDEX('Qida bazası'!$D$2:$D$103,MATCH(C1683,'Qida bazası'!$A$2:$A$103,0))*D1683/100,"?"))</f>
        <v/>
      </c>
      <c r="F1683" s="19">
        <f>IF(OR(C1683="",D1683=""),"",IFERROR(INDEX('Qida bazası'!$E$2:$E$103,MATCH(C1683,'Qida bazası'!$A$2:$A$103,0))*D1683/100,"?"))</f>
        <v/>
      </c>
      <c r="G1683" s="19">
        <f>IF(OR(C1683="",D1683=""),"",IFERROR(INDEX('Qida bazası'!$F$2:$F$103,MATCH(C1683,'Qida bazası'!$A$2:$A$103,0))*D1683/100,"?"))</f>
        <v/>
      </c>
      <c r="H1683" s="19">
        <f>IF(OR(C1683="",D1683=""),"",IFERROR(INDEX('Qida bazası'!$G$2:$G$103,MATCH(C1683,'Qida bazası'!$A$2:$A$103,0))*D1683/100,"?"))</f>
        <v/>
      </c>
    </row>
    <row r="1684">
      <c r="A1684" s="21" t="n"/>
      <c r="E1684" s="18">
        <f>IF(OR(C1684="",D1684=""),"",IFERROR(INDEX('Qida bazası'!$D$2:$D$103,MATCH(C1684,'Qida bazası'!$A$2:$A$103,0))*D1684/100,"?"))</f>
        <v/>
      </c>
      <c r="F1684" s="19">
        <f>IF(OR(C1684="",D1684=""),"",IFERROR(INDEX('Qida bazası'!$E$2:$E$103,MATCH(C1684,'Qida bazası'!$A$2:$A$103,0))*D1684/100,"?"))</f>
        <v/>
      </c>
      <c r="G1684" s="19">
        <f>IF(OR(C1684="",D1684=""),"",IFERROR(INDEX('Qida bazası'!$F$2:$F$103,MATCH(C1684,'Qida bazası'!$A$2:$A$103,0))*D1684/100,"?"))</f>
        <v/>
      </c>
      <c r="H1684" s="19">
        <f>IF(OR(C1684="",D1684=""),"",IFERROR(INDEX('Qida bazası'!$G$2:$G$103,MATCH(C1684,'Qida bazası'!$A$2:$A$103,0))*D1684/100,"?"))</f>
        <v/>
      </c>
    </row>
    <row r="1685">
      <c r="A1685" s="21" t="n"/>
      <c r="E1685" s="18">
        <f>IF(OR(C1685="",D1685=""),"",IFERROR(INDEX('Qida bazası'!$D$2:$D$103,MATCH(C1685,'Qida bazası'!$A$2:$A$103,0))*D1685/100,"?"))</f>
        <v/>
      </c>
      <c r="F1685" s="19">
        <f>IF(OR(C1685="",D1685=""),"",IFERROR(INDEX('Qida bazası'!$E$2:$E$103,MATCH(C1685,'Qida bazası'!$A$2:$A$103,0))*D1685/100,"?"))</f>
        <v/>
      </c>
      <c r="G1685" s="19">
        <f>IF(OR(C1685="",D1685=""),"",IFERROR(INDEX('Qida bazası'!$F$2:$F$103,MATCH(C1685,'Qida bazası'!$A$2:$A$103,0))*D1685/100,"?"))</f>
        <v/>
      </c>
      <c r="H1685" s="19">
        <f>IF(OR(C1685="",D1685=""),"",IFERROR(INDEX('Qida bazası'!$G$2:$G$103,MATCH(C1685,'Qida bazası'!$A$2:$A$103,0))*D1685/100,"?"))</f>
        <v/>
      </c>
    </row>
    <row r="1686">
      <c r="A1686" s="21" t="n"/>
      <c r="E1686" s="18">
        <f>IF(OR(C1686="",D1686=""),"",IFERROR(INDEX('Qida bazası'!$D$2:$D$103,MATCH(C1686,'Qida bazası'!$A$2:$A$103,0))*D1686/100,"?"))</f>
        <v/>
      </c>
      <c r="F1686" s="19">
        <f>IF(OR(C1686="",D1686=""),"",IFERROR(INDEX('Qida bazası'!$E$2:$E$103,MATCH(C1686,'Qida bazası'!$A$2:$A$103,0))*D1686/100,"?"))</f>
        <v/>
      </c>
      <c r="G1686" s="19">
        <f>IF(OR(C1686="",D1686=""),"",IFERROR(INDEX('Qida bazası'!$F$2:$F$103,MATCH(C1686,'Qida bazası'!$A$2:$A$103,0))*D1686/100,"?"))</f>
        <v/>
      </c>
      <c r="H1686" s="19">
        <f>IF(OR(C1686="",D1686=""),"",IFERROR(INDEX('Qida bazası'!$G$2:$G$103,MATCH(C1686,'Qida bazası'!$A$2:$A$103,0))*D1686/100,"?"))</f>
        <v/>
      </c>
    </row>
    <row r="1687">
      <c r="A1687" s="21" t="n"/>
      <c r="E1687" s="18">
        <f>IF(OR(C1687="",D1687=""),"",IFERROR(INDEX('Qida bazası'!$D$2:$D$103,MATCH(C1687,'Qida bazası'!$A$2:$A$103,0))*D1687/100,"?"))</f>
        <v/>
      </c>
      <c r="F1687" s="19">
        <f>IF(OR(C1687="",D1687=""),"",IFERROR(INDEX('Qida bazası'!$E$2:$E$103,MATCH(C1687,'Qida bazası'!$A$2:$A$103,0))*D1687/100,"?"))</f>
        <v/>
      </c>
      <c r="G1687" s="19">
        <f>IF(OR(C1687="",D1687=""),"",IFERROR(INDEX('Qida bazası'!$F$2:$F$103,MATCH(C1687,'Qida bazası'!$A$2:$A$103,0))*D1687/100,"?"))</f>
        <v/>
      </c>
      <c r="H1687" s="19">
        <f>IF(OR(C1687="",D1687=""),"",IFERROR(INDEX('Qida bazası'!$G$2:$G$103,MATCH(C1687,'Qida bazası'!$A$2:$A$103,0))*D1687/100,"?"))</f>
        <v/>
      </c>
    </row>
    <row r="1688">
      <c r="A1688" s="21" t="n"/>
      <c r="E1688" s="18">
        <f>IF(OR(C1688="",D1688=""),"",IFERROR(INDEX('Qida bazası'!$D$2:$D$103,MATCH(C1688,'Qida bazası'!$A$2:$A$103,0))*D1688/100,"?"))</f>
        <v/>
      </c>
      <c r="F1688" s="19">
        <f>IF(OR(C1688="",D1688=""),"",IFERROR(INDEX('Qida bazası'!$E$2:$E$103,MATCH(C1688,'Qida bazası'!$A$2:$A$103,0))*D1688/100,"?"))</f>
        <v/>
      </c>
      <c r="G1688" s="19">
        <f>IF(OR(C1688="",D1688=""),"",IFERROR(INDEX('Qida bazası'!$F$2:$F$103,MATCH(C1688,'Qida bazası'!$A$2:$A$103,0))*D1688/100,"?"))</f>
        <v/>
      </c>
      <c r="H1688" s="19">
        <f>IF(OR(C1688="",D1688=""),"",IFERROR(INDEX('Qida bazası'!$G$2:$G$103,MATCH(C1688,'Qida bazası'!$A$2:$A$103,0))*D1688/100,"?"))</f>
        <v/>
      </c>
    </row>
    <row r="1689">
      <c r="A1689" s="21" t="n"/>
      <c r="E1689" s="18">
        <f>IF(OR(C1689="",D1689=""),"",IFERROR(INDEX('Qida bazası'!$D$2:$D$103,MATCH(C1689,'Qida bazası'!$A$2:$A$103,0))*D1689/100,"?"))</f>
        <v/>
      </c>
      <c r="F1689" s="19">
        <f>IF(OR(C1689="",D1689=""),"",IFERROR(INDEX('Qida bazası'!$E$2:$E$103,MATCH(C1689,'Qida bazası'!$A$2:$A$103,0))*D1689/100,"?"))</f>
        <v/>
      </c>
      <c r="G1689" s="19">
        <f>IF(OR(C1689="",D1689=""),"",IFERROR(INDEX('Qida bazası'!$F$2:$F$103,MATCH(C1689,'Qida bazası'!$A$2:$A$103,0))*D1689/100,"?"))</f>
        <v/>
      </c>
      <c r="H1689" s="19">
        <f>IF(OR(C1689="",D1689=""),"",IFERROR(INDEX('Qida bazası'!$G$2:$G$103,MATCH(C1689,'Qida bazası'!$A$2:$A$103,0))*D1689/100,"?"))</f>
        <v/>
      </c>
    </row>
    <row r="1690">
      <c r="A1690" s="21" t="n"/>
      <c r="E1690" s="18">
        <f>IF(OR(C1690="",D1690=""),"",IFERROR(INDEX('Qida bazası'!$D$2:$D$103,MATCH(C1690,'Qida bazası'!$A$2:$A$103,0))*D1690/100,"?"))</f>
        <v/>
      </c>
      <c r="F1690" s="19">
        <f>IF(OR(C1690="",D1690=""),"",IFERROR(INDEX('Qida bazası'!$E$2:$E$103,MATCH(C1690,'Qida bazası'!$A$2:$A$103,0))*D1690/100,"?"))</f>
        <v/>
      </c>
      <c r="G1690" s="19">
        <f>IF(OR(C1690="",D1690=""),"",IFERROR(INDEX('Qida bazası'!$F$2:$F$103,MATCH(C1690,'Qida bazası'!$A$2:$A$103,0))*D1690/100,"?"))</f>
        <v/>
      </c>
      <c r="H1690" s="19">
        <f>IF(OR(C1690="",D1690=""),"",IFERROR(INDEX('Qida bazası'!$G$2:$G$103,MATCH(C1690,'Qida bazası'!$A$2:$A$103,0))*D1690/100,"?"))</f>
        <v/>
      </c>
    </row>
    <row r="1691">
      <c r="A1691" s="21" t="n"/>
      <c r="E1691" s="18">
        <f>IF(OR(C1691="",D1691=""),"",IFERROR(INDEX('Qida bazası'!$D$2:$D$103,MATCH(C1691,'Qida bazası'!$A$2:$A$103,0))*D1691/100,"?"))</f>
        <v/>
      </c>
      <c r="F1691" s="19">
        <f>IF(OR(C1691="",D1691=""),"",IFERROR(INDEX('Qida bazası'!$E$2:$E$103,MATCH(C1691,'Qida bazası'!$A$2:$A$103,0))*D1691/100,"?"))</f>
        <v/>
      </c>
      <c r="G1691" s="19">
        <f>IF(OR(C1691="",D1691=""),"",IFERROR(INDEX('Qida bazası'!$F$2:$F$103,MATCH(C1691,'Qida bazası'!$A$2:$A$103,0))*D1691/100,"?"))</f>
        <v/>
      </c>
      <c r="H1691" s="19">
        <f>IF(OR(C1691="",D1691=""),"",IFERROR(INDEX('Qida bazası'!$G$2:$G$103,MATCH(C1691,'Qida bazası'!$A$2:$A$103,0))*D1691/100,"?"))</f>
        <v/>
      </c>
    </row>
    <row r="1692">
      <c r="A1692" s="21" t="n"/>
      <c r="E1692" s="18">
        <f>IF(OR(C1692="",D1692=""),"",IFERROR(INDEX('Qida bazası'!$D$2:$D$103,MATCH(C1692,'Qida bazası'!$A$2:$A$103,0))*D1692/100,"?"))</f>
        <v/>
      </c>
      <c r="F1692" s="19">
        <f>IF(OR(C1692="",D1692=""),"",IFERROR(INDEX('Qida bazası'!$E$2:$E$103,MATCH(C1692,'Qida bazası'!$A$2:$A$103,0))*D1692/100,"?"))</f>
        <v/>
      </c>
      <c r="G1692" s="19">
        <f>IF(OR(C1692="",D1692=""),"",IFERROR(INDEX('Qida bazası'!$F$2:$F$103,MATCH(C1692,'Qida bazası'!$A$2:$A$103,0))*D1692/100,"?"))</f>
        <v/>
      </c>
      <c r="H1692" s="19">
        <f>IF(OR(C1692="",D1692=""),"",IFERROR(INDEX('Qida bazası'!$G$2:$G$103,MATCH(C1692,'Qida bazası'!$A$2:$A$103,0))*D1692/100,"?"))</f>
        <v/>
      </c>
    </row>
    <row r="1693">
      <c r="A1693" s="21" t="n"/>
      <c r="E1693" s="18">
        <f>IF(OR(C1693="",D1693=""),"",IFERROR(INDEX('Qida bazası'!$D$2:$D$103,MATCH(C1693,'Qida bazası'!$A$2:$A$103,0))*D1693/100,"?"))</f>
        <v/>
      </c>
      <c r="F1693" s="19">
        <f>IF(OR(C1693="",D1693=""),"",IFERROR(INDEX('Qida bazası'!$E$2:$E$103,MATCH(C1693,'Qida bazası'!$A$2:$A$103,0))*D1693/100,"?"))</f>
        <v/>
      </c>
      <c r="G1693" s="19">
        <f>IF(OR(C1693="",D1693=""),"",IFERROR(INDEX('Qida bazası'!$F$2:$F$103,MATCH(C1693,'Qida bazası'!$A$2:$A$103,0))*D1693/100,"?"))</f>
        <v/>
      </c>
      <c r="H1693" s="19">
        <f>IF(OR(C1693="",D1693=""),"",IFERROR(INDEX('Qida bazası'!$G$2:$G$103,MATCH(C1693,'Qida bazası'!$A$2:$A$103,0))*D1693/100,"?"))</f>
        <v/>
      </c>
    </row>
    <row r="1694">
      <c r="A1694" s="21" t="n"/>
      <c r="E1694" s="18">
        <f>IF(OR(C1694="",D1694=""),"",IFERROR(INDEX('Qida bazası'!$D$2:$D$103,MATCH(C1694,'Qida bazası'!$A$2:$A$103,0))*D1694/100,"?"))</f>
        <v/>
      </c>
      <c r="F1694" s="19">
        <f>IF(OR(C1694="",D1694=""),"",IFERROR(INDEX('Qida bazası'!$E$2:$E$103,MATCH(C1694,'Qida bazası'!$A$2:$A$103,0))*D1694/100,"?"))</f>
        <v/>
      </c>
      <c r="G1694" s="19">
        <f>IF(OR(C1694="",D1694=""),"",IFERROR(INDEX('Qida bazası'!$F$2:$F$103,MATCH(C1694,'Qida bazası'!$A$2:$A$103,0))*D1694/100,"?"))</f>
        <v/>
      </c>
      <c r="H1694" s="19">
        <f>IF(OR(C1694="",D1694=""),"",IFERROR(INDEX('Qida bazası'!$G$2:$G$103,MATCH(C1694,'Qida bazası'!$A$2:$A$103,0))*D1694/100,"?"))</f>
        <v/>
      </c>
    </row>
    <row r="1695">
      <c r="A1695" s="21" t="n"/>
      <c r="E1695" s="18">
        <f>IF(OR(C1695="",D1695=""),"",IFERROR(INDEX('Qida bazası'!$D$2:$D$103,MATCH(C1695,'Qida bazası'!$A$2:$A$103,0))*D1695/100,"?"))</f>
        <v/>
      </c>
      <c r="F1695" s="19">
        <f>IF(OR(C1695="",D1695=""),"",IFERROR(INDEX('Qida bazası'!$E$2:$E$103,MATCH(C1695,'Qida bazası'!$A$2:$A$103,0))*D1695/100,"?"))</f>
        <v/>
      </c>
      <c r="G1695" s="19">
        <f>IF(OR(C1695="",D1695=""),"",IFERROR(INDEX('Qida bazası'!$F$2:$F$103,MATCH(C1695,'Qida bazası'!$A$2:$A$103,0))*D1695/100,"?"))</f>
        <v/>
      </c>
      <c r="H1695" s="19">
        <f>IF(OR(C1695="",D1695=""),"",IFERROR(INDEX('Qida bazası'!$G$2:$G$103,MATCH(C1695,'Qida bazası'!$A$2:$A$103,0))*D1695/100,"?"))</f>
        <v/>
      </c>
    </row>
    <row r="1696">
      <c r="A1696" s="21" t="n"/>
      <c r="E1696" s="18">
        <f>IF(OR(C1696="",D1696=""),"",IFERROR(INDEX('Qida bazası'!$D$2:$D$103,MATCH(C1696,'Qida bazası'!$A$2:$A$103,0))*D1696/100,"?"))</f>
        <v/>
      </c>
      <c r="F1696" s="19">
        <f>IF(OR(C1696="",D1696=""),"",IFERROR(INDEX('Qida bazası'!$E$2:$E$103,MATCH(C1696,'Qida bazası'!$A$2:$A$103,0))*D1696/100,"?"))</f>
        <v/>
      </c>
      <c r="G1696" s="19">
        <f>IF(OR(C1696="",D1696=""),"",IFERROR(INDEX('Qida bazası'!$F$2:$F$103,MATCH(C1696,'Qida bazası'!$A$2:$A$103,0))*D1696/100,"?"))</f>
        <v/>
      </c>
      <c r="H1696" s="19">
        <f>IF(OR(C1696="",D1696=""),"",IFERROR(INDEX('Qida bazası'!$G$2:$G$103,MATCH(C1696,'Qida bazası'!$A$2:$A$103,0))*D1696/100,"?"))</f>
        <v/>
      </c>
    </row>
    <row r="1697">
      <c r="A1697" s="21" t="n"/>
      <c r="E1697" s="18">
        <f>IF(OR(C1697="",D1697=""),"",IFERROR(INDEX('Qida bazası'!$D$2:$D$103,MATCH(C1697,'Qida bazası'!$A$2:$A$103,0))*D1697/100,"?"))</f>
        <v/>
      </c>
      <c r="F1697" s="19">
        <f>IF(OR(C1697="",D1697=""),"",IFERROR(INDEX('Qida bazası'!$E$2:$E$103,MATCH(C1697,'Qida bazası'!$A$2:$A$103,0))*D1697/100,"?"))</f>
        <v/>
      </c>
      <c r="G1697" s="19">
        <f>IF(OR(C1697="",D1697=""),"",IFERROR(INDEX('Qida bazası'!$F$2:$F$103,MATCH(C1697,'Qida bazası'!$A$2:$A$103,0))*D1697/100,"?"))</f>
        <v/>
      </c>
      <c r="H1697" s="19">
        <f>IF(OR(C1697="",D1697=""),"",IFERROR(INDEX('Qida bazası'!$G$2:$G$103,MATCH(C1697,'Qida bazası'!$A$2:$A$103,0))*D1697/100,"?"))</f>
        <v/>
      </c>
    </row>
    <row r="1698">
      <c r="A1698" s="21" t="n"/>
      <c r="E1698" s="18">
        <f>IF(OR(C1698="",D1698=""),"",IFERROR(INDEX('Qida bazası'!$D$2:$D$103,MATCH(C1698,'Qida bazası'!$A$2:$A$103,0))*D1698/100,"?"))</f>
        <v/>
      </c>
      <c r="F1698" s="19">
        <f>IF(OR(C1698="",D1698=""),"",IFERROR(INDEX('Qida bazası'!$E$2:$E$103,MATCH(C1698,'Qida bazası'!$A$2:$A$103,0))*D1698/100,"?"))</f>
        <v/>
      </c>
      <c r="G1698" s="19">
        <f>IF(OR(C1698="",D1698=""),"",IFERROR(INDEX('Qida bazası'!$F$2:$F$103,MATCH(C1698,'Qida bazası'!$A$2:$A$103,0))*D1698/100,"?"))</f>
        <v/>
      </c>
      <c r="H1698" s="19">
        <f>IF(OR(C1698="",D1698=""),"",IFERROR(INDEX('Qida bazası'!$G$2:$G$103,MATCH(C1698,'Qida bazası'!$A$2:$A$103,0))*D1698/100,"?"))</f>
        <v/>
      </c>
    </row>
    <row r="1699">
      <c r="A1699" s="21" t="n"/>
      <c r="E1699" s="18">
        <f>IF(OR(C1699="",D1699=""),"",IFERROR(INDEX('Qida bazası'!$D$2:$D$103,MATCH(C1699,'Qida bazası'!$A$2:$A$103,0))*D1699/100,"?"))</f>
        <v/>
      </c>
      <c r="F1699" s="19">
        <f>IF(OR(C1699="",D1699=""),"",IFERROR(INDEX('Qida bazası'!$E$2:$E$103,MATCH(C1699,'Qida bazası'!$A$2:$A$103,0))*D1699/100,"?"))</f>
        <v/>
      </c>
      <c r="G1699" s="19">
        <f>IF(OR(C1699="",D1699=""),"",IFERROR(INDEX('Qida bazası'!$F$2:$F$103,MATCH(C1699,'Qida bazası'!$A$2:$A$103,0))*D1699/100,"?"))</f>
        <v/>
      </c>
      <c r="H1699" s="19">
        <f>IF(OR(C1699="",D1699=""),"",IFERROR(INDEX('Qida bazası'!$G$2:$G$103,MATCH(C1699,'Qida bazası'!$A$2:$A$103,0))*D1699/100,"?"))</f>
        <v/>
      </c>
    </row>
    <row r="1700">
      <c r="A1700" s="21" t="n"/>
      <c r="E1700" s="18">
        <f>IF(OR(C1700="",D1700=""),"",IFERROR(INDEX('Qida bazası'!$D$2:$D$103,MATCH(C1700,'Qida bazası'!$A$2:$A$103,0))*D1700/100,"?"))</f>
        <v/>
      </c>
      <c r="F1700" s="19">
        <f>IF(OR(C1700="",D1700=""),"",IFERROR(INDEX('Qida bazası'!$E$2:$E$103,MATCH(C1700,'Qida bazası'!$A$2:$A$103,0))*D1700/100,"?"))</f>
        <v/>
      </c>
      <c r="G1700" s="19">
        <f>IF(OR(C1700="",D1700=""),"",IFERROR(INDEX('Qida bazası'!$F$2:$F$103,MATCH(C1700,'Qida bazası'!$A$2:$A$103,0))*D1700/100,"?"))</f>
        <v/>
      </c>
      <c r="H1700" s="19">
        <f>IF(OR(C1700="",D1700=""),"",IFERROR(INDEX('Qida bazası'!$G$2:$G$103,MATCH(C1700,'Qida bazası'!$A$2:$A$103,0))*D1700/100,"?"))</f>
        <v/>
      </c>
    </row>
    <row r="1701">
      <c r="A1701" s="21" t="n"/>
      <c r="E1701" s="18">
        <f>IF(OR(C1701="",D1701=""),"",IFERROR(INDEX('Qida bazası'!$D$2:$D$103,MATCH(C1701,'Qida bazası'!$A$2:$A$103,0))*D1701/100,"?"))</f>
        <v/>
      </c>
      <c r="F1701" s="19">
        <f>IF(OR(C1701="",D1701=""),"",IFERROR(INDEX('Qida bazası'!$E$2:$E$103,MATCH(C1701,'Qida bazası'!$A$2:$A$103,0))*D1701/100,"?"))</f>
        <v/>
      </c>
      <c r="G1701" s="19">
        <f>IF(OR(C1701="",D1701=""),"",IFERROR(INDEX('Qida bazası'!$F$2:$F$103,MATCH(C1701,'Qida bazası'!$A$2:$A$103,0))*D1701/100,"?"))</f>
        <v/>
      </c>
      <c r="H1701" s="19">
        <f>IF(OR(C1701="",D1701=""),"",IFERROR(INDEX('Qida bazası'!$G$2:$G$103,MATCH(C1701,'Qida bazası'!$A$2:$A$103,0))*D1701/100,"?"))</f>
        <v/>
      </c>
    </row>
    <row r="1702">
      <c r="A1702" s="21" t="n"/>
      <c r="E1702" s="18">
        <f>IF(OR(C1702="",D1702=""),"",IFERROR(INDEX('Qida bazası'!$D$2:$D$103,MATCH(C1702,'Qida bazası'!$A$2:$A$103,0))*D1702/100,"?"))</f>
        <v/>
      </c>
      <c r="F1702" s="19">
        <f>IF(OR(C1702="",D1702=""),"",IFERROR(INDEX('Qida bazası'!$E$2:$E$103,MATCH(C1702,'Qida bazası'!$A$2:$A$103,0))*D1702/100,"?"))</f>
        <v/>
      </c>
      <c r="G1702" s="19">
        <f>IF(OR(C1702="",D1702=""),"",IFERROR(INDEX('Qida bazası'!$F$2:$F$103,MATCH(C1702,'Qida bazası'!$A$2:$A$103,0))*D1702/100,"?"))</f>
        <v/>
      </c>
      <c r="H1702" s="19">
        <f>IF(OR(C1702="",D1702=""),"",IFERROR(INDEX('Qida bazası'!$G$2:$G$103,MATCH(C1702,'Qida bazası'!$A$2:$A$103,0))*D1702/100,"?"))</f>
        <v/>
      </c>
    </row>
    <row r="1703">
      <c r="A1703" s="21" t="n"/>
      <c r="E1703" s="18">
        <f>IF(OR(C1703="",D1703=""),"",IFERROR(INDEX('Qida bazası'!$D$2:$D$103,MATCH(C1703,'Qida bazası'!$A$2:$A$103,0))*D1703/100,"?"))</f>
        <v/>
      </c>
      <c r="F1703" s="19">
        <f>IF(OR(C1703="",D1703=""),"",IFERROR(INDEX('Qida bazası'!$E$2:$E$103,MATCH(C1703,'Qida bazası'!$A$2:$A$103,0))*D1703/100,"?"))</f>
        <v/>
      </c>
      <c r="G1703" s="19">
        <f>IF(OR(C1703="",D1703=""),"",IFERROR(INDEX('Qida bazası'!$F$2:$F$103,MATCH(C1703,'Qida bazası'!$A$2:$A$103,0))*D1703/100,"?"))</f>
        <v/>
      </c>
      <c r="H1703" s="19">
        <f>IF(OR(C1703="",D1703=""),"",IFERROR(INDEX('Qida bazası'!$G$2:$G$103,MATCH(C1703,'Qida bazası'!$A$2:$A$103,0))*D1703/100,"?"))</f>
        <v/>
      </c>
    </row>
    <row r="1704">
      <c r="A1704" s="21" t="n"/>
      <c r="E1704" s="18">
        <f>IF(OR(C1704="",D1704=""),"",IFERROR(INDEX('Qida bazası'!$D$2:$D$103,MATCH(C1704,'Qida bazası'!$A$2:$A$103,0))*D1704/100,"?"))</f>
        <v/>
      </c>
      <c r="F1704" s="19">
        <f>IF(OR(C1704="",D1704=""),"",IFERROR(INDEX('Qida bazası'!$E$2:$E$103,MATCH(C1704,'Qida bazası'!$A$2:$A$103,0))*D1704/100,"?"))</f>
        <v/>
      </c>
      <c r="G1704" s="19">
        <f>IF(OR(C1704="",D1704=""),"",IFERROR(INDEX('Qida bazası'!$F$2:$F$103,MATCH(C1704,'Qida bazası'!$A$2:$A$103,0))*D1704/100,"?"))</f>
        <v/>
      </c>
      <c r="H1704" s="19">
        <f>IF(OR(C1704="",D1704=""),"",IFERROR(INDEX('Qida bazası'!$G$2:$G$103,MATCH(C1704,'Qida bazası'!$A$2:$A$103,0))*D1704/100,"?"))</f>
        <v/>
      </c>
    </row>
    <row r="1705">
      <c r="A1705" s="21" t="n"/>
      <c r="E1705" s="18">
        <f>IF(OR(C1705="",D1705=""),"",IFERROR(INDEX('Qida bazası'!$D$2:$D$103,MATCH(C1705,'Qida bazası'!$A$2:$A$103,0))*D1705/100,"?"))</f>
        <v/>
      </c>
      <c r="F1705" s="19">
        <f>IF(OR(C1705="",D1705=""),"",IFERROR(INDEX('Qida bazası'!$E$2:$E$103,MATCH(C1705,'Qida bazası'!$A$2:$A$103,0))*D1705/100,"?"))</f>
        <v/>
      </c>
      <c r="G1705" s="19">
        <f>IF(OR(C1705="",D1705=""),"",IFERROR(INDEX('Qida bazası'!$F$2:$F$103,MATCH(C1705,'Qida bazası'!$A$2:$A$103,0))*D1705/100,"?"))</f>
        <v/>
      </c>
      <c r="H1705" s="19">
        <f>IF(OR(C1705="",D1705=""),"",IFERROR(INDEX('Qida bazası'!$G$2:$G$103,MATCH(C1705,'Qida bazası'!$A$2:$A$103,0))*D1705/100,"?"))</f>
        <v/>
      </c>
    </row>
    <row r="1706">
      <c r="A1706" s="21" t="n"/>
      <c r="E1706" s="18">
        <f>IF(OR(C1706="",D1706=""),"",IFERROR(INDEX('Qida bazası'!$D$2:$D$103,MATCH(C1706,'Qida bazası'!$A$2:$A$103,0))*D1706/100,"?"))</f>
        <v/>
      </c>
      <c r="F1706" s="19">
        <f>IF(OR(C1706="",D1706=""),"",IFERROR(INDEX('Qida bazası'!$E$2:$E$103,MATCH(C1706,'Qida bazası'!$A$2:$A$103,0))*D1706/100,"?"))</f>
        <v/>
      </c>
      <c r="G1706" s="19">
        <f>IF(OR(C1706="",D1706=""),"",IFERROR(INDEX('Qida bazası'!$F$2:$F$103,MATCH(C1706,'Qida bazası'!$A$2:$A$103,0))*D1706/100,"?"))</f>
        <v/>
      </c>
      <c r="H1706" s="19">
        <f>IF(OR(C1706="",D1706=""),"",IFERROR(INDEX('Qida bazası'!$G$2:$G$103,MATCH(C1706,'Qida bazası'!$A$2:$A$103,0))*D1706/100,"?"))</f>
        <v/>
      </c>
    </row>
    <row r="1707">
      <c r="A1707" s="21" t="n"/>
      <c r="E1707" s="18">
        <f>IF(OR(C1707="",D1707=""),"",IFERROR(INDEX('Qida bazası'!$D$2:$D$103,MATCH(C1707,'Qida bazası'!$A$2:$A$103,0))*D1707/100,"?"))</f>
        <v/>
      </c>
      <c r="F1707" s="19">
        <f>IF(OR(C1707="",D1707=""),"",IFERROR(INDEX('Qida bazası'!$E$2:$E$103,MATCH(C1707,'Qida bazası'!$A$2:$A$103,0))*D1707/100,"?"))</f>
        <v/>
      </c>
      <c r="G1707" s="19">
        <f>IF(OR(C1707="",D1707=""),"",IFERROR(INDEX('Qida bazası'!$F$2:$F$103,MATCH(C1707,'Qida bazası'!$A$2:$A$103,0))*D1707/100,"?"))</f>
        <v/>
      </c>
      <c r="H1707" s="19">
        <f>IF(OR(C1707="",D1707=""),"",IFERROR(INDEX('Qida bazası'!$G$2:$G$103,MATCH(C1707,'Qida bazası'!$A$2:$A$103,0))*D1707/100,"?"))</f>
        <v/>
      </c>
    </row>
    <row r="1708">
      <c r="A1708" s="21" t="n"/>
      <c r="E1708" s="18">
        <f>IF(OR(C1708="",D1708=""),"",IFERROR(INDEX('Qida bazası'!$D$2:$D$103,MATCH(C1708,'Qida bazası'!$A$2:$A$103,0))*D1708/100,"?"))</f>
        <v/>
      </c>
      <c r="F1708" s="19">
        <f>IF(OR(C1708="",D1708=""),"",IFERROR(INDEX('Qida bazası'!$E$2:$E$103,MATCH(C1708,'Qida bazası'!$A$2:$A$103,0))*D1708/100,"?"))</f>
        <v/>
      </c>
      <c r="G1708" s="19">
        <f>IF(OR(C1708="",D1708=""),"",IFERROR(INDEX('Qida bazası'!$F$2:$F$103,MATCH(C1708,'Qida bazası'!$A$2:$A$103,0))*D1708/100,"?"))</f>
        <v/>
      </c>
      <c r="H1708" s="19">
        <f>IF(OR(C1708="",D1708=""),"",IFERROR(INDEX('Qida bazası'!$G$2:$G$103,MATCH(C1708,'Qida bazası'!$A$2:$A$103,0))*D1708/100,"?"))</f>
        <v/>
      </c>
    </row>
    <row r="1709">
      <c r="A1709" s="21" t="n"/>
      <c r="E1709" s="18">
        <f>IF(OR(C1709="",D1709=""),"",IFERROR(INDEX('Qida bazası'!$D$2:$D$103,MATCH(C1709,'Qida bazası'!$A$2:$A$103,0))*D1709/100,"?"))</f>
        <v/>
      </c>
      <c r="F1709" s="19">
        <f>IF(OR(C1709="",D1709=""),"",IFERROR(INDEX('Qida bazası'!$E$2:$E$103,MATCH(C1709,'Qida bazası'!$A$2:$A$103,0))*D1709/100,"?"))</f>
        <v/>
      </c>
      <c r="G1709" s="19">
        <f>IF(OR(C1709="",D1709=""),"",IFERROR(INDEX('Qida bazası'!$F$2:$F$103,MATCH(C1709,'Qida bazası'!$A$2:$A$103,0))*D1709/100,"?"))</f>
        <v/>
      </c>
      <c r="H1709" s="19">
        <f>IF(OR(C1709="",D1709=""),"",IFERROR(INDEX('Qida bazası'!$G$2:$G$103,MATCH(C1709,'Qida bazası'!$A$2:$A$103,0))*D1709/100,"?"))</f>
        <v/>
      </c>
    </row>
    <row r="1710">
      <c r="A1710" s="21" t="n"/>
      <c r="E1710" s="18">
        <f>IF(OR(C1710="",D1710=""),"",IFERROR(INDEX('Qida bazası'!$D$2:$D$103,MATCH(C1710,'Qida bazası'!$A$2:$A$103,0))*D1710/100,"?"))</f>
        <v/>
      </c>
      <c r="F1710" s="19">
        <f>IF(OR(C1710="",D1710=""),"",IFERROR(INDEX('Qida bazası'!$E$2:$E$103,MATCH(C1710,'Qida bazası'!$A$2:$A$103,0))*D1710/100,"?"))</f>
        <v/>
      </c>
      <c r="G1710" s="19">
        <f>IF(OR(C1710="",D1710=""),"",IFERROR(INDEX('Qida bazası'!$F$2:$F$103,MATCH(C1710,'Qida bazası'!$A$2:$A$103,0))*D1710/100,"?"))</f>
        <v/>
      </c>
      <c r="H1710" s="19">
        <f>IF(OR(C1710="",D1710=""),"",IFERROR(INDEX('Qida bazası'!$G$2:$G$103,MATCH(C1710,'Qida bazası'!$A$2:$A$103,0))*D1710/100,"?"))</f>
        <v/>
      </c>
    </row>
    <row r="1711">
      <c r="A1711" s="21" t="n"/>
      <c r="E1711" s="18">
        <f>IF(OR(C1711="",D1711=""),"",IFERROR(INDEX('Qida bazası'!$D$2:$D$103,MATCH(C1711,'Qida bazası'!$A$2:$A$103,0))*D1711/100,"?"))</f>
        <v/>
      </c>
      <c r="F1711" s="19">
        <f>IF(OR(C1711="",D1711=""),"",IFERROR(INDEX('Qida bazası'!$E$2:$E$103,MATCH(C1711,'Qida bazası'!$A$2:$A$103,0))*D1711/100,"?"))</f>
        <v/>
      </c>
      <c r="G1711" s="19">
        <f>IF(OR(C1711="",D1711=""),"",IFERROR(INDEX('Qida bazası'!$F$2:$F$103,MATCH(C1711,'Qida bazası'!$A$2:$A$103,0))*D1711/100,"?"))</f>
        <v/>
      </c>
      <c r="H1711" s="19">
        <f>IF(OR(C1711="",D1711=""),"",IFERROR(INDEX('Qida bazası'!$G$2:$G$103,MATCH(C1711,'Qida bazası'!$A$2:$A$103,0))*D1711/100,"?"))</f>
        <v/>
      </c>
    </row>
    <row r="1712">
      <c r="A1712" s="21" t="n"/>
      <c r="E1712" s="18">
        <f>IF(OR(C1712="",D1712=""),"",IFERROR(INDEX('Qida bazası'!$D$2:$D$103,MATCH(C1712,'Qida bazası'!$A$2:$A$103,0))*D1712/100,"?"))</f>
        <v/>
      </c>
      <c r="F1712" s="19">
        <f>IF(OR(C1712="",D1712=""),"",IFERROR(INDEX('Qida bazası'!$E$2:$E$103,MATCH(C1712,'Qida bazası'!$A$2:$A$103,0))*D1712/100,"?"))</f>
        <v/>
      </c>
      <c r="G1712" s="19">
        <f>IF(OR(C1712="",D1712=""),"",IFERROR(INDEX('Qida bazası'!$F$2:$F$103,MATCH(C1712,'Qida bazası'!$A$2:$A$103,0))*D1712/100,"?"))</f>
        <v/>
      </c>
      <c r="H1712" s="19">
        <f>IF(OR(C1712="",D1712=""),"",IFERROR(INDEX('Qida bazası'!$G$2:$G$103,MATCH(C1712,'Qida bazası'!$A$2:$A$103,0))*D1712/100,"?"))</f>
        <v/>
      </c>
    </row>
    <row r="1713">
      <c r="A1713" s="21" t="n"/>
      <c r="E1713" s="18">
        <f>IF(OR(C1713="",D1713=""),"",IFERROR(INDEX('Qida bazası'!$D$2:$D$103,MATCH(C1713,'Qida bazası'!$A$2:$A$103,0))*D1713/100,"?"))</f>
        <v/>
      </c>
      <c r="F1713" s="19">
        <f>IF(OR(C1713="",D1713=""),"",IFERROR(INDEX('Qida bazası'!$E$2:$E$103,MATCH(C1713,'Qida bazası'!$A$2:$A$103,0))*D1713/100,"?"))</f>
        <v/>
      </c>
      <c r="G1713" s="19">
        <f>IF(OR(C1713="",D1713=""),"",IFERROR(INDEX('Qida bazası'!$F$2:$F$103,MATCH(C1713,'Qida bazası'!$A$2:$A$103,0))*D1713/100,"?"))</f>
        <v/>
      </c>
      <c r="H1713" s="19">
        <f>IF(OR(C1713="",D1713=""),"",IFERROR(INDEX('Qida bazası'!$G$2:$G$103,MATCH(C1713,'Qida bazası'!$A$2:$A$103,0))*D1713/100,"?"))</f>
        <v/>
      </c>
    </row>
    <row r="1714">
      <c r="A1714" s="21" t="n"/>
      <c r="E1714" s="18">
        <f>IF(OR(C1714="",D1714=""),"",IFERROR(INDEX('Qida bazası'!$D$2:$D$103,MATCH(C1714,'Qida bazası'!$A$2:$A$103,0))*D1714/100,"?"))</f>
        <v/>
      </c>
      <c r="F1714" s="19">
        <f>IF(OR(C1714="",D1714=""),"",IFERROR(INDEX('Qida bazası'!$E$2:$E$103,MATCH(C1714,'Qida bazası'!$A$2:$A$103,0))*D1714/100,"?"))</f>
        <v/>
      </c>
      <c r="G1714" s="19">
        <f>IF(OR(C1714="",D1714=""),"",IFERROR(INDEX('Qida bazası'!$F$2:$F$103,MATCH(C1714,'Qida bazası'!$A$2:$A$103,0))*D1714/100,"?"))</f>
        <v/>
      </c>
      <c r="H1714" s="19">
        <f>IF(OR(C1714="",D1714=""),"",IFERROR(INDEX('Qida bazası'!$G$2:$G$103,MATCH(C1714,'Qida bazası'!$A$2:$A$103,0))*D1714/100,"?"))</f>
        <v/>
      </c>
    </row>
    <row r="1715">
      <c r="A1715" s="21" t="n"/>
      <c r="E1715" s="18">
        <f>IF(OR(C1715="",D1715=""),"",IFERROR(INDEX('Qida bazası'!$D$2:$D$103,MATCH(C1715,'Qida bazası'!$A$2:$A$103,0))*D1715/100,"?"))</f>
        <v/>
      </c>
      <c r="F1715" s="19">
        <f>IF(OR(C1715="",D1715=""),"",IFERROR(INDEX('Qida bazası'!$E$2:$E$103,MATCH(C1715,'Qida bazası'!$A$2:$A$103,0))*D1715/100,"?"))</f>
        <v/>
      </c>
      <c r="G1715" s="19">
        <f>IF(OR(C1715="",D1715=""),"",IFERROR(INDEX('Qida bazası'!$F$2:$F$103,MATCH(C1715,'Qida bazası'!$A$2:$A$103,0))*D1715/100,"?"))</f>
        <v/>
      </c>
      <c r="H1715" s="19">
        <f>IF(OR(C1715="",D1715=""),"",IFERROR(INDEX('Qida bazası'!$G$2:$G$103,MATCH(C1715,'Qida bazası'!$A$2:$A$103,0))*D1715/100,"?"))</f>
        <v/>
      </c>
    </row>
    <row r="1716">
      <c r="A1716" s="21" t="n"/>
      <c r="E1716" s="18">
        <f>IF(OR(C1716="",D1716=""),"",IFERROR(INDEX('Qida bazası'!$D$2:$D$103,MATCH(C1716,'Qida bazası'!$A$2:$A$103,0))*D1716/100,"?"))</f>
        <v/>
      </c>
      <c r="F1716" s="19">
        <f>IF(OR(C1716="",D1716=""),"",IFERROR(INDEX('Qida bazası'!$E$2:$E$103,MATCH(C1716,'Qida bazası'!$A$2:$A$103,0))*D1716/100,"?"))</f>
        <v/>
      </c>
      <c r="G1716" s="19">
        <f>IF(OR(C1716="",D1716=""),"",IFERROR(INDEX('Qida bazası'!$F$2:$F$103,MATCH(C1716,'Qida bazası'!$A$2:$A$103,0))*D1716/100,"?"))</f>
        <v/>
      </c>
      <c r="H1716" s="19">
        <f>IF(OR(C1716="",D1716=""),"",IFERROR(INDEX('Qida bazası'!$G$2:$G$103,MATCH(C1716,'Qida bazası'!$A$2:$A$103,0))*D1716/100,"?"))</f>
        <v/>
      </c>
    </row>
    <row r="1717">
      <c r="A1717" s="21" t="n"/>
      <c r="E1717" s="18">
        <f>IF(OR(C1717="",D1717=""),"",IFERROR(INDEX('Qida bazası'!$D$2:$D$103,MATCH(C1717,'Qida bazası'!$A$2:$A$103,0))*D1717/100,"?"))</f>
        <v/>
      </c>
      <c r="F1717" s="19">
        <f>IF(OR(C1717="",D1717=""),"",IFERROR(INDEX('Qida bazası'!$E$2:$E$103,MATCH(C1717,'Qida bazası'!$A$2:$A$103,0))*D1717/100,"?"))</f>
        <v/>
      </c>
      <c r="G1717" s="19">
        <f>IF(OR(C1717="",D1717=""),"",IFERROR(INDEX('Qida bazası'!$F$2:$F$103,MATCH(C1717,'Qida bazası'!$A$2:$A$103,0))*D1717/100,"?"))</f>
        <v/>
      </c>
      <c r="H1717" s="19">
        <f>IF(OR(C1717="",D1717=""),"",IFERROR(INDEX('Qida bazası'!$G$2:$G$103,MATCH(C1717,'Qida bazası'!$A$2:$A$103,0))*D1717/100,"?"))</f>
        <v/>
      </c>
    </row>
    <row r="1718">
      <c r="A1718" s="21" t="n"/>
      <c r="E1718" s="18">
        <f>IF(OR(C1718="",D1718=""),"",IFERROR(INDEX('Qida bazası'!$D$2:$D$103,MATCH(C1718,'Qida bazası'!$A$2:$A$103,0))*D1718/100,"?"))</f>
        <v/>
      </c>
      <c r="F1718" s="19">
        <f>IF(OR(C1718="",D1718=""),"",IFERROR(INDEX('Qida bazası'!$E$2:$E$103,MATCH(C1718,'Qida bazası'!$A$2:$A$103,0))*D1718/100,"?"))</f>
        <v/>
      </c>
      <c r="G1718" s="19">
        <f>IF(OR(C1718="",D1718=""),"",IFERROR(INDEX('Qida bazası'!$F$2:$F$103,MATCH(C1718,'Qida bazası'!$A$2:$A$103,0))*D1718/100,"?"))</f>
        <v/>
      </c>
      <c r="H1718" s="19">
        <f>IF(OR(C1718="",D1718=""),"",IFERROR(INDEX('Qida bazası'!$G$2:$G$103,MATCH(C1718,'Qida bazası'!$A$2:$A$103,0))*D1718/100,"?"))</f>
        <v/>
      </c>
    </row>
    <row r="1719">
      <c r="A1719" s="21" t="n"/>
      <c r="E1719" s="18">
        <f>IF(OR(C1719="",D1719=""),"",IFERROR(INDEX('Qida bazası'!$D$2:$D$103,MATCH(C1719,'Qida bazası'!$A$2:$A$103,0))*D1719/100,"?"))</f>
        <v/>
      </c>
      <c r="F1719" s="19">
        <f>IF(OR(C1719="",D1719=""),"",IFERROR(INDEX('Qida bazası'!$E$2:$E$103,MATCH(C1719,'Qida bazası'!$A$2:$A$103,0))*D1719/100,"?"))</f>
        <v/>
      </c>
      <c r="G1719" s="19">
        <f>IF(OR(C1719="",D1719=""),"",IFERROR(INDEX('Qida bazası'!$F$2:$F$103,MATCH(C1719,'Qida bazası'!$A$2:$A$103,0))*D1719/100,"?"))</f>
        <v/>
      </c>
      <c r="H1719" s="19">
        <f>IF(OR(C1719="",D1719=""),"",IFERROR(INDEX('Qida bazası'!$G$2:$G$103,MATCH(C1719,'Qida bazası'!$A$2:$A$103,0))*D1719/100,"?"))</f>
        <v/>
      </c>
    </row>
    <row r="1720">
      <c r="A1720" s="21" t="n"/>
      <c r="E1720" s="18">
        <f>IF(OR(C1720="",D1720=""),"",IFERROR(INDEX('Qida bazası'!$D$2:$D$103,MATCH(C1720,'Qida bazası'!$A$2:$A$103,0))*D1720/100,"?"))</f>
        <v/>
      </c>
      <c r="F1720" s="19">
        <f>IF(OR(C1720="",D1720=""),"",IFERROR(INDEX('Qida bazası'!$E$2:$E$103,MATCH(C1720,'Qida bazası'!$A$2:$A$103,0))*D1720/100,"?"))</f>
        <v/>
      </c>
      <c r="G1720" s="19">
        <f>IF(OR(C1720="",D1720=""),"",IFERROR(INDEX('Qida bazası'!$F$2:$F$103,MATCH(C1720,'Qida bazası'!$A$2:$A$103,0))*D1720/100,"?"))</f>
        <v/>
      </c>
      <c r="H1720" s="19">
        <f>IF(OR(C1720="",D1720=""),"",IFERROR(INDEX('Qida bazası'!$G$2:$G$103,MATCH(C1720,'Qida bazası'!$A$2:$A$103,0))*D1720/100,"?"))</f>
        <v/>
      </c>
    </row>
    <row r="1721">
      <c r="A1721" s="21" t="n"/>
      <c r="E1721" s="18">
        <f>IF(OR(C1721="",D1721=""),"",IFERROR(INDEX('Qida bazası'!$D$2:$D$103,MATCH(C1721,'Qida bazası'!$A$2:$A$103,0))*D1721/100,"?"))</f>
        <v/>
      </c>
      <c r="F1721" s="19">
        <f>IF(OR(C1721="",D1721=""),"",IFERROR(INDEX('Qida bazası'!$E$2:$E$103,MATCH(C1721,'Qida bazası'!$A$2:$A$103,0))*D1721/100,"?"))</f>
        <v/>
      </c>
      <c r="G1721" s="19">
        <f>IF(OR(C1721="",D1721=""),"",IFERROR(INDEX('Qida bazası'!$F$2:$F$103,MATCH(C1721,'Qida bazası'!$A$2:$A$103,0))*D1721/100,"?"))</f>
        <v/>
      </c>
      <c r="H1721" s="19">
        <f>IF(OR(C1721="",D1721=""),"",IFERROR(INDEX('Qida bazası'!$G$2:$G$103,MATCH(C1721,'Qida bazası'!$A$2:$A$103,0))*D1721/100,"?"))</f>
        <v/>
      </c>
    </row>
    <row r="1722">
      <c r="A1722" s="21" t="n"/>
      <c r="E1722" s="18">
        <f>IF(OR(C1722="",D1722=""),"",IFERROR(INDEX('Qida bazası'!$D$2:$D$103,MATCH(C1722,'Qida bazası'!$A$2:$A$103,0))*D1722/100,"?"))</f>
        <v/>
      </c>
      <c r="F1722" s="19">
        <f>IF(OR(C1722="",D1722=""),"",IFERROR(INDEX('Qida bazası'!$E$2:$E$103,MATCH(C1722,'Qida bazası'!$A$2:$A$103,0))*D1722/100,"?"))</f>
        <v/>
      </c>
      <c r="G1722" s="19">
        <f>IF(OR(C1722="",D1722=""),"",IFERROR(INDEX('Qida bazası'!$F$2:$F$103,MATCH(C1722,'Qida bazası'!$A$2:$A$103,0))*D1722/100,"?"))</f>
        <v/>
      </c>
      <c r="H1722" s="19">
        <f>IF(OR(C1722="",D1722=""),"",IFERROR(INDEX('Qida bazası'!$G$2:$G$103,MATCH(C1722,'Qida bazası'!$A$2:$A$103,0))*D1722/100,"?"))</f>
        <v/>
      </c>
    </row>
    <row r="1723">
      <c r="A1723" s="21" t="n"/>
      <c r="E1723" s="18">
        <f>IF(OR(C1723="",D1723=""),"",IFERROR(INDEX('Qida bazası'!$D$2:$D$103,MATCH(C1723,'Qida bazası'!$A$2:$A$103,0))*D1723/100,"?"))</f>
        <v/>
      </c>
      <c r="F1723" s="19">
        <f>IF(OR(C1723="",D1723=""),"",IFERROR(INDEX('Qida bazası'!$E$2:$E$103,MATCH(C1723,'Qida bazası'!$A$2:$A$103,0))*D1723/100,"?"))</f>
        <v/>
      </c>
      <c r="G1723" s="19">
        <f>IF(OR(C1723="",D1723=""),"",IFERROR(INDEX('Qida bazası'!$F$2:$F$103,MATCH(C1723,'Qida bazası'!$A$2:$A$103,0))*D1723/100,"?"))</f>
        <v/>
      </c>
      <c r="H1723" s="19">
        <f>IF(OR(C1723="",D1723=""),"",IFERROR(INDEX('Qida bazası'!$G$2:$G$103,MATCH(C1723,'Qida bazası'!$A$2:$A$103,0))*D1723/100,"?"))</f>
        <v/>
      </c>
    </row>
    <row r="1724">
      <c r="A1724" s="21" t="n"/>
      <c r="E1724" s="18">
        <f>IF(OR(C1724="",D1724=""),"",IFERROR(INDEX('Qida bazası'!$D$2:$D$103,MATCH(C1724,'Qida bazası'!$A$2:$A$103,0))*D1724/100,"?"))</f>
        <v/>
      </c>
      <c r="F1724" s="19">
        <f>IF(OR(C1724="",D1724=""),"",IFERROR(INDEX('Qida bazası'!$E$2:$E$103,MATCH(C1724,'Qida bazası'!$A$2:$A$103,0))*D1724/100,"?"))</f>
        <v/>
      </c>
      <c r="G1724" s="19">
        <f>IF(OR(C1724="",D1724=""),"",IFERROR(INDEX('Qida bazası'!$F$2:$F$103,MATCH(C1724,'Qida bazası'!$A$2:$A$103,0))*D1724/100,"?"))</f>
        <v/>
      </c>
      <c r="H1724" s="19">
        <f>IF(OR(C1724="",D1724=""),"",IFERROR(INDEX('Qida bazası'!$G$2:$G$103,MATCH(C1724,'Qida bazası'!$A$2:$A$103,0))*D1724/100,"?"))</f>
        <v/>
      </c>
    </row>
    <row r="1725">
      <c r="A1725" s="21" t="n"/>
      <c r="E1725" s="18">
        <f>IF(OR(C1725="",D1725=""),"",IFERROR(INDEX('Qida bazası'!$D$2:$D$103,MATCH(C1725,'Qida bazası'!$A$2:$A$103,0))*D1725/100,"?"))</f>
        <v/>
      </c>
      <c r="F1725" s="19">
        <f>IF(OR(C1725="",D1725=""),"",IFERROR(INDEX('Qida bazası'!$E$2:$E$103,MATCH(C1725,'Qida bazası'!$A$2:$A$103,0))*D1725/100,"?"))</f>
        <v/>
      </c>
      <c r="G1725" s="19">
        <f>IF(OR(C1725="",D1725=""),"",IFERROR(INDEX('Qida bazası'!$F$2:$F$103,MATCH(C1725,'Qida bazası'!$A$2:$A$103,0))*D1725/100,"?"))</f>
        <v/>
      </c>
      <c r="H1725" s="19">
        <f>IF(OR(C1725="",D1725=""),"",IFERROR(INDEX('Qida bazası'!$G$2:$G$103,MATCH(C1725,'Qida bazası'!$A$2:$A$103,0))*D1725/100,"?"))</f>
        <v/>
      </c>
    </row>
    <row r="1726">
      <c r="A1726" s="21" t="n"/>
      <c r="E1726" s="18">
        <f>IF(OR(C1726="",D1726=""),"",IFERROR(INDEX('Qida bazası'!$D$2:$D$103,MATCH(C1726,'Qida bazası'!$A$2:$A$103,0))*D1726/100,"?"))</f>
        <v/>
      </c>
      <c r="F1726" s="19">
        <f>IF(OR(C1726="",D1726=""),"",IFERROR(INDEX('Qida bazası'!$E$2:$E$103,MATCH(C1726,'Qida bazası'!$A$2:$A$103,0))*D1726/100,"?"))</f>
        <v/>
      </c>
      <c r="G1726" s="19">
        <f>IF(OR(C1726="",D1726=""),"",IFERROR(INDEX('Qida bazası'!$F$2:$F$103,MATCH(C1726,'Qida bazası'!$A$2:$A$103,0))*D1726/100,"?"))</f>
        <v/>
      </c>
      <c r="H1726" s="19">
        <f>IF(OR(C1726="",D1726=""),"",IFERROR(INDEX('Qida bazası'!$G$2:$G$103,MATCH(C1726,'Qida bazası'!$A$2:$A$103,0))*D1726/100,"?"))</f>
        <v/>
      </c>
    </row>
    <row r="1727">
      <c r="A1727" s="21" t="n"/>
      <c r="E1727" s="18">
        <f>IF(OR(C1727="",D1727=""),"",IFERROR(INDEX('Qida bazası'!$D$2:$D$103,MATCH(C1727,'Qida bazası'!$A$2:$A$103,0))*D1727/100,"?"))</f>
        <v/>
      </c>
      <c r="F1727" s="19">
        <f>IF(OR(C1727="",D1727=""),"",IFERROR(INDEX('Qida bazası'!$E$2:$E$103,MATCH(C1727,'Qida bazası'!$A$2:$A$103,0))*D1727/100,"?"))</f>
        <v/>
      </c>
      <c r="G1727" s="19">
        <f>IF(OR(C1727="",D1727=""),"",IFERROR(INDEX('Qida bazası'!$F$2:$F$103,MATCH(C1727,'Qida bazası'!$A$2:$A$103,0))*D1727/100,"?"))</f>
        <v/>
      </c>
      <c r="H1727" s="19">
        <f>IF(OR(C1727="",D1727=""),"",IFERROR(INDEX('Qida bazası'!$G$2:$G$103,MATCH(C1727,'Qida bazası'!$A$2:$A$103,0))*D1727/100,"?"))</f>
        <v/>
      </c>
    </row>
    <row r="1728">
      <c r="A1728" s="21" t="n"/>
      <c r="E1728" s="18">
        <f>IF(OR(C1728="",D1728=""),"",IFERROR(INDEX('Qida bazası'!$D$2:$D$103,MATCH(C1728,'Qida bazası'!$A$2:$A$103,0))*D1728/100,"?"))</f>
        <v/>
      </c>
      <c r="F1728" s="19">
        <f>IF(OR(C1728="",D1728=""),"",IFERROR(INDEX('Qida bazası'!$E$2:$E$103,MATCH(C1728,'Qida bazası'!$A$2:$A$103,0))*D1728/100,"?"))</f>
        <v/>
      </c>
      <c r="G1728" s="19">
        <f>IF(OR(C1728="",D1728=""),"",IFERROR(INDEX('Qida bazası'!$F$2:$F$103,MATCH(C1728,'Qida bazası'!$A$2:$A$103,0))*D1728/100,"?"))</f>
        <v/>
      </c>
      <c r="H1728" s="19">
        <f>IF(OR(C1728="",D1728=""),"",IFERROR(INDEX('Qida bazası'!$G$2:$G$103,MATCH(C1728,'Qida bazası'!$A$2:$A$103,0))*D1728/100,"?"))</f>
        <v/>
      </c>
    </row>
    <row r="1729">
      <c r="A1729" s="21" t="n"/>
      <c r="E1729" s="18">
        <f>IF(OR(C1729="",D1729=""),"",IFERROR(INDEX('Qida bazası'!$D$2:$D$103,MATCH(C1729,'Qida bazası'!$A$2:$A$103,0))*D1729/100,"?"))</f>
        <v/>
      </c>
      <c r="F1729" s="19">
        <f>IF(OR(C1729="",D1729=""),"",IFERROR(INDEX('Qida bazası'!$E$2:$E$103,MATCH(C1729,'Qida bazası'!$A$2:$A$103,0))*D1729/100,"?"))</f>
        <v/>
      </c>
      <c r="G1729" s="19">
        <f>IF(OR(C1729="",D1729=""),"",IFERROR(INDEX('Qida bazası'!$F$2:$F$103,MATCH(C1729,'Qida bazası'!$A$2:$A$103,0))*D1729/100,"?"))</f>
        <v/>
      </c>
      <c r="H1729" s="19">
        <f>IF(OR(C1729="",D1729=""),"",IFERROR(INDEX('Qida bazası'!$G$2:$G$103,MATCH(C1729,'Qida bazası'!$A$2:$A$103,0))*D1729/100,"?"))</f>
        <v/>
      </c>
    </row>
    <row r="1730">
      <c r="A1730" s="21" t="n"/>
      <c r="E1730" s="18">
        <f>IF(OR(C1730="",D1730=""),"",IFERROR(INDEX('Qida bazası'!$D$2:$D$103,MATCH(C1730,'Qida bazası'!$A$2:$A$103,0))*D1730/100,"?"))</f>
        <v/>
      </c>
      <c r="F1730" s="19">
        <f>IF(OR(C1730="",D1730=""),"",IFERROR(INDEX('Qida bazası'!$E$2:$E$103,MATCH(C1730,'Qida bazası'!$A$2:$A$103,0))*D1730/100,"?"))</f>
        <v/>
      </c>
      <c r="G1730" s="19">
        <f>IF(OR(C1730="",D1730=""),"",IFERROR(INDEX('Qida bazası'!$F$2:$F$103,MATCH(C1730,'Qida bazası'!$A$2:$A$103,0))*D1730/100,"?"))</f>
        <v/>
      </c>
      <c r="H1730" s="19">
        <f>IF(OR(C1730="",D1730=""),"",IFERROR(INDEX('Qida bazası'!$G$2:$G$103,MATCH(C1730,'Qida bazası'!$A$2:$A$103,0))*D1730/100,"?"))</f>
        <v/>
      </c>
    </row>
    <row r="1731">
      <c r="A1731" s="21" t="n"/>
      <c r="E1731" s="18">
        <f>IF(OR(C1731="",D1731=""),"",IFERROR(INDEX('Qida bazası'!$D$2:$D$103,MATCH(C1731,'Qida bazası'!$A$2:$A$103,0))*D1731/100,"?"))</f>
        <v/>
      </c>
      <c r="F1731" s="19">
        <f>IF(OR(C1731="",D1731=""),"",IFERROR(INDEX('Qida bazası'!$E$2:$E$103,MATCH(C1731,'Qida bazası'!$A$2:$A$103,0))*D1731/100,"?"))</f>
        <v/>
      </c>
      <c r="G1731" s="19">
        <f>IF(OR(C1731="",D1731=""),"",IFERROR(INDEX('Qida bazası'!$F$2:$F$103,MATCH(C1731,'Qida bazası'!$A$2:$A$103,0))*D1731/100,"?"))</f>
        <v/>
      </c>
      <c r="H1731" s="19">
        <f>IF(OR(C1731="",D1731=""),"",IFERROR(INDEX('Qida bazası'!$G$2:$G$103,MATCH(C1731,'Qida bazası'!$A$2:$A$103,0))*D1731/100,"?"))</f>
        <v/>
      </c>
    </row>
    <row r="1732">
      <c r="A1732" s="21" t="n"/>
      <c r="E1732" s="18">
        <f>IF(OR(C1732="",D1732=""),"",IFERROR(INDEX('Qida bazası'!$D$2:$D$103,MATCH(C1732,'Qida bazası'!$A$2:$A$103,0))*D1732/100,"?"))</f>
        <v/>
      </c>
      <c r="F1732" s="19">
        <f>IF(OR(C1732="",D1732=""),"",IFERROR(INDEX('Qida bazası'!$E$2:$E$103,MATCH(C1732,'Qida bazası'!$A$2:$A$103,0))*D1732/100,"?"))</f>
        <v/>
      </c>
      <c r="G1732" s="19">
        <f>IF(OR(C1732="",D1732=""),"",IFERROR(INDEX('Qida bazası'!$F$2:$F$103,MATCH(C1732,'Qida bazası'!$A$2:$A$103,0))*D1732/100,"?"))</f>
        <v/>
      </c>
      <c r="H1732" s="19">
        <f>IF(OR(C1732="",D1732=""),"",IFERROR(INDEX('Qida bazası'!$G$2:$G$103,MATCH(C1732,'Qida bazası'!$A$2:$A$103,0))*D1732/100,"?"))</f>
        <v/>
      </c>
    </row>
    <row r="1733">
      <c r="A1733" s="21" t="n"/>
      <c r="E1733" s="18">
        <f>IF(OR(C1733="",D1733=""),"",IFERROR(INDEX('Qida bazası'!$D$2:$D$103,MATCH(C1733,'Qida bazası'!$A$2:$A$103,0))*D1733/100,"?"))</f>
        <v/>
      </c>
      <c r="F1733" s="19">
        <f>IF(OR(C1733="",D1733=""),"",IFERROR(INDEX('Qida bazası'!$E$2:$E$103,MATCH(C1733,'Qida bazası'!$A$2:$A$103,0))*D1733/100,"?"))</f>
        <v/>
      </c>
      <c r="G1733" s="19">
        <f>IF(OR(C1733="",D1733=""),"",IFERROR(INDEX('Qida bazası'!$F$2:$F$103,MATCH(C1733,'Qida bazası'!$A$2:$A$103,0))*D1733/100,"?"))</f>
        <v/>
      </c>
      <c r="H1733" s="19">
        <f>IF(OR(C1733="",D1733=""),"",IFERROR(INDEX('Qida bazası'!$G$2:$G$103,MATCH(C1733,'Qida bazası'!$A$2:$A$103,0))*D1733/100,"?"))</f>
        <v/>
      </c>
    </row>
    <row r="1734">
      <c r="A1734" s="21" t="n"/>
      <c r="E1734" s="18">
        <f>IF(OR(C1734="",D1734=""),"",IFERROR(INDEX('Qida bazası'!$D$2:$D$103,MATCH(C1734,'Qida bazası'!$A$2:$A$103,0))*D1734/100,"?"))</f>
        <v/>
      </c>
      <c r="F1734" s="19">
        <f>IF(OR(C1734="",D1734=""),"",IFERROR(INDEX('Qida bazası'!$E$2:$E$103,MATCH(C1734,'Qida bazası'!$A$2:$A$103,0))*D1734/100,"?"))</f>
        <v/>
      </c>
      <c r="G1734" s="19">
        <f>IF(OR(C1734="",D1734=""),"",IFERROR(INDEX('Qida bazası'!$F$2:$F$103,MATCH(C1734,'Qida bazası'!$A$2:$A$103,0))*D1734/100,"?"))</f>
        <v/>
      </c>
      <c r="H1734" s="19">
        <f>IF(OR(C1734="",D1734=""),"",IFERROR(INDEX('Qida bazası'!$G$2:$G$103,MATCH(C1734,'Qida bazası'!$A$2:$A$103,0))*D1734/100,"?"))</f>
        <v/>
      </c>
    </row>
    <row r="1735">
      <c r="A1735" s="21" t="n"/>
      <c r="E1735" s="18">
        <f>IF(OR(C1735="",D1735=""),"",IFERROR(INDEX('Qida bazası'!$D$2:$D$103,MATCH(C1735,'Qida bazası'!$A$2:$A$103,0))*D1735/100,"?"))</f>
        <v/>
      </c>
      <c r="F1735" s="19">
        <f>IF(OR(C1735="",D1735=""),"",IFERROR(INDEX('Qida bazası'!$E$2:$E$103,MATCH(C1735,'Qida bazası'!$A$2:$A$103,0))*D1735/100,"?"))</f>
        <v/>
      </c>
      <c r="G1735" s="19">
        <f>IF(OR(C1735="",D1735=""),"",IFERROR(INDEX('Qida bazası'!$F$2:$F$103,MATCH(C1735,'Qida bazası'!$A$2:$A$103,0))*D1735/100,"?"))</f>
        <v/>
      </c>
      <c r="H1735" s="19">
        <f>IF(OR(C1735="",D1735=""),"",IFERROR(INDEX('Qida bazası'!$G$2:$G$103,MATCH(C1735,'Qida bazası'!$A$2:$A$103,0))*D1735/100,"?"))</f>
        <v/>
      </c>
    </row>
    <row r="1736">
      <c r="A1736" s="21" t="n"/>
      <c r="E1736" s="18">
        <f>IF(OR(C1736="",D1736=""),"",IFERROR(INDEX('Qida bazası'!$D$2:$D$103,MATCH(C1736,'Qida bazası'!$A$2:$A$103,0))*D1736/100,"?"))</f>
        <v/>
      </c>
      <c r="F1736" s="19">
        <f>IF(OR(C1736="",D1736=""),"",IFERROR(INDEX('Qida bazası'!$E$2:$E$103,MATCH(C1736,'Qida bazası'!$A$2:$A$103,0))*D1736/100,"?"))</f>
        <v/>
      </c>
      <c r="G1736" s="19">
        <f>IF(OR(C1736="",D1736=""),"",IFERROR(INDEX('Qida bazası'!$F$2:$F$103,MATCH(C1736,'Qida bazası'!$A$2:$A$103,0))*D1736/100,"?"))</f>
        <v/>
      </c>
      <c r="H1736" s="19">
        <f>IF(OR(C1736="",D1736=""),"",IFERROR(INDEX('Qida bazası'!$G$2:$G$103,MATCH(C1736,'Qida bazası'!$A$2:$A$103,0))*D1736/100,"?"))</f>
        <v/>
      </c>
    </row>
    <row r="1737">
      <c r="A1737" s="21" t="n"/>
      <c r="E1737" s="18">
        <f>IF(OR(C1737="",D1737=""),"",IFERROR(INDEX('Qida bazası'!$D$2:$D$103,MATCH(C1737,'Qida bazası'!$A$2:$A$103,0))*D1737/100,"?"))</f>
        <v/>
      </c>
      <c r="F1737" s="19">
        <f>IF(OR(C1737="",D1737=""),"",IFERROR(INDEX('Qida bazası'!$E$2:$E$103,MATCH(C1737,'Qida bazası'!$A$2:$A$103,0))*D1737/100,"?"))</f>
        <v/>
      </c>
      <c r="G1737" s="19">
        <f>IF(OR(C1737="",D1737=""),"",IFERROR(INDEX('Qida bazası'!$F$2:$F$103,MATCH(C1737,'Qida bazası'!$A$2:$A$103,0))*D1737/100,"?"))</f>
        <v/>
      </c>
      <c r="H1737" s="19">
        <f>IF(OR(C1737="",D1737=""),"",IFERROR(INDEX('Qida bazası'!$G$2:$G$103,MATCH(C1737,'Qida bazası'!$A$2:$A$103,0))*D1737/100,"?"))</f>
        <v/>
      </c>
    </row>
    <row r="1738">
      <c r="A1738" s="21" t="n"/>
      <c r="E1738" s="18">
        <f>IF(OR(C1738="",D1738=""),"",IFERROR(INDEX('Qida bazası'!$D$2:$D$103,MATCH(C1738,'Qida bazası'!$A$2:$A$103,0))*D1738/100,"?"))</f>
        <v/>
      </c>
      <c r="F1738" s="19">
        <f>IF(OR(C1738="",D1738=""),"",IFERROR(INDEX('Qida bazası'!$E$2:$E$103,MATCH(C1738,'Qida bazası'!$A$2:$A$103,0))*D1738/100,"?"))</f>
        <v/>
      </c>
      <c r="G1738" s="19">
        <f>IF(OR(C1738="",D1738=""),"",IFERROR(INDEX('Qida bazası'!$F$2:$F$103,MATCH(C1738,'Qida bazası'!$A$2:$A$103,0))*D1738/100,"?"))</f>
        <v/>
      </c>
      <c r="H1738" s="19">
        <f>IF(OR(C1738="",D1738=""),"",IFERROR(INDEX('Qida bazası'!$G$2:$G$103,MATCH(C1738,'Qida bazası'!$A$2:$A$103,0))*D1738/100,"?"))</f>
        <v/>
      </c>
    </row>
    <row r="1739">
      <c r="A1739" s="21" t="n"/>
      <c r="E1739" s="18">
        <f>IF(OR(C1739="",D1739=""),"",IFERROR(INDEX('Qida bazası'!$D$2:$D$103,MATCH(C1739,'Qida bazası'!$A$2:$A$103,0))*D1739/100,"?"))</f>
        <v/>
      </c>
      <c r="F1739" s="19">
        <f>IF(OR(C1739="",D1739=""),"",IFERROR(INDEX('Qida bazası'!$E$2:$E$103,MATCH(C1739,'Qida bazası'!$A$2:$A$103,0))*D1739/100,"?"))</f>
        <v/>
      </c>
      <c r="G1739" s="19">
        <f>IF(OR(C1739="",D1739=""),"",IFERROR(INDEX('Qida bazası'!$F$2:$F$103,MATCH(C1739,'Qida bazası'!$A$2:$A$103,0))*D1739/100,"?"))</f>
        <v/>
      </c>
      <c r="H1739" s="19">
        <f>IF(OR(C1739="",D1739=""),"",IFERROR(INDEX('Qida bazası'!$G$2:$G$103,MATCH(C1739,'Qida bazası'!$A$2:$A$103,0))*D1739/100,"?"))</f>
        <v/>
      </c>
    </row>
    <row r="1740">
      <c r="A1740" s="21" t="n"/>
      <c r="E1740" s="18">
        <f>IF(OR(C1740="",D1740=""),"",IFERROR(INDEX('Qida bazası'!$D$2:$D$103,MATCH(C1740,'Qida bazası'!$A$2:$A$103,0))*D1740/100,"?"))</f>
        <v/>
      </c>
      <c r="F1740" s="19">
        <f>IF(OR(C1740="",D1740=""),"",IFERROR(INDEX('Qida bazası'!$E$2:$E$103,MATCH(C1740,'Qida bazası'!$A$2:$A$103,0))*D1740/100,"?"))</f>
        <v/>
      </c>
      <c r="G1740" s="19">
        <f>IF(OR(C1740="",D1740=""),"",IFERROR(INDEX('Qida bazası'!$F$2:$F$103,MATCH(C1740,'Qida bazası'!$A$2:$A$103,0))*D1740/100,"?"))</f>
        <v/>
      </c>
      <c r="H1740" s="19">
        <f>IF(OR(C1740="",D1740=""),"",IFERROR(INDEX('Qida bazası'!$G$2:$G$103,MATCH(C1740,'Qida bazası'!$A$2:$A$103,0))*D1740/100,"?"))</f>
        <v/>
      </c>
    </row>
    <row r="1741">
      <c r="A1741" s="21" t="n"/>
      <c r="E1741" s="18">
        <f>IF(OR(C1741="",D1741=""),"",IFERROR(INDEX('Qida bazası'!$D$2:$D$103,MATCH(C1741,'Qida bazası'!$A$2:$A$103,0))*D1741/100,"?"))</f>
        <v/>
      </c>
      <c r="F1741" s="19">
        <f>IF(OR(C1741="",D1741=""),"",IFERROR(INDEX('Qida bazası'!$E$2:$E$103,MATCH(C1741,'Qida bazası'!$A$2:$A$103,0))*D1741/100,"?"))</f>
        <v/>
      </c>
      <c r="G1741" s="19">
        <f>IF(OR(C1741="",D1741=""),"",IFERROR(INDEX('Qida bazası'!$F$2:$F$103,MATCH(C1741,'Qida bazası'!$A$2:$A$103,0))*D1741/100,"?"))</f>
        <v/>
      </c>
      <c r="H1741" s="19">
        <f>IF(OR(C1741="",D1741=""),"",IFERROR(INDEX('Qida bazası'!$G$2:$G$103,MATCH(C1741,'Qida bazası'!$A$2:$A$103,0))*D1741/100,"?"))</f>
        <v/>
      </c>
    </row>
    <row r="1742">
      <c r="A1742" s="21" t="n"/>
      <c r="E1742" s="18">
        <f>IF(OR(C1742="",D1742=""),"",IFERROR(INDEX('Qida bazası'!$D$2:$D$103,MATCH(C1742,'Qida bazası'!$A$2:$A$103,0))*D1742/100,"?"))</f>
        <v/>
      </c>
      <c r="F1742" s="19">
        <f>IF(OR(C1742="",D1742=""),"",IFERROR(INDEX('Qida bazası'!$E$2:$E$103,MATCH(C1742,'Qida bazası'!$A$2:$A$103,0))*D1742/100,"?"))</f>
        <v/>
      </c>
      <c r="G1742" s="19">
        <f>IF(OR(C1742="",D1742=""),"",IFERROR(INDEX('Qida bazası'!$F$2:$F$103,MATCH(C1742,'Qida bazası'!$A$2:$A$103,0))*D1742/100,"?"))</f>
        <v/>
      </c>
      <c r="H1742" s="19">
        <f>IF(OR(C1742="",D1742=""),"",IFERROR(INDEX('Qida bazası'!$G$2:$G$103,MATCH(C1742,'Qida bazası'!$A$2:$A$103,0))*D1742/100,"?"))</f>
        <v/>
      </c>
    </row>
    <row r="1743">
      <c r="A1743" s="21" t="n"/>
      <c r="E1743" s="18">
        <f>IF(OR(C1743="",D1743=""),"",IFERROR(INDEX('Qida bazası'!$D$2:$D$103,MATCH(C1743,'Qida bazası'!$A$2:$A$103,0))*D1743/100,"?"))</f>
        <v/>
      </c>
      <c r="F1743" s="19">
        <f>IF(OR(C1743="",D1743=""),"",IFERROR(INDEX('Qida bazası'!$E$2:$E$103,MATCH(C1743,'Qida bazası'!$A$2:$A$103,0))*D1743/100,"?"))</f>
        <v/>
      </c>
      <c r="G1743" s="19">
        <f>IF(OR(C1743="",D1743=""),"",IFERROR(INDEX('Qida bazası'!$F$2:$F$103,MATCH(C1743,'Qida bazası'!$A$2:$A$103,0))*D1743/100,"?"))</f>
        <v/>
      </c>
      <c r="H1743" s="19">
        <f>IF(OR(C1743="",D1743=""),"",IFERROR(INDEX('Qida bazası'!$G$2:$G$103,MATCH(C1743,'Qida bazası'!$A$2:$A$103,0))*D1743/100,"?"))</f>
        <v/>
      </c>
    </row>
    <row r="1744">
      <c r="A1744" s="21" t="n"/>
      <c r="E1744" s="18">
        <f>IF(OR(C1744="",D1744=""),"",IFERROR(INDEX('Qida bazası'!$D$2:$D$103,MATCH(C1744,'Qida bazası'!$A$2:$A$103,0))*D1744/100,"?"))</f>
        <v/>
      </c>
      <c r="F1744" s="19">
        <f>IF(OR(C1744="",D1744=""),"",IFERROR(INDEX('Qida bazası'!$E$2:$E$103,MATCH(C1744,'Qida bazası'!$A$2:$A$103,0))*D1744/100,"?"))</f>
        <v/>
      </c>
      <c r="G1744" s="19">
        <f>IF(OR(C1744="",D1744=""),"",IFERROR(INDEX('Qida bazası'!$F$2:$F$103,MATCH(C1744,'Qida bazası'!$A$2:$A$103,0))*D1744/100,"?"))</f>
        <v/>
      </c>
      <c r="H1744" s="19">
        <f>IF(OR(C1744="",D1744=""),"",IFERROR(INDEX('Qida bazası'!$G$2:$G$103,MATCH(C1744,'Qida bazası'!$A$2:$A$103,0))*D1744/100,"?"))</f>
        <v/>
      </c>
    </row>
    <row r="1745">
      <c r="A1745" s="21" t="n"/>
      <c r="E1745" s="18">
        <f>IF(OR(C1745="",D1745=""),"",IFERROR(INDEX('Qida bazası'!$D$2:$D$103,MATCH(C1745,'Qida bazası'!$A$2:$A$103,0))*D1745/100,"?"))</f>
        <v/>
      </c>
      <c r="F1745" s="19">
        <f>IF(OR(C1745="",D1745=""),"",IFERROR(INDEX('Qida bazası'!$E$2:$E$103,MATCH(C1745,'Qida bazası'!$A$2:$A$103,0))*D1745/100,"?"))</f>
        <v/>
      </c>
      <c r="G1745" s="19">
        <f>IF(OR(C1745="",D1745=""),"",IFERROR(INDEX('Qida bazası'!$F$2:$F$103,MATCH(C1745,'Qida bazası'!$A$2:$A$103,0))*D1745/100,"?"))</f>
        <v/>
      </c>
      <c r="H1745" s="19">
        <f>IF(OR(C1745="",D1745=""),"",IFERROR(INDEX('Qida bazası'!$G$2:$G$103,MATCH(C1745,'Qida bazası'!$A$2:$A$103,0))*D1745/100,"?"))</f>
        <v/>
      </c>
    </row>
    <row r="1746">
      <c r="A1746" s="21" t="n"/>
      <c r="E1746" s="18">
        <f>IF(OR(C1746="",D1746=""),"",IFERROR(INDEX('Qida bazası'!$D$2:$D$103,MATCH(C1746,'Qida bazası'!$A$2:$A$103,0))*D1746/100,"?"))</f>
        <v/>
      </c>
      <c r="F1746" s="19">
        <f>IF(OR(C1746="",D1746=""),"",IFERROR(INDEX('Qida bazası'!$E$2:$E$103,MATCH(C1746,'Qida bazası'!$A$2:$A$103,0))*D1746/100,"?"))</f>
        <v/>
      </c>
      <c r="G1746" s="19">
        <f>IF(OR(C1746="",D1746=""),"",IFERROR(INDEX('Qida bazası'!$F$2:$F$103,MATCH(C1746,'Qida bazası'!$A$2:$A$103,0))*D1746/100,"?"))</f>
        <v/>
      </c>
      <c r="H1746" s="19">
        <f>IF(OR(C1746="",D1746=""),"",IFERROR(INDEX('Qida bazası'!$G$2:$G$103,MATCH(C1746,'Qida bazası'!$A$2:$A$103,0))*D1746/100,"?"))</f>
        <v/>
      </c>
    </row>
    <row r="1747">
      <c r="A1747" s="21" t="n"/>
      <c r="E1747" s="18">
        <f>IF(OR(C1747="",D1747=""),"",IFERROR(INDEX('Qida bazası'!$D$2:$D$103,MATCH(C1747,'Qida bazası'!$A$2:$A$103,0))*D1747/100,"?"))</f>
        <v/>
      </c>
      <c r="F1747" s="19">
        <f>IF(OR(C1747="",D1747=""),"",IFERROR(INDEX('Qida bazası'!$E$2:$E$103,MATCH(C1747,'Qida bazası'!$A$2:$A$103,0))*D1747/100,"?"))</f>
        <v/>
      </c>
      <c r="G1747" s="19">
        <f>IF(OR(C1747="",D1747=""),"",IFERROR(INDEX('Qida bazası'!$F$2:$F$103,MATCH(C1747,'Qida bazası'!$A$2:$A$103,0))*D1747/100,"?"))</f>
        <v/>
      </c>
      <c r="H1747" s="19">
        <f>IF(OR(C1747="",D1747=""),"",IFERROR(INDEX('Qida bazası'!$G$2:$G$103,MATCH(C1747,'Qida bazası'!$A$2:$A$103,0))*D1747/100,"?"))</f>
        <v/>
      </c>
    </row>
    <row r="1748">
      <c r="A1748" s="21" t="n"/>
      <c r="E1748" s="18">
        <f>IF(OR(C1748="",D1748=""),"",IFERROR(INDEX('Qida bazası'!$D$2:$D$103,MATCH(C1748,'Qida bazası'!$A$2:$A$103,0))*D1748/100,"?"))</f>
        <v/>
      </c>
      <c r="F1748" s="19">
        <f>IF(OR(C1748="",D1748=""),"",IFERROR(INDEX('Qida bazası'!$E$2:$E$103,MATCH(C1748,'Qida bazası'!$A$2:$A$103,0))*D1748/100,"?"))</f>
        <v/>
      </c>
      <c r="G1748" s="19">
        <f>IF(OR(C1748="",D1748=""),"",IFERROR(INDEX('Qida bazası'!$F$2:$F$103,MATCH(C1748,'Qida bazası'!$A$2:$A$103,0))*D1748/100,"?"))</f>
        <v/>
      </c>
      <c r="H1748" s="19">
        <f>IF(OR(C1748="",D1748=""),"",IFERROR(INDEX('Qida bazası'!$G$2:$G$103,MATCH(C1748,'Qida bazası'!$A$2:$A$103,0))*D1748/100,"?"))</f>
        <v/>
      </c>
    </row>
    <row r="1749">
      <c r="A1749" s="21" t="n"/>
      <c r="E1749" s="18">
        <f>IF(OR(C1749="",D1749=""),"",IFERROR(INDEX('Qida bazası'!$D$2:$D$103,MATCH(C1749,'Qida bazası'!$A$2:$A$103,0))*D1749/100,"?"))</f>
        <v/>
      </c>
      <c r="F1749" s="19">
        <f>IF(OR(C1749="",D1749=""),"",IFERROR(INDEX('Qida bazası'!$E$2:$E$103,MATCH(C1749,'Qida bazası'!$A$2:$A$103,0))*D1749/100,"?"))</f>
        <v/>
      </c>
      <c r="G1749" s="19">
        <f>IF(OR(C1749="",D1749=""),"",IFERROR(INDEX('Qida bazası'!$F$2:$F$103,MATCH(C1749,'Qida bazası'!$A$2:$A$103,0))*D1749/100,"?"))</f>
        <v/>
      </c>
      <c r="H1749" s="19">
        <f>IF(OR(C1749="",D1749=""),"",IFERROR(INDEX('Qida bazası'!$G$2:$G$103,MATCH(C1749,'Qida bazası'!$A$2:$A$103,0))*D1749/100,"?"))</f>
        <v/>
      </c>
    </row>
    <row r="1750">
      <c r="A1750" s="21" t="n"/>
      <c r="E1750" s="18">
        <f>IF(OR(C1750="",D1750=""),"",IFERROR(INDEX('Qida bazası'!$D$2:$D$103,MATCH(C1750,'Qida bazası'!$A$2:$A$103,0))*D1750/100,"?"))</f>
        <v/>
      </c>
      <c r="F1750" s="19">
        <f>IF(OR(C1750="",D1750=""),"",IFERROR(INDEX('Qida bazası'!$E$2:$E$103,MATCH(C1750,'Qida bazası'!$A$2:$A$103,0))*D1750/100,"?"))</f>
        <v/>
      </c>
      <c r="G1750" s="19">
        <f>IF(OR(C1750="",D1750=""),"",IFERROR(INDEX('Qida bazası'!$F$2:$F$103,MATCH(C1750,'Qida bazası'!$A$2:$A$103,0))*D1750/100,"?"))</f>
        <v/>
      </c>
      <c r="H1750" s="19">
        <f>IF(OR(C1750="",D1750=""),"",IFERROR(INDEX('Qida bazası'!$G$2:$G$103,MATCH(C1750,'Qida bazası'!$A$2:$A$103,0))*D1750/100,"?"))</f>
        <v/>
      </c>
    </row>
    <row r="1751">
      <c r="A1751" s="21" t="n"/>
      <c r="E1751" s="18">
        <f>IF(OR(C1751="",D1751=""),"",IFERROR(INDEX('Qida bazası'!$D$2:$D$103,MATCH(C1751,'Qida bazası'!$A$2:$A$103,0))*D1751/100,"?"))</f>
        <v/>
      </c>
      <c r="F1751" s="19">
        <f>IF(OR(C1751="",D1751=""),"",IFERROR(INDEX('Qida bazası'!$E$2:$E$103,MATCH(C1751,'Qida bazası'!$A$2:$A$103,0))*D1751/100,"?"))</f>
        <v/>
      </c>
      <c r="G1751" s="19">
        <f>IF(OR(C1751="",D1751=""),"",IFERROR(INDEX('Qida bazası'!$F$2:$F$103,MATCH(C1751,'Qida bazası'!$A$2:$A$103,0))*D1751/100,"?"))</f>
        <v/>
      </c>
      <c r="H1751" s="19">
        <f>IF(OR(C1751="",D1751=""),"",IFERROR(INDEX('Qida bazası'!$G$2:$G$103,MATCH(C1751,'Qida bazası'!$A$2:$A$103,0))*D1751/100,"?"))</f>
        <v/>
      </c>
    </row>
    <row r="1752">
      <c r="A1752" s="21" t="n"/>
      <c r="E1752" s="18">
        <f>IF(OR(C1752="",D1752=""),"",IFERROR(INDEX('Qida bazası'!$D$2:$D$103,MATCH(C1752,'Qida bazası'!$A$2:$A$103,0))*D1752/100,"?"))</f>
        <v/>
      </c>
      <c r="F1752" s="19">
        <f>IF(OR(C1752="",D1752=""),"",IFERROR(INDEX('Qida bazası'!$E$2:$E$103,MATCH(C1752,'Qida bazası'!$A$2:$A$103,0))*D1752/100,"?"))</f>
        <v/>
      </c>
      <c r="G1752" s="19">
        <f>IF(OR(C1752="",D1752=""),"",IFERROR(INDEX('Qida bazası'!$F$2:$F$103,MATCH(C1752,'Qida bazası'!$A$2:$A$103,0))*D1752/100,"?"))</f>
        <v/>
      </c>
      <c r="H1752" s="19">
        <f>IF(OR(C1752="",D1752=""),"",IFERROR(INDEX('Qida bazası'!$G$2:$G$103,MATCH(C1752,'Qida bazası'!$A$2:$A$103,0))*D1752/100,"?"))</f>
        <v/>
      </c>
    </row>
    <row r="1753">
      <c r="A1753" s="21" t="n"/>
      <c r="E1753" s="18">
        <f>IF(OR(C1753="",D1753=""),"",IFERROR(INDEX('Qida bazası'!$D$2:$D$103,MATCH(C1753,'Qida bazası'!$A$2:$A$103,0))*D1753/100,"?"))</f>
        <v/>
      </c>
      <c r="F1753" s="19">
        <f>IF(OR(C1753="",D1753=""),"",IFERROR(INDEX('Qida bazası'!$E$2:$E$103,MATCH(C1753,'Qida bazası'!$A$2:$A$103,0))*D1753/100,"?"))</f>
        <v/>
      </c>
      <c r="G1753" s="19">
        <f>IF(OR(C1753="",D1753=""),"",IFERROR(INDEX('Qida bazası'!$F$2:$F$103,MATCH(C1753,'Qida bazası'!$A$2:$A$103,0))*D1753/100,"?"))</f>
        <v/>
      </c>
      <c r="H1753" s="19">
        <f>IF(OR(C1753="",D1753=""),"",IFERROR(INDEX('Qida bazası'!$G$2:$G$103,MATCH(C1753,'Qida bazası'!$A$2:$A$103,0))*D1753/100,"?"))</f>
        <v/>
      </c>
    </row>
    <row r="1754">
      <c r="A1754" s="21" t="n"/>
      <c r="E1754" s="18">
        <f>IF(OR(C1754="",D1754=""),"",IFERROR(INDEX('Qida bazası'!$D$2:$D$103,MATCH(C1754,'Qida bazası'!$A$2:$A$103,0))*D1754/100,"?"))</f>
        <v/>
      </c>
      <c r="F1754" s="19">
        <f>IF(OR(C1754="",D1754=""),"",IFERROR(INDEX('Qida bazası'!$E$2:$E$103,MATCH(C1754,'Qida bazası'!$A$2:$A$103,0))*D1754/100,"?"))</f>
        <v/>
      </c>
      <c r="G1754" s="19">
        <f>IF(OR(C1754="",D1754=""),"",IFERROR(INDEX('Qida bazası'!$F$2:$F$103,MATCH(C1754,'Qida bazası'!$A$2:$A$103,0))*D1754/100,"?"))</f>
        <v/>
      </c>
      <c r="H1754" s="19">
        <f>IF(OR(C1754="",D1754=""),"",IFERROR(INDEX('Qida bazası'!$G$2:$G$103,MATCH(C1754,'Qida bazası'!$A$2:$A$103,0))*D1754/100,"?"))</f>
        <v/>
      </c>
    </row>
    <row r="1755">
      <c r="A1755" s="21" t="n"/>
      <c r="E1755" s="18">
        <f>IF(OR(C1755="",D1755=""),"",IFERROR(INDEX('Qida bazası'!$D$2:$D$103,MATCH(C1755,'Qida bazası'!$A$2:$A$103,0))*D1755/100,"?"))</f>
        <v/>
      </c>
      <c r="F1755" s="19">
        <f>IF(OR(C1755="",D1755=""),"",IFERROR(INDEX('Qida bazası'!$E$2:$E$103,MATCH(C1755,'Qida bazası'!$A$2:$A$103,0))*D1755/100,"?"))</f>
        <v/>
      </c>
      <c r="G1755" s="19">
        <f>IF(OR(C1755="",D1755=""),"",IFERROR(INDEX('Qida bazası'!$F$2:$F$103,MATCH(C1755,'Qida bazası'!$A$2:$A$103,0))*D1755/100,"?"))</f>
        <v/>
      </c>
      <c r="H1755" s="19">
        <f>IF(OR(C1755="",D1755=""),"",IFERROR(INDEX('Qida bazası'!$G$2:$G$103,MATCH(C1755,'Qida bazası'!$A$2:$A$103,0))*D1755/100,"?"))</f>
        <v/>
      </c>
    </row>
    <row r="1756">
      <c r="A1756" s="21" t="n"/>
      <c r="E1756" s="18">
        <f>IF(OR(C1756="",D1756=""),"",IFERROR(INDEX('Qida bazası'!$D$2:$D$103,MATCH(C1756,'Qida bazası'!$A$2:$A$103,0))*D1756/100,"?"))</f>
        <v/>
      </c>
      <c r="F1756" s="19">
        <f>IF(OR(C1756="",D1756=""),"",IFERROR(INDEX('Qida bazası'!$E$2:$E$103,MATCH(C1756,'Qida bazası'!$A$2:$A$103,0))*D1756/100,"?"))</f>
        <v/>
      </c>
      <c r="G1756" s="19">
        <f>IF(OR(C1756="",D1756=""),"",IFERROR(INDEX('Qida bazası'!$F$2:$F$103,MATCH(C1756,'Qida bazası'!$A$2:$A$103,0))*D1756/100,"?"))</f>
        <v/>
      </c>
      <c r="H1756" s="19">
        <f>IF(OR(C1756="",D1756=""),"",IFERROR(INDEX('Qida bazası'!$G$2:$G$103,MATCH(C1756,'Qida bazası'!$A$2:$A$103,0))*D1756/100,"?"))</f>
        <v/>
      </c>
    </row>
    <row r="1757">
      <c r="A1757" s="21" t="n"/>
      <c r="E1757" s="18">
        <f>IF(OR(C1757="",D1757=""),"",IFERROR(INDEX('Qida bazası'!$D$2:$D$103,MATCH(C1757,'Qida bazası'!$A$2:$A$103,0))*D1757/100,"?"))</f>
        <v/>
      </c>
      <c r="F1757" s="19">
        <f>IF(OR(C1757="",D1757=""),"",IFERROR(INDEX('Qida bazası'!$E$2:$E$103,MATCH(C1757,'Qida bazası'!$A$2:$A$103,0))*D1757/100,"?"))</f>
        <v/>
      </c>
      <c r="G1757" s="19">
        <f>IF(OR(C1757="",D1757=""),"",IFERROR(INDEX('Qida bazası'!$F$2:$F$103,MATCH(C1757,'Qida bazası'!$A$2:$A$103,0))*D1757/100,"?"))</f>
        <v/>
      </c>
      <c r="H1757" s="19">
        <f>IF(OR(C1757="",D1757=""),"",IFERROR(INDEX('Qida bazası'!$G$2:$G$103,MATCH(C1757,'Qida bazası'!$A$2:$A$103,0))*D1757/100,"?"))</f>
        <v/>
      </c>
    </row>
    <row r="1758">
      <c r="A1758" s="21" t="n"/>
      <c r="E1758" s="18">
        <f>IF(OR(C1758="",D1758=""),"",IFERROR(INDEX('Qida bazası'!$D$2:$D$103,MATCH(C1758,'Qida bazası'!$A$2:$A$103,0))*D1758/100,"?"))</f>
        <v/>
      </c>
      <c r="F1758" s="19">
        <f>IF(OR(C1758="",D1758=""),"",IFERROR(INDEX('Qida bazası'!$E$2:$E$103,MATCH(C1758,'Qida bazası'!$A$2:$A$103,0))*D1758/100,"?"))</f>
        <v/>
      </c>
      <c r="G1758" s="19">
        <f>IF(OR(C1758="",D1758=""),"",IFERROR(INDEX('Qida bazası'!$F$2:$F$103,MATCH(C1758,'Qida bazası'!$A$2:$A$103,0))*D1758/100,"?"))</f>
        <v/>
      </c>
      <c r="H1758" s="19">
        <f>IF(OR(C1758="",D1758=""),"",IFERROR(INDEX('Qida bazası'!$G$2:$G$103,MATCH(C1758,'Qida bazası'!$A$2:$A$103,0))*D1758/100,"?"))</f>
        <v/>
      </c>
    </row>
    <row r="1759">
      <c r="A1759" s="21" t="n"/>
      <c r="E1759" s="18">
        <f>IF(OR(C1759="",D1759=""),"",IFERROR(INDEX('Qida bazası'!$D$2:$D$103,MATCH(C1759,'Qida bazası'!$A$2:$A$103,0))*D1759/100,"?"))</f>
        <v/>
      </c>
      <c r="F1759" s="19">
        <f>IF(OR(C1759="",D1759=""),"",IFERROR(INDEX('Qida bazası'!$E$2:$E$103,MATCH(C1759,'Qida bazası'!$A$2:$A$103,0))*D1759/100,"?"))</f>
        <v/>
      </c>
      <c r="G1759" s="19">
        <f>IF(OR(C1759="",D1759=""),"",IFERROR(INDEX('Qida bazası'!$F$2:$F$103,MATCH(C1759,'Qida bazası'!$A$2:$A$103,0))*D1759/100,"?"))</f>
        <v/>
      </c>
      <c r="H1759" s="19">
        <f>IF(OR(C1759="",D1759=""),"",IFERROR(INDEX('Qida bazası'!$G$2:$G$103,MATCH(C1759,'Qida bazası'!$A$2:$A$103,0))*D1759/100,"?"))</f>
        <v/>
      </c>
    </row>
    <row r="1760">
      <c r="A1760" s="21" t="n"/>
      <c r="E1760" s="18">
        <f>IF(OR(C1760="",D1760=""),"",IFERROR(INDEX('Qida bazası'!$D$2:$D$103,MATCH(C1760,'Qida bazası'!$A$2:$A$103,0))*D1760/100,"?"))</f>
        <v/>
      </c>
      <c r="F1760" s="19">
        <f>IF(OR(C1760="",D1760=""),"",IFERROR(INDEX('Qida bazası'!$E$2:$E$103,MATCH(C1760,'Qida bazası'!$A$2:$A$103,0))*D1760/100,"?"))</f>
        <v/>
      </c>
      <c r="G1760" s="19">
        <f>IF(OR(C1760="",D1760=""),"",IFERROR(INDEX('Qida bazası'!$F$2:$F$103,MATCH(C1760,'Qida bazası'!$A$2:$A$103,0))*D1760/100,"?"))</f>
        <v/>
      </c>
      <c r="H1760" s="19">
        <f>IF(OR(C1760="",D1760=""),"",IFERROR(INDEX('Qida bazası'!$G$2:$G$103,MATCH(C1760,'Qida bazası'!$A$2:$A$103,0))*D1760/100,"?"))</f>
        <v/>
      </c>
    </row>
    <row r="1761">
      <c r="A1761" s="21" t="n"/>
      <c r="E1761" s="18">
        <f>IF(OR(C1761="",D1761=""),"",IFERROR(INDEX('Qida bazası'!$D$2:$D$103,MATCH(C1761,'Qida bazası'!$A$2:$A$103,0))*D1761/100,"?"))</f>
        <v/>
      </c>
      <c r="F1761" s="19">
        <f>IF(OR(C1761="",D1761=""),"",IFERROR(INDEX('Qida bazası'!$E$2:$E$103,MATCH(C1761,'Qida bazası'!$A$2:$A$103,0))*D1761/100,"?"))</f>
        <v/>
      </c>
      <c r="G1761" s="19">
        <f>IF(OR(C1761="",D1761=""),"",IFERROR(INDEX('Qida bazası'!$F$2:$F$103,MATCH(C1761,'Qida bazası'!$A$2:$A$103,0))*D1761/100,"?"))</f>
        <v/>
      </c>
      <c r="H1761" s="19">
        <f>IF(OR(C1761="",D1761=""),"",IFERROR(INDEX('Qida bazası'!$G$2:$G$103,MATCH(C1761,'Qida bazası'!$A$2:$A$103,0))*D1761/100,"?"))</f>
        <v/>
      </c>
    </row>
    <row r="1762">
      <c r="A1762" s="21" t="n"/>
      <c r="E1762" s="18">
        <f>IF(OR(C1762="",D1762=""),"",IFERROR(INDEX('Qida bazası'!$D$2:$D$103,MATCH(C1762,'Qida bazası'!$A$2:$A$103,0))*D1762/100,"?"))</f>
        <v/>
      </c>
      <c r="F1762" s="19">
        <f>IF(OR(C1762="",D1762=""),"",IFERROR(INDEX('Qida bazası'!$E$2:$E$103,MATCH(C1762,'Qida bazası'!$A$2:$A$103,0))*D1762/100,"?"))</f>
        <v/>
      </c>
      <c r="G1762" s="19">
        <f>IF(OR(C1762="",D1762=""),"",IFERROR(INDEX('Qida bazası'!$F$2:$F$103,MATCH(C1762,'Qida bazası'!$A$2:$A$103,0))*D1762/100,"?"))</f>
        <v/>
      </c>
      <c r="H1762" s="19">
        <f>IF(OR(C1762="",D1762=""),"",IFERROR(INDEX('Qida bazası'!$G$2:$G$103,MATCH(C1762,'Qida bazası'!$A$2:$A$103,0))*D1762/100,"?"))</f>
        <v/>
      </c>
    </row>
    <row r="1763">
      <c r="A1763" s="21" t="n"/>
      <c r="E1763" s="18">
        <f>IF(OR(C1763="",D1763=""),"",IFERROR(INDEX('Qida bazası'!$D$2:$D$103,MATCH(C1763,'Qida bazası'!$A$2:$A$103,0))*D1763/100,"?"))</f>
        <v/>
      </c>
      <c r="F1763" s="19">
        <f>IF(OR(C1763="",D1763=""),"",IFERROR(INDEX('Qida bazası'!$E$2:$E$103,MATCH(C1763,'Qida bazası'!$A$2:$A$103,0))*D1763/100,"?"))</f>
        <v/>
      </c>
      <c r="G1763" s="19">
        <f>IF(OR(C1763="",D1763=""),"",IFERROR(INDEX('Qida bazası'!$F$2:$F$103,MATCH(C1763,'Qida bazası'!$A$2:$A$103,0))*D1763/100,"?"))</f>
        <v/>
      </c>
      <c r="H1763" s="19">
        <f>IF(OR(C1763="",D1763=""),"",IFERROR(INDEX('Qida bazası'!$G$2:$G$103,MATCH(C1763,'Qida bazası'!$A$2:$A$103,0))*D1763/100,"?"))</f>
        <v/>
      </c>
    </row>
    <row r="1764">
      <c r="A1764" s="21" t="n"/>
      <c r="E1764" s="18">
        <f>IF(OR(C1764="",D1764=""),"",IFERROR(INDEX('Qida bazası'!$D$2:$D$103,MATCH(C1764,'Qida bazası'!$A$2:$A$103,0))*D1764/100,"?"))</f>
        <v/>
      </c>
      <c r="F1764" s="19">
        <f>IF(OR(C1764="",D1764=""),"",IFERROR(INDEX('Qida bazası'!$E$2:$E$103,MATCH(C1764,'Qida bazası'!$A$2:$A$103,0))*D1764/100,"?"))</f>
        <v/>
      </c>
      <c r="G1764" s="19">
        <f>IF(OR(C1764="",D1764=""),"",IFERROR(INDEX('Qida bazası'!$F$2:$F$103,MATCH(C1764,'Qida bazası'!$A$2:$A$103,0))*D1764/100,"?"))</f>
        <v/>
      </c>
      <c r="H1764" s="19">
        <f>IF(OR(C1764="",D1764=""),"",IFERROR(INDEX('Qida bazası'!$G$2:$G$103,MATCH(C1764,'Qida bazası'!$A$2:$A$103,0))*D1764/100,"?"))</f>
        <v/>
      </c>
    </row>
    <row r="1765">
      <c r="A1765" s="21" t="n"/>
      <c r="E1765" s="18">
        <f>IF(OR(C1765="",D1765=""),"",IFERROR(INDEX('Qida bazası'!$D$2:$D$103,MATCH(C1765,'Qida bazası'!$A$2:$A$103,0))*D1765/100,"?"))</f>
        <v/>
      </c>
      <c r="F1765" s="19">
        <f>IF(OR(C1765="",D1765=""),"",IFERROR(INDEX('Qida bazası'!$E$2:$E$103,MATCH(C1765,'Qida bazası'!$A$2:$A$103,0))*D1765/100,"?"))</f>
        <v/>
      </c>
      <c r="G1765" s="19">
        <f>IF(OR(C1765="",D1765=""),"",IFERROR(INDEX('Qida bazası'!$F$2:$F$103,MATCH(C1765,'Qida bazası'!$A$2:$A$103,0))*D1765/100,"?"))</f>
        <v/>
      </c>
      <c r="H1765" s="19">
        <f>IF(OR(C1765="",D1765=""),"",IFERROR(INDEX('Qida bazası'!$G$2:$G$103,MATCH(C1765,'Qida bazası'!$A$2:$A$103,0))*D1765/100,"?"))</f>
        <v/>
      </c>
    </row>
    <row r="1766">
      <c r="A1766" s="21" t="n"/>
      <c r="E1766" s="18">
        <f>IF(OR(C1766="",D1766=""),"",IFERROR(INDEX('Qida bazası'!$D$2:$D$103,MATCH(C1766,'Qida bazası'!$A$2:$A$103,0))*D1766/100,"?"))</f>
        <v/>
      </c>
      <c r="F1766" s="19">
        <f>IF(OR(C1766="",D1766=""),"",IFERROR(INDEX('Qida bazası'!$E$2:$E$103,MATCH(C1766,'Qida bazası'!$A$2:$A$103,0))*D1766/100,"?"))</f>
        <v/>
      </c>
      <c r="G1766" s="19">
        <f>IF(OR(C1766="",D1766=""),"",IFERROR(INDEX('Qida bazası'!$F$2:$F$103,MATCH(C1766,'Qida bazası'!$A$2:$A$103,0))*D1766/100,"?"))</f>
        <v/>
      </c>
      <c r="H1766" s="19">
        <f>IF(OR(C1766="",D1766=""),"",IFERROR(INDEX('Qida bazası'!$G$2:$G$103,MATCH(C1766,'Qida bazası'!$A$2:$A$103,0))*D1766/100,"?"))</f>
        <v/>
      </c>
    </row>
    <row r="1767">
      <c r="A1767" s="21" t="n"/>
      <c r="E1767" s="18">
        <f>IF(OR(C1767="",D1767=""),"",IFERROR(INDEX('Qida bazası'!$D$2:$D$103,MATCH(C1767,'Qida bazası'!$A$2:$A$103,0))*D1767/100,"?"))</f>
        <v/>
      </c>
      <c r="F1767" s="19">
        <f>IF(OR(C1767="",D1767=""),"",IFERROR(INDEX('Qida bazası'!$E$2:$E$103,MATCH(C1767,'Qida bazası'!$A$2:$A$103,0))*D1767/100,"?"))</f>
        <v/>
      </c>
      <c r="G1767" s="19">
        <f>IF(OR(C1767="",D1767=""),"",IFERROR(INDEX('Qida bazası'!$F$2:$F$103,MATCH(C1767,'Qida bazası'!$A$2:$A$103,0))*D1767/100,"?"))</f>
        <v/>
      </c>
      <c r="H1767" s="19">
        <f>IF(OR(C1767="",D1767=""),"",IFERROR(INDEX('Qida bazası'!$G$2:$G$103,MATCH(C1767,'Qida bazası'!$A$2:$A$103,0))*D1767/100,"?"))</f>
        <v/>
      </c>
    </row>
    <row r="1768">
      <c r="A1768" s="21" t="n"/>
      <c r="E1768" s="18">
        <f>IF(OR(C1768="",D1768=""),"",IFERROR(INDEX('Qida bazası'!$D$2:$D$103,MATCH(C1768,'Qida bazası'!$A$2:$A$103,0))*D1768/100,"?"))</f>
        <v/>
      </c>
      <c r="F1768" s="19">
        <f>IF(OR(C1768="",D1768=""),"",IFERROR(INDEX('Qida bazası'!$E$2:$E$103,MATCH(C1768,'Qida bazası'!$A$2:$A$103,0))*D1768/100,"?"))</f>
        <v/>
      </c>
      <c r="G1768" s="19">
        <f>IF(OR(C1768="",D1768=""),"",IFERROR(INDEX('Qida bazası'!$F$2:$F$103,MATCH(C1768,'Qida bazası'!$A$2:$A$103,0))*D1768/100,"?"))</f>
        <v/>
      </c>
      <c r="H1768" s="19">
        <f>IF(OR(C1768="",D1768=""),"",IFERROR(INDEX('Qida bazası'!$G$2:$G$103,MATCH(C1768,'Qida bazası'!$A$2:$A$103,0))*D1768/100,"?"))</f>
        <v/>
      </c>
    </row>
    <row r="1769">
      <c r="A1769" s="21" t="n"/>
      <c r="E1769" s="18">
        <f>IF(OR(C1769="",D1769=""),"",IFERROR(INDEX('Qida bazası'!$D$2:$D$103,MATCH(C1769,'Qida bazası'!$A$2:$A$103,0))*D1769/100,"?"))</f>
        <v/>
      </c>
      <c r="F1769" s="19">
        <f>IF(OR(C1769="",D1769=""),"",IFERROR(INDEX('Qida bazası'!$E$2:$E$103,MATCH(C1769,'Qida bazası'!$A$2:$A$103,0))*D1769/100,"?"))</f>
        <v/>
      </c>
      <c r="G1769" s="19">
        <f>IF(OR(C1769="",D1769=""),"",IFERROR(INDEX('Qida bazası'!$F$2:$F$103,MATCH(C1769,'Qida bazası'!$A$2:$A$103,0))*D1769/100,"?"))</f>
        <v/>
      </c>
      <c r="H1769" s="19">
        <f>IF(OR(C1769="",D1769=""),"",IFERROR(INDEX('Qida bazası'!$G$2:$G$103,MATCH(C1769,'Qida bazası'!$A$2:$A$103,0))*D1769/100,"?"))</f>
        <v/>
      </c>
    </row>
    <row r="1770">
      <c r="A1770" s="21" t="n"/>
      <c r="E1770" s="18">
        <f>IF(OR(C1770="",D1770=""),"",IFERROR(INDEX('Qida bazası'!$D$2:$D$103,MATCH(C1770,'Qida bazası'!$A$2:$A$103,0))*D1770/100,"?"))</f>
        <v/>
      </c>
      <c r="F1770" s="19">
        <f>IF(OR(C1770="",D1770=""),"",IFERROR(INDEX('Qida bazası'!$E$2:$E$103,MATCH(C1770,'Qida bazası'!$A$2:$A$103,0))*D1770/100,"?"))</f>
        <v/>
      </c>
      <c r="G1770" s="19">
        <f>IF(OR(C1770="",D1770=""),"",IFERROR(INDEX('Qida bazası'!$F$2:$F$103,MATCH(C1770,'Qida bazası'!$A$2:$A$103,0))*D1770/100,"?"))</f>
        <v/>
      </c>
      <c r="H1770" s="19">
        <f>IF(OR(C1770="",D1770=""),"",IFERROR(INDEX('Qida bazası'!$G$2:$G$103,MATCH(C1770,'Qida bazası'!$A$2:$A$103,0))*D1770/100,"?"))</f>
        <v/>
      </c>
    </row>
    <row r="1771">
      <c r="A1771" s="21" t="n"/>
      <c r="E1771" s="18">
        <f>IF(OR(C1771="",D1771=""),"",IFERROR(INDEX('Qida bazası'!$D$2:$D$103,MATCH(C1771,'Qida bazası'!$A$2:$A$103,0))*D1771/100,"?"))</f>
        <v/>
      </c>
      <c r="F1771" s="19">
        <f>IF(OR(C1771="",D1771=""),"",IFERROR(INDEX('Qida bazası'!$E$2:$E$103,MATCH(C1771,'Qida bazası'!$A$2:$A$103,0))*D1771/100,"?"))</f>
        <v/>
      </c>
      <c r="G1771" s="19">
        <f>IF(OR(C1771="",D1771=""),"",IFERROR(INDEX('Qida bazası'!$F$2:$F$103,MATCH(C1771,'Qida bazası'!$A$2:$A$103,0))*D1771/100,"?"))</f>
        <v/>
      </c>
      <c r="H1771" s="19">
        <f>IF(OR(C1771="",D1771=""),"",IFERROR(INDEX('Qida bazası'!$G$2:$G$103,MATCH(C1771,'Qida bazası'!$A$2:$A$103,0))*D1771/100,"?"))</f>
        <v/>
      </c>
    </row>
    <row r="1772">
      <c r="A1772" s="21" t="n"/>
      <c r="E1772" s="18">
        <f>IF(OR(C1772="",D1772=""),"",IFERROR(INDEX('Qida bazası'!$D$2:$D$103,MATCH(C1772,'Qida bazası'!$A$2:$A$103,0))*D1772/100,"?"))</f>
        <v/>
      </c>
      <c r="F1772" s="19">
        <f>IF(OR(C1772="",D1772=""),"",IFERROR(INDEX('Qida bazası'!$E$2:$E$103,MATCH(C1772,'Qida bazası'!$A$2:$A$103,0))*D1772/100,"?"))</f>
        <v/>
      </c>
      <c r="G1772" s="19">
        <f>IF(OR(C1772="",D1772=""),"",IFERROR(INDEX('Qida bazası'!$F$2:$F$103,MATCH(C1772,'Qida bazası'!$A$2:$A$103,0))*D1772/100,"?"))</f>
        <v/>
      </c>
      <c r="H1772" s="19">
        <f>IF(OR(C1772="",D1772=""),"",IFERROR(INDEX('Qida bazası'!$G$2:$G$103,MATCH(C1772,'Qida bazası'!$A$2:$A$103,0))*D1772/100,"?"))</f>
        <v/>
      </c>
    </row>
    <row r="1773">
      <c r="A1773" s="21" t="n"/>
      <c r="E1773" s="18">
        <f>IF(OR(C1773="",D1773=""),"",IFERROR(INDEX('Qida bazası'!$D$2:$D$103,MATCH(C1773,'Qida bazası'!$A$2:$A$103,0))*D1773/100,"?"))</f>
        <v/>
      </c>
      <c r="F1773" s="19">
        <f>IF(OR(C1773="",D1773=""),"",IFERROR(INDEX('Qida bazası'!$E$2:$E$103,MATCH(C1773,'Qida bazası'!$A$2:$A$103,0))*D1773/100,"?"))</f>
        <v/>
      </c>
      <c r="G1773" s="19">
        <f>IF(OR(C1773="",D1773=""),"",IFERROR(INDEX('Qida bazası'!$F$2:$F$103,MATCH(C1773,'Qida bazası'!$A$2:$A$103,0))*D1773/100,"?"))</f>
        <v/>
      </c>
      <c r="H1773" s="19">
        <f>IF(OR(C1773="",D1773=""),"",IFERROR(INDEX('Qida bazası'!$G$2:$G$103,MATCH(C1773,'Qida bazası'!$A$2:$A$103,0))*D1773/100,"?"))</f>
        <v/>
      </c>
    </row>
    <row r="1774">
      <c r="A1774" s="21" t="n"/>
      <c r="E1774" s="18">
        <f>IF(OR(C1774="",D1774=""),"",IFERROR(INDEX('Qida bazası'!$D$2:$D$103,MATCH(C1774,'Qida bazası'!$A$2:$A$103,0))*D1774/100,"?"))</f>
        <v/>
      </c>
      <c r="F1774" s="19">
        <f>IF(OR(C1774="",D1774=""),"",IFERROR(INDEX('Qida bazası'!$E$2:$E$103,MATCH(C1774,'Qida bazası'!$A$2:$A$103,0))*D1774/100,"?"))</f>
        <v/>
      </c>
      <c r="G1774" s="19">
        <f>IF(OR(C1774="",D1774=""),"",IFERROR(INDEX('Qida bazası'!$F$2:$F$103,MATCH(C1774,'Qida bazası'!$A$2:$A$103,0))*D1774/100,"?"))</f>
        <v/>
      </c>
      <c r="H1774" s="19">
        <f>IF(OR(C1774="",D1774=""),"",IFERROR(INDEX('Qida bazası'!$G$2:$G$103,MATCH(C1774,'Qida bazası'!$A$2:$A$103,0))*D1774/100,"?"))</f>
        <v/>
      </c>
    </row>
    <row r="1775">
      <c r="A1775" s="21" t="n"/>
      <c r="E1775" s="18">
        <f>IF(OR(C1775="",D1775=""),"",IFERROR(INDEX('Qida bazası'!$D$2:$D$103,MATCH(C1775,'Qida bazası'!$A$2:$A$103,0))*D1775/100,"?"))</f>
        <v/>
      </c>
      <c r="F1775" s="19">
        <f>IF(OR(C1775="",D1775=""),"",IFERROR(INDEX('Qida bazası'!$E$2:$E$103,MATCH(C1775,'Qida bazası'!$A$2:$A$103,0))*D1775/100,"?"))</f>
        <v/>
      </c>
      <c r="G1775" s="19">
        <f>IF(OR(C1775="",D1775=""),"",IFERROR(INDEX('Qida bazası'!$F$2:$F$103,MATCH(C1775,'Qida bazası'!$A$2:$A$103,0))*D1775/100,"?"))</f>
        <v/>
      </c>
      <c r="H1775" s="19">
        <f>IF(OR(C1775="",D1775=""),"",IFERROR(INDEX('Qida bazası'!$G$2:$G$103,MATCH(C1775,'Qida bazası'!$A$2:$A$103,0))*D1775/100,"?"))</f>
        <v/>
      </c>
    </row>
    <row r="1776">
      <c r="A1776" s="21" t="n"/>
      <c r="E1776" s="18">
        <f>IF(OR(C1776="",D1776=""),"",IFERROR(INDEX('Qida bazası'!$D$2:$D$103,MATCH(C1776,'Qida bazası'!$A$2:$A$103,0))*D1776/100,"?"))</f>
        <v/>
      </c>
      <c r="F1776" s="19">
        <f>IF(OR(C1776="",D1776=""),"",IFERROR(INDEX('Qida bazası'!$E$2:$E$103,MATCH(C1776,'Qida bazası'!$A$2:$A$103,0))*D1776/100,"?"))</f>
        <v/>
      </c>
      <c r="G1776" s="19">
        <f>IF(OR(C1776="",D1776=""),"",IFERROR(INDEX('Qida bazası'!$F$2:$F$103,MATCH(C1776,'Qida bazası'!$A$2:$A$103,0))*D1776/100,"?"))</f>
        <v/>
      </c>
      <c r="H1776" s="19">
        <f>IF(OR(C1776="",D1776=""),"",IFERROR(INDEX('Qida bazası'!$G$2:$G$103,MATCH(C1776,'Qida bazası'!$A$2:$A$103,0))*D1776/100,"?"))</f>
        <v/>
      </c>
    </row>
    <row r="1777">
      <c r="A1777" s="21" t="n"/>
      <c r="E1777" s="18">
        <f>IF(OR(C1777="",D1777=""),"",IFERROR(INDEX('Qida bazası'!$D$2:$D$103,MATCH(C1777,'Qida bazası'!$A$2:$A$103,0))*D1777/100,"?"))</f>
        <v/>
      </c>
      <c r="F1777" s="19">
        <f>IF(OR(C1777="",D1777=""),"",IFERROR(INDEX('Qida bazası'!$E$2:$E$103,MATCH(C1777,'Qida bazası'!$A$2:$A$103,0))*D1777/100,"?"))</f>
        <v/>
      </c>
      <c r="G1777" s="19">
        <f>IF(OR(C1777="",D1777=""),"",IFERROR(INDEX('Qida bazası'!$F$2:$F$103,MATCH(C1777,'Qida bazası'!$A$2:$A$103,0))*D1777/100,"?"))</f>
        <v/>
      </c>
      <c r="H1777" s="19">
        <f>IF(OR(C1777="",D1777=""),"",IFERROR(INDEX('Qida bazası'!$G$2:$G$103,MATCH(C1777,'Qida bazası'!$A$2:$A$103,0))*D1777/100,"?"))</f>
        <v/>
      </c>
    </row>
    <row r="1778">
      <c r="A1778" s="21" t="n"/>
      <c r="E1778" s="18">
        <f>IF(OR(C1778="",D1778=""),"",IFERROR(INDEX('Qida bazası'!$D$2:$D$103,MATCH(C1778,'Qida bazası'!$A$2:$A$103,0))*D1778/100,"?"))</f>
        <v/>
      </c>
      <c r="F1778" s="19">
        <f>IF(OR(C1778="",D1778=""),"",IFERROR(INDEX('Qida bazası'!$E$2:$E$103,MATCH(C1778,'Qida bazası'!$A$2:$A$103,0))*D1778/100,"?"))</f>
        <v/>
      </c>
      <c r="G1778" s="19">
        <f>IF(OR(C1778="",D1778=""),"",IFERROR(INDEX('Qida bazası'!$F$2:$F$103,MATCH(C1778,'Qida bazası'!$A$2:$A$103,0))*D1778/100,"?"))</f>
        <v/>
      </c>
      <c r="H1778" s="19">
        <f>IF(OR(C1778="",D1778=""),"",IFERROR(INDEX('Qida bazası'!$G$2:$G$103,MATCH(C1778,'Qida bazası'!$A$2:$A$103,0))*D1778/100,"?"))</f>
        <v/>
      </c>
    </row>
    <row r="1779">
      <c r="A1779" s="21" t="n"/>
      <c r="E1779" s="18">
        <f>IF(OR(C1779="",D1779=""),"",IFERROR(INDEX('Qida bazası'!$D$2:$D$103,MATCH(C1779,'Qida bazası'!$A$2:$A$103,0))*D1779/100,"?"))</f>
        <v/>
      </c>
      <c r="F1779" s="19">
        <f>IF(OR(C1779="",D1779=""),"",IFERROR(INDEX('Qida bazası'!$E$2:$E$103,MATCH(C1779,'Qida bazası'!$A$2:$A$103,0))*D1779/100,"?"))</f>
        <v/>
      </c>
      <c r="G1779" s="19">
        <f>IF(OR(C1779="",D1779=""),"",IFERROR(INDEX('Qida bazası'!$F$2:$F$103,MATCH(C1779,'Qida bazası'!$A$2:$A$103,0))*D1779/100,"?"))</f>
        <v/>
      </c>
      <c r="H1779" s="19">
        <f>IF(OR(C1779="",D1779=""),"",IFERROR(INDEX('Qida bazası'!$G$2:$G$103,MATCH(C1779,'Qida bazası'!$A$2:$A$103,0))*D1779/100,"?"))</f>
        <v/>
      </c>
    </row>
    <row r="1780">
      <c r="A1780" s="21" t="n"/>
      <c r="E1780" s="18">
        <f>IF(OR(C1780="",D1780=""),"",IFERROR(INDEX('Qida bazası'!$D$2:$D$103,MATCH(C1780,'Qida bazası'!$A$2:$A$103,0))*D1780/100,"?"))</f>
        <v/>
      </c>
      <c r="F1780" s="19">
        <f>IF(OR(C1780="",D1780=""),"",IFERROR(INDEX('Qida bazası'!$E$2:$E$103,MATCH(C1780,'Qida bazası'!$A$2:$A$103,0))*D1780/100,"?"))</f>
        <v/>
      </c>
      <c r="G1780" s="19">
        <f>IF(OR(C1780="",D1780=""),"",IFERROR(INDEX('Qida bazası'!$F$2:$F$103,MATCH(C1780,'Qida bazası'!$A$2:$A$103,0))*D1780/100,"?"))</f>
        <v/>
      </c>
      <c r="H1780" s="19">
        <f>IF(OR(C1780="",D1780=""),"",IFERROR(INDEX('Qida bazası'!$G$2:$G$103,MATCH(C1780,'Qida bazası'!$A$2:$A$103,0))*D1780/100,"?"))</f>
        <v/>
      </c>
    </row>
    <row r="1781">
      <c r="A1781" s="21" t="n"/>
      <c r="E1781" s="18">
        <f>IF(OR(C1781="",D1781=""),"",IFERROR(INDEX('Qida bazası'!$D$2:$D$103,MATCH(C1781,'Qida bazası'!$A$2:$A$103,0))*D1781/100,"?"))</f>
        <v/>
      </c>
      <c r="F1781" s="19">
        <f>IF(OR(C1781="",D1781=""),"",IFERROR(INDEX('Qida bazası'!$E$2:$E$103,MATCH(C1781,'Qida bazası'!$A$2:$A$103,0))*D1781/100,"?"))</f>
        <v/>
      </c>
      <c r="G1781" s="19">
        <f>IF(OR(C1781="",D1781=""),"",IFERROR(INDEX('Qida bazası'!$F$2:$F$103,MATCH(C1781,'Qida bazası'!$A$2:$A$103,0))*D1781/100,"?"))</f>
        <v/>
      </c>
      <c r="H1781" s="19">
        <f>IF(OR(C1781="",D1781=""),"",IFERROR(INDEX('Qida bazası'!$G$2:$G$103,MATCH(C1781,'Qida bazası'!$A$2:$A$103,0))*D1781/100,"?"))</f>
        <v/>
      </c>
    </row>
    <row r="1782">
      <c r="A1782" s="21" t="n"/>
      <c r="E1782" s="18">
        <f>IF(OR(C1782="",D1782=""),"",IFERROR(INDEX('Qida bazası'!$D$2:$D$103,MATCH(C1782,'Qida bazası'!$A$2:$A$103,0))*D1782/100,"?"))</f>
        <v/>
      </c>
      <c r="F1782" s="19">
        <f>IF(OR(C1782="",D1782=""),"",IFERROR(INDEX('Qida bazası'!$E$2:$E$103,MATCH(C1782,'Qida bazası'!$A$2:$A$103,0))*D1782/100,"?"))</f>
        <v/>
      </c>
      <c r="G1782" s="19">
        <f>IF(OR(C1782="",D1782=""),"",IFERROR(INDEX('Qida bazası'!$F$2:$F$103,MATCH(C1782,'Qida bazası'!$A$2:$A$103,0))*D1782/100,"?"))</f>
        <v/>
      </c>
      <c r="H1782" s="19">
        <f>IF(OR(C1782="",D1782=""),"",IFERROR(INDEX('Qida bazası'!$G$2:$G$103,MATCH(C1782,'Qida bazası'!$A$2:$A$103,0))*D1782/100,"?"))</f>
        <v/>
      </c>
    </row>
    <row r="1783">
      <c r="A1783" s="21" t="n"/>
      <c r="E1783" s="18">
        <f>IF(OR(C1783="",D1783=""),"",IFERROR(INDEX('Qida bazası'!$D$2:$D$103,MATCH(C1783,'Qida bazası'!$A$2:$A$103,0))*D1783/100,"?"))</f>
        <v/>
      </c>
      <c r="F1783" s="19">
        <f>IF(OR(C1783="",D1783=""),"",IFERROR(INDEX('Qida bazası'!$E$2:$E$103,MATCH(C1783,'Qida bazası'!$A$2:$A$103,0))*D1783/100,"?"))</f>
        <v/>
      </c>
      <c r="G1783" s="19">
        <f>IF(OR(C1783="",D1783=""),"",IFERROR(INDEX('Qida bazası'!$F$2:$F$103,MATCH(C1783,'Qida bazası'!$A$2:$A$103,0))*D1783/100,"?"))</f>
        <v/>
      </c>
      <c r="H1783" s="19">
        <f>IF(OR(C1783="",D1783=""),"",IFERROR(INDEX('Qida bazası'!$G$2:$G$103,MATCH(C1783,'Qida bazası'!$A$2:$A$103,0))*D1783/100,"?"))</f>
        <v/>
      </c>
    </row>
    <row r="1784">
      <c r="A1784" s="21" t="n"/>
      <c r="E1784" s="18">
        <f>IF(OR(C1784="",D1784=""),"",IFERROR(INDEX('Qida bazası'!$D$2:$D$103,MATCH(C1784,'Qida bazası'!$A$2:$A$103,0))*D1784/100,"?"))</f>
        <v/>
      </c>
      <c r="F1784" s="19">
        <f>IF(OR(C1784="",D1784=""),"",IFERROR(INDEX('Qida bazası'!$E$2:$E$103,MATCH(C1784,'Qida bazası'!$A$2:$A$103,0))*D1784/100,"?"))</f>
        <v/>
      </c>
      <c r="G1784" s="19">
        <f>IF(OR(C1784="",D1784=""),"",IFERROR(INDEX('Qida bazası'!$F$2:$F$103,MATCH(C1784,'Qida bazası'!$A$2:$A$103,0))*D1784/100,"?"))</f>
        <v/>
      </c>
      <c r="H1784" s="19">
        <f>IF(OR(C1784="",D1784=""),"",IFERROR(INDEX('Qida bazası'!$G$2:$G$103,MATCH(C1784,'Qida bazası'!$A$2:$A$103,0))*D1784/100,"?"))</f>
        <v/>
      </c>
    </row>
    <row r="1785">
      <c r="A1785" s="21" t="n"/>
      <c r="E1785" s="18">
        <f>IF(OR(C1785="",D1785=""),"",IFERROR(INDEX('Qida bazası'!$D$2:$D$103,MATCH(C1785,'Qida bazası'!$A$2:$A$103,0))*D1785/100,"?"))</f>
        <v/>
      </c>
      <c r="F1785" s="19">
        <f>IF(OR(C1785="",D1785=""),"",IFERROR(INDEX('Qida bazası'!$E$2:$E$103,MATCH(C1785,'Qida bazası'!$A$2:$A$103,0))*D1785/100,"?"))</f>
        <v/>
      </c>
      <c r="G1785" s="19">
        <f>IF(OR(C1785="",D1785=""),"",IFERROR(INDEX('Qida bazası'!$F$2:$F$103,MATCH(C1785,'Qida bazası'!$A$2:$A$103,0))*D1785/100,"?"))</f>
        <v/>
      </c>
      <c r="H1785" s="19">
        <f>IF(OR(C1785="",D1785=""),"",IFERROR(INDEX('Qida bazası'!$G$2:$G$103,MATCH(C1785,'Qida bazası'!$A$2:$A$103,0))*D1785/100,"?"))</f>
        <v/>
      </c>
    </row>
    <row r="1786">
      <c r="A1786" s="21" t="n"/>
      <c r="E1786" s="18">
        <f>IF(OR(C1786="",D1786=""),"",IFERROR(INDEX('Qida bazası'!$D$2:$D$103,MATCH(C1786,'Qida bazası'!$A$2:$A$103,0))*D1786/100,"?"))</f>
        <v/>
      </c>
      <c r="F1786" s="19">
        <f>IF(OR(C1786="",D1786=""),"",IFERROR(INDEX('Qida bazası'!$E$2:$E$103,MATCH(C1786,'Qida bazası'!$A$2:$A$103,0))*D1786/100,"?"))</f>
        <v/>
      </c>
      <c r="G1786" s="19">
        <f>IF(OR(C1786="",D1786=""),"",IFERROR(INDEX('Qida bazası'!$F$2:$F$103,MATCH(C1786,'Qida bazası'!$A$2:$A$103,0))*D1786/100,"?"))</f>
        <v/>
      </c>
      <c r="H1786" s="19">
        <f>IF(OR(C1786="",D1786=""),"",IFERROR(INDEX('Qida bazası'!$G$2:$G$103,MATCH(C1786,'Qida bazası'!$A$2:$A$103,0))*D1786/100,"?"))</f>
        <v/>
      </c>
    </row>
    <row r="1787">
      <c r="A1787" s="21" t="n"/>
      <c r="E1787" s="18">
        <f>IF(OR(C1787="",D1787=""),"",IFERROR(INDEX('Qida bazası'!$D$2:$D$103,MATCH(C1787,'Qida bazası'!$A$2:$A$103,0))*D1787/100,"?"))</f>
        <v/>
      </c>
      <c r="F1787" s="19">
        <f>IF(OR(C1787="",D1787=""),"",IFERROR(INDEX('Qida bazası'!$E$2:$E$103,MATCH(C1787,'Qida bazası'!$A$2:$A$103,0))*D1787/100,"?"))</f>
        <v/>
      </c>
      <c r="G1787" s="19">
        <f>IF(OR(C1787="",D1787=""),"",IFERROR(INDEX('Qida bazası'!$F$2:$F$103,MATCH(C1787,'Qida bazası'!$A$2:$A$103,0))*D1787/100,"?"))</f>
        <v/>
      </c>
      <c r="H1787" s="19">
        <f>IF(OR(C1787="",D1787=""),"",IFERROR(INDEX('Qida bazası'!$G$2:$G$103,MATCH(C1787,'Qida bazası'!$A$2:$A$103,0))*D1787/100,"?"))</f>
        <v/>
      </c>
    </row>
    <row r="1788">
      <c r="A1788" s="21" t="n"/>
      <c r="E1788" s="18">
        <f>IF(OR(C1788="",D1788=""),"",IFERROR(INDEX('Qida bazası'!$D$2:$D$103,MATCH(C1788,'Qida bazası'!$A$2:$A$103,0))*D1788/100,"?"))</f>
        <v/>
      </c>
      <c r="F1788" s="19">
        <f>IF(OR(C1788="",D1788=""),"",IFERROR(INDEX('Qida bazası'!$E$2:$E$103,MATCH(C1788,'Qida bazası'!$A$2:$A$103,0))*D1788/100,"?"))</f>
        <v/>
      </c>
      <c r="G1788" s="19">
        <f>IF(OR(C1788="",D1788=""),"",IFERROR(INDEX('Qida bazası'!$F$2:$F$103,MATCH(C1788,'Qida bazası'!$A$2:$A$103,0))*D1788/100,"?"))</f>
        <v/>
      </c>
      <c r="H1788" s="19">
        <f>IF(OR(C1788="",D1788=""),"",IFERROR(INDEX('Qida bazası'!$G$2:$G$103,MATCH(C1788,'Qida bazası'!$A$2:$A$103,0))*D1788/100,"?"))</f>
        <v/>
      </c>
    </row>
    <row r="1789">
      <c r="A1789" s="21" t="n"/>
      <c r="E1789" s="18">
        <f>IF(OR(C1789="",D1789=""),"",IFERROR(INDEX('Qida bazası'!$D$2:$D$103,MATCH(C1789,'Qida bazası'!$A$2:$A$103,0))*D1789/100,"?"))</f>
        <v/>
      </c>
      <c r="F1789" s="19">
        <f>IF(OR(C1789="",D1789=""),"",IFERROR(INDEX('Qida bazası'!$E$2:$E$103,MATCH(C1789,'Qida bazası'!$A$2:$A$103,0))*D1789/100,"?"))</f>
        <v/>
      </c>
      <c r="G1789" s="19">
        <f>IF(OR(C1789="",D1789=""),"",IFERROR(INDEX('Qida bazası'!$F$2:$F$103,MATCH(C1789,'Qida bazası'!$A$2:$A$103,0))*D1789/100,"?"))</f>
        <v/>
      </c>
      <c r="H1789" s="19">
        <f>IF(OR(C1789="",D1789=""),"",IFERROR(INDEX('Qida bazası'!$G$2:$G$103,MATCH(C1789,'Qida bazası'!$A$2:$A$103,0))*D1789/100,"?"))</f>
        <v/>
      </c>
    </row>
    <row r="1790">
      <c r="A1790" s="21" t="n"/>
      <c r="E1790" s="18">
        <f>IF(OR(C1790="",D1790=""),"",IFERROR(INDEX('Qida bazası'!$D$2:$D$103,MATCH(C1790,'Qida bazası'!$A$2:$A$103,0))*D1790/100,"?"))</f>
        <v/>
      </c>
      <c r="F1790" s="19">
        <f>IF(OR(C1790="",D1790=""),"",IFERROR(INDEX('Qida bazası'!$E$2:$E$103,MATCH(C1790,'Qida bazası'!$A$2:$A$103,0))*D1790/100,"?"))</f>
        <v/>
      </c>
      <c r="G1790" s="19">
        <f>IF(OR(C1790="",D1790=""),"",IFERROR(INDEX('Qida bazası'!$F$2:$F$103,MATCH(C1790,'Qida bazası'!$A$2:$A$103,0))*D1790/100,"?"))</f>
        <v/>
      </c>
      <c r="H1790" s="19">
        <f>IF(OR(C1790="",D1790=""),"",IFERROR(INDEX('Qida bazası'!$G$2:$G$103,MATCH(C1790,'Qida bazası'!$A$2:$A$103,0))*D1790/100,"?"))</f>
        <v/>
      </c>
    </row>
    <row r="1791">
      <c r="A1791" s="21" t="n"/>
      <c r="E1791" s="18">
        <f>IF(OR(C1791="",D1791=""),"",IFERROR(INDEX('Qida bazası'!$D$2:$D$103,MATCH(C1791,'Qida bazası'!$A$2:$A$103,0))*D1791/100,"?"))</f>
        <v/>
      </c>
      <c r="F1791" s="19">
        <f>IF(OR(C1791="",D1791=""),"",IFERROR(INDEX('Qida bazası'!$E$2:$E$103,MATCH(C1791,'Qida bazası'!$A$2:$A$103,0))*D1791/100,"?"))</f>
        <v/>
      </c>
      <c r="G1791" s="19">
        <f>IF(OR(C1791="",D1791=""),"",IFERROR(INDEX('Qida bazası'!$F$2:$F$103,MATCH(C1791,'Qida bazası'!$A$2:$A$103,0))*D1791/100,"?"))</f>
        <v/>
      </c>
      <c r="H1791" s="19">
        <f>IF(OR(C1791="",D1791=""),"",IFERROR(INDEX('Qida bazası'!$G$2:$G$103,MATCH(C1791,'Qida bazası'!$A$2:$A$103,0))*D1791/100,"?"))</f>
        <v/>
      </c>
    </row>
    <row r="1792">
      <c r="A1792" s="21" t="n"/>
      <c r="E1792" s="18">
        <f>IF(OR(C1792="",D1792=""),"",IFERROR(INDEX('Qida bazası'!$D$2:$D$103,MATCH(C1792,'Qida bazası'!$A$2:$A$103,0))*D1792/100,"?"))</f>
        <v/>
      </c>
      <c r="F1792" s="19">
        <f>IF(OR(C1792="",D1792=""),"",IFERROR(INDEX('Qida bazası'!$E$2:$E$103,MATCH(C1792,'Qida bazası'!$A$2:$A$103,0))*D1792/100,"?"))</f>
        <v/>
      </c>
      <c r="G1792" s="19">
        <f>IF(OR(C1792="",D1792=""),"",IFERROR(INDEX('Qida bazası'!$F$2:$F$103,MATCH(C1792,'Qida bazası'!$A$2:$A$103,0))*D1792/100,"?"))</f>
        <v/>
      </c>
      <c r="H1792" s="19">
        <f>IF(OR(C1792="",D1792=""),"",IFERROR(INDEX('Qida bazası'!$G$2:$G$103,MATCH(C1792,'Qida bazası'!$A$2:$A$103,0))*D1792/100,"?"))</f>
        <v/>
      </c>
    </row>
    <row r="1793">
      <c r="A1793" s="21" t="n"/>
      <c r="E1793" s="18">
        <f>IF(OR(C1793="",D1793=""),"",IFERROR(INDEX('Qida bazası'!$D$2:$D$103,MATCH(C1793,'Qida bazası'!$A$2:$A$103,0))*D1793/100,"?"))</f>
        <v/>
      </c>
      <c r="F1793" s="19">
        <f>IF(OR(C1793="",D1793=""),"",IFERROR(INDEX('Qida bazası'!$E$2:$E$103,MATCH(C1793,'Qida bazası'!$A$2:$A$103,0))*D1793/100,"?"))</f>
        <v/>
      </c>
      <c r="G1793" s="19">
        <f>IF(OR(C1793="",D1793=""),"",IFERROR(INDEX('Qida bazası'!$F$2:$F$103,MATCH(C1793,'Qida bazası'!$A$2:$A$103,0))*D1793/100,"?"))</f>
        <v/>
      </c>
      <c r="H1793" s="19">
        <f>IF(OR(C1793="",D1793=""),"",IFERROR(INDEX('Qida bazası'!$G$2:$G$103,MATCH(C1793,'Qida bazası'!$A$2:$A$103,0))*D1793/100,"?"))</f>
        <v/>
      </c>
    </row>
    <row r="1794">
      <c r="A1794" s="21" t="n"/>
      <c r="E1794" s="18">
        <f>IF(OR(C1794="",D1794=""),"",IFERROR(INDEX('Qida bazası'!$D$2:$D$103,MATCH(C1794,'Qida bazası'!$A$2:$A$103,0))*D1794/100,"?"))</f>
        <v/>
      </c>
      <c r="F1794" s="19">
        <f>IF(OR(C1794="",D1794=""),"",IFERROR(INDEX('Qida bazası'!$E$2:$E$103,MATCH(C1794,'Qida bazası'!$A$2:$A$103,0))*D1794/100,"?"))</f>
        <v/>
      </c>
      <c r="G1794" s="19">
        <f>IF(OR(C1794="",D1794=""),"",IFERROR(INDEX('Qida bazası'!$F$2:$F$103,MATCH(C1794,'Qida bazası'!$A$2:$A$103,0))*D1794/100,"?"))</f>
        <v/>
      </c>
      <c r="H1794" s="19">
        <f>IF(OR(C1794="",D1794=""),"",IFERROR(INDEX('Qida bazası'!$G$2:$G$103,MATCH(C1794,'Qida bazası'!$A$2:$A$103,0))*D1794/100,"?"))</f>
        <v/>
      </c>
    </row>
    <row r="1795">
      <c r="A1795" s="21" t="n"/>
      <c r="E1795" s="18">
        <f>IF(OR(C1795="",D1795=""),"",IFERROR(INDEX('Qida bazası'!$D$2:$D$103,MATCH(C1795,'Qida bazası'!$A$2:$A$103,0))*D1795/100,"?"))</f>
        <v/>
      </c>
      <c r="F1795" s="19">
        <f>IF(OR(C1795="",D1795=""),"",IFERROR(INDEX('Qida bazası'!$E$2:$E$103,MATCH(C1795,'Qida bazası'!$A$2:$A$103,0))*D1795/100,"?"))</f>
        <v/>
      </c>
      <c r="G1795" s="19">
        <f>IF(OR(C1795="",D1795=""),"",IFERROR(INDEX('Qida bazası'!$F$2:$F$103,MATCH(C1795,'Qida bazası'!$A$2:$A$103,0))*D1795/100,"?"))</f>
        <v/>
      </c>
      <c r="H1795" s="19">
        <f>IF(OR(C1795="",D1795=""),"",IFERROR(INDEX('Qida bazası'!$G$2:$G$103,MATCH(C1795,'Qida bazası'!$A$2:$A$103,0))*D1795/100,"?"))</f>
        <v/>
      </c>
    </row>
    <row r="1796">
      <c r="A1796" s="21" t="n"/>
      <c r="E1796" s="18">
        <f>IF(OR(C1796="",D1796=""),"",IFERROR(INDEX('Qida bazası'!$D$2:$D$103,MATCH(C1796,'Qida bazası'!$A$2:$A$103,0))*D1796/100,"?"))</f>
        <v/>
      </c>
      <c r="F1796" s="19">
        <f>IF(OR(C1796="",D1796=""),"",IFERROR(INDEX('Qida bazası'!$E$2:$E$103,MATCH(C1796,'Qida bazası'!$A$2:$A$103,0))*D1796/100,"?"))</f>
        <v/>
      </c>
      <c r="G1796" s="19">
        <f>IF(OR(C1796="",D1796=""),"",IFERROR(INDEX('Qida bazası'!$F$2:$F$103,MATCH(C1796,'Qida bazası'!$A$2:$A$103,0))*D1796/100,"?"))</f>
        <v/>
      </c>
      <c r="H1796" s="19">
        <f>IF(OR(C1796="",D1796=""),"",IFERROR(INDEX('Qida bazası'!$G$2:$G$103,MATCH(C1796,'Qida bazası'!$A$2:$A$103,0))*D1796/100,"?"))</f>
        <v/>
      </c>
    </row>
    <row r="1797">
      <c r="A1797" s="21" t="n"/>
      <c r="E1797" s="18">
        <f>IF(OR(C1797="",D1797=""),"",IFERROR(INDEX('Qida bazası'!$D$2:$D$103,MATCH(C1797,'Qida bazası'!$A$2:$A$103,0))*D1797/100,"?"))</f>
        <v/>
      </c>
      <c r="F1797" s="19">
        <f>IF(OR(C1797="",D1797=""),"",IFERROR(INDEX('Qida bazası'!$E$2:$E$103,MATCH(C1797,'Qida bazası'!$A$2:$A$103,0))*D1797/100,"?"))</f>
        <v/>
      </c>
      <c r="G1797" s="19">
        <f>IF(OR(C1797="",D1797=""),"",IFERROR(INDEX('Qida bazası'!$F$2:$F$103,MATCH(C1797,'Qida bazası'!$A$2:$A$103,0))*D1797/100,"?"))</f>
        <v/>
      </c>
      <c r="H1797" s="19">
        <f>IF(OR(C1797="",D1797=""),"",IFERROR(INDEX('Qida bazası'!$G$2:$G$103,MATCH(C1797,'Qida bazası'!$A$2:$A$103,0))*D1797/100,"?"))</f>
        <v/>
      </c>
    </row>
    <row r="1798">
      <c r="A1798" s="21" t="n"/>
      <c r="E1798" s="18">
        <f>IF(OR(C1798="",D1798=""),"",IFERROR(INDEX('Qida bazası'!$D$2:$D$103,MATCH(C1798,'Qida bazası'!$A$2:$A$103,0))*D1798/100,"?"))</f>
        <v/>
      </c>
      <c r="F1798" s="19">
        <f>IF(OR(C1798="",D1798=""),"",IFERROR(INDEX('Qida bazası'!$E$2:$E$103,MATCH(C1798,'Qida bazası'!$A$2:$A$103,0))*D1798/100,"?"))</f>
        <v/>
      </c>
      <c r="G1798" s="19">
        <f>IF(OR(C1798="",D1798=""),"",IFERROR(INDEX('Qida bazası'!$F$2:$F$103,MATCH(C1798,'Qida bazası'!$A$2:$A$103,0))*D1798/100,"?"))</f>
        <v/>
      </c>
      <c r="H1798" s="19">
        <f>IF(OR(C1798="",D1798=""),"",IFERROR(INDEX('Qida bazası'!$G$2:$G$103,MATCH(C1798,'Qida bazası'!$A$2:$A$103,0))*D1798/100,"?"))</f>
        <v/>
      </c>
    </row>
    <row r="1799">
      <c r="A1799" s="21" t="n"/>
      <c r="E1799" s="18">
        <f>IF(OR(C1799="",D1799=""),"",IFERROR(INDEX('Qida bazası'!$D$2:$D$103,MATCH(C1799,'Qida bazası'!$A$2:$A$103,0))*D1799/100,"?"))</f>
        <v/>
      </c>
      <c r="F1799" s="19">
        <f>IF(OR(C1799="",D1799=""),"",IFERROR(INDEX('Qida bazası'!$E$2:$E$103,MATCH(C1799,'Qida bazası'!$A$2:$A$103,0))*D1799/100,"?"))</f>
        <v/>
      </c>
      <c r="G1799" s="19">
        <f>IF(OR(C1799="",D1799=""),"",IFERROR(INDEX('Qida bazası'!$F$2:$F$103,MATCH(C1799,'Qida bazası'!$A$2:$A$103,0))*D1799/100,"?"))</f>
        <v/>
      </c>
      <c r="H1799" s="19">
        <f>IF(OR(C1799="",D1799=""),"",IFERROR(INDEX('Qida bazası'!$G$2:$G$103,MATCH(C1799,'Qida bazası'!$A$2:$A$103,0))*D1799/100,"?"))</f>
        <v/>
      </c>
    </row>
    <row r="1800">
      <c r="A1800" s="21" t="n"/>
      <c r="E1800" s="18">
        <f>IF(OR(C1800="",D1800=""),"",IFERROR(INDEX('Qida bazası'!$D$2:$D$103,MATCH(C1800,'Qida bazası'!$A$2:$A$103,0))*D1800/100,"?"))</f>
        <v/>
      </c>
      <c r="F1800" s="19">
        <f>IF(OR(C1800="",D1800=""),"",IFERROR(INDEX('Qida bazası'!$E$2:$E$103,MATCH(C1800,'Qida bazası'!$A$2:$A$103,0))*D1800/100,"?"))</f>
        <v/>
      </c>
      <c r="G1800" s="19">
        <f>IF(OR(C1800="",D1800=""),"",IFERROR(INDEX('Qida bazası'!$F$2:$F$103,MATCH(C1800,'Qida bazası'!$A$2:$A$103,0))*D1800/100,"?"))</f>
        <v/>
      </c>
      <c r="H1800" s="19">
        <f>IF(OR(C1800="",D1800=""),"",IFERROR(INDEX('Qida bazası'!$G$2:$G$103,MATCH(C1800,'Qida bazası'!$A$2:$A$103,0))*D1800/100,"?"))</f>
        <v/>
      </c>
    </row>
    <row r="1801">
      <c r="A1801" s="21" t="n"/>
      <c r="E1801" s="18">
        <f>IF(OR(C1801="",D1801=""),"",IFERROR(INDEX('Qida bazası'!$D$2:$D$103,MATCH(C1801,'Qida bazası'!$A$2:$A$103,0))*D1801/100,"?"))</f>
        <v/>
      </c>
      <c r="F1801" s="19">
        <f>IF(OR(C1801="",D1801=""),"",IFERROR(INDEX('Qida bazası'!$E$2:$E$103,MATCH(C1801,'Qida bazası'!$A$2:$A$103,0))*D1801/100,"?"))</f>
        <v/>
      </c>
      <c r="G1801" s="19">
        <f>IF(OR(C1801="",D1801=""),"",IFERROR(INDEX('Qida bazası'!$F$2:$F$103,MATCH(C1801,'Qida bazası'!$A$2:$A$103,0))*D1801/100,"?"))</f>
        <v/>
      </c>
      <c r="H1801" s="19">
        <f>IF(OR(C1801="",D1801=""),"",IFERROR(INDEX('Qida bazası'!$G$2:$G$103,MATCH(C1801,'Qida bazası'!$A$2:$A$103,0))*D1801/100,"?"))</f>
        <v/>
      </c>
    </row>
    <row r="1802">
      <c r="A1802" s="21" t="n"/>
      <c r="E1802" s="18">
        <f>IF(OR(C1802="",D1802=""),"",IFERROR(INDEX('Qida bazası'!$D$2:$D$103,MATCH(C1802,'Qida bazası'!$A$2:$A$103,0))*D1802/100,"?"))</f>
        <v/>
      </c>
      <c r="F1802" s="19">
        <f>IF(OR(C1802="",D1802=""),"",IFERROR(INDEX('Qida bazası'!$E$2:$E$103,MATCH(C1802,'Qida bazası'!$A$2:$A$103,0))*D1802/100,"?"))</f>
        <v/>
      </c>
      <c r="G1802" s="19">
        <f>IF(OR(C1802="",D1802=""),"",IFERROR(INDEX('Qida bazası'!$F$2:$F$103,MATCH(C1802,'Qida bazası'!$A$2:$A$103,0))*D1802/100,"?"))</f>
        <v/>
      </c>
      <c r="H1802" s="19">
        <f>IF(OR(C1802="",D1802=""),"",IFERROR(INDEX('Qida bazası'!$G$2:$G$103,MATCH(C1802,'Qida bazası'!$A$2:$A$103,0))*D1802/100,"?"))</f>
        <v/>
      </c>
    </row>
    <row r="1803">
      <c r="A1803" s="21" t="n"/>
      <c r="E1803" s="18">
        <f>IF(OR(C1803="",D1803=""),"",IFERROR(INDEX('Qida bazası'!$D$2:$D$103,MATCH(C1803,'Qida bazası'!$A$2:$A$103,0))*D1803/100,"?"))</f>
        <v/>
      </c>
      <c r="F1803" s="19">
        <f>IF(OR(C1803="",D1803=""),"",IFERROR(INDEX('Qida bazası'!$E$2:$E$103,MATCH(C1803,'Qida bazası'!$A$2:$A$103,0))*D1803/100,"?"))</f>
        <v/>
      </c>
      <c r="G1803" s="19">
        <f>IF(OR(C1803="",D1803=""),"",IFERROR(INDEX('Qida bazası'!$F$2:$F$103,MATCH(C1803,'Qida bazası'!$A$2:$A$103,0))*D1803/100,"?"))</f>
        <v/>
      </c>
      <c r="H1803" s="19">
        <f>IF(OR(C1803="",D1803=""),"",IFERROR(INDEX('Qida bazası'!$G$2:$G$103,MATCH(C1803,'Qida bazası'!$A$2:$A$103,0))*D1803/100,"?"))</f>
        <v/>
      </c>
    </row>
    <row r="1804">
      <c r="A1804" s="21" t="n"/>
      <c r="E1804" s="18">
        <f>IF(OR(C1804="",D1804=""),"",IFERROR(INDEX('Qida bazası'!$D$2:$D$103,MATCH(C1804,'Qida bazası'!$A$2:$A$103,0))*D1804/100,"?"))</f>
        <v/>
      </c>
      <c r="F1804" s="19">
        <f>IF(OR(C1804="",D1804=""),"",IFERROR(INDEX('Qida bazası'!$E$2:$E$103,MATCH(C1804,'Qida bazası'!$A$2:$A$103,0))*D1804/100,"?"))</f>
        <v/>
      </c>
      <c r="G1804" s="19">
        <f>IF(OR(C1804="",D1804=""),"",IFERROR(INDEX('Qida bazası'!$F$2:$F$103,MATCH(C1804,'Qida bazası'!$A$2:$A$103,0))*D1804/100,"?"))</f>
        <v/>
      </c>
      <c r="H1804" s="19">
        <f>IF(OR(C1804="",D1804=""),"",IFERROR(INDEX('Qida bazası'!$G$2:$G$103,MATCH(C1804,'Qida bazası'!$A$2:$A$103,0))*D1804/100,"?"))</f>
        <v/>
      </c>
    </row>
    <row r="1805">
      <c r="A1805" s="21" t="n"/>
      <c r="E1805" s="18">
        <f>IF(OR(C1805="",D1805=""),"",IFERROR(INDEX('Qida bazası'!$D$2:$D$103,MATCH(C1805,'Qida bazası'!$A$2:$A$103,0))*D1805/100,"?"))</f>
        <v/>
      </c>
      <c r="F1805" s="19">
        <f>IF(OR(C1805="",D1805=""),"",IFERROR(INDEX('Qida bazası'!$E$2:$E$103,MATCH(C1805,'Qida bazası'!$A$2:$A$103,0))*D1805/100,"?"))</f>
        <v/>
      </c>
      <c r="G1805" s="19">
        <f>IF(OR(C1805="",D1805=""),"",IFERROR(INDEX('Qida bazası'!$F$2:$F$103,MATCH(C1805,'Qida bazası'!$A$2:$A$103,0))*D1805/100,"?"))</f>
        <v/>
      </c>
      <c r="H1805" s="19">
        <f>IF(OR(C1805="",D1805=""),"",IFERROR(INDEX('Qida bazası'!$G$2:$G$103,MATCH(C1805,'Qida bazası'!$A$2:$A$103,0))*D1805/100,"?"))</f>
        <v/>
      </c>
    </row>
    <row r="1806">
      <c r="A1806" s="21" t="n"/>
      <c r="E1806" s="18">
        <f>IF(OR(C1806="",D1806=""),"",IFERROR(INDEX('Qida bazası'!$D$2:$D$103,MATCH(C1806,'Qida bazası'!$A$2:$A$103,0))*D1806/100,"?"))</f>
        <v/>
      </c>
      <c r="F1806" s="19">
        <f>IF(OR(C1806="",D1806=""),"",IFERROR(INDEX('Qida bazası'!$E$2:$E$103,MATCH(C1806,'Qida bazası'!$A$2:$A$103,0))*D1806/100,"?"))</f>
        <v/>
      </c>
      <c r="G1806" s="19">
        <f>IF(OR(C1806="",D1806=""),"",IFERROR(INDEX('Qida bazası'!$F$2:$F$103,MATCH(C1806,'Qida bazası'!$A$2:$A$103,0))*D1806/100,"?"))</f>
        <v/>
      </c>
      <c r="H1806" s="19">
        <f>IF(OR(C1806="",D1806=""),"",IFERROR(INDEX('Qida bazası'!$G$2:$G$103,MATCH(C1806,'Qida bazası'!$A$2:$A$103,0))*D1806/100,"?"))</f>
        <v/>
      </c>
    </row>
    <row r="1807">
      <c r="A1807" s="21" t="n"/>
      <c r="E1807" s="18">
        <f>IF(OR(C1807="",D1807=""),"",IFERROR(INDEX('Qida bazası'!$D$2:$D$103,MATCH(C1807,'Qida bazası'!$A$2:$A$103,0))*D1807/100,"?"))</f>
        <v/>
      </c>
      <c r="F1807" s="19">
        <f>IF(OR(C1807="",D1807=""),"",IFERROR(INDEX('Qida bazası'!$E$2:$E$103,MATCH(C1807,'Qida bazası'!$A$2:$A$103,0))*D1807/100,"?"))</f>
        <v/>
      </c>
      <c r="G1807" s="19">
        <f>IF(OR(C1807="",D1807=""),"",IFERROR(INDEX('Qida bazası'!$F$2:$F$103,MATCH(C1807,'Qida bazası'!$A$2:$A$103,0))*D1807/100,"?"))</f>
        <v/>
      </c>
      <c r="H1807" s="19">
        <f>IF(OR(C1807="",D1807=""),"",IFERROR(INDEX('Qida bazası'!$G$2:$G$103,MATCH(C1807,'Qida bazası'!$A$2:$A$103,0))*D1807/100,"?"))</f>
        <v/>
      </c>
    </row>
    <row r="1808">
      <c r="A1808" s="21" t="n"/>
      <c r="E1808" s="18">
        <f>IF(OR(C1808="",D1808=""),"",IFERROR(INDEX('Qida bazası'!$D$2:$D$103,MATCH(C1808,'Qida bazası'!$A$2:$A$103,0))*D1808/100,"?"))</f>
        <v/>
      </c>
      <c r="F1808" s="19">
        <f>IF(OR(C1808="",D1808=""),"",IFERROR(INDEX('Qida bazası'!$E$2:$E$103,MATCH(C1808,'Qida bazası'!$A$2:$A$103,0))*D1808/100,"?"))</f>
        <v/>
      </c>
      <c r="G1808" s="19">
        <f>IF(OR(C1808="",D1808=""),"",IFERROR(INDEX('Qida bazası'!$F$2:$F$103,MATCH(C1808,'Qida bazası'!$A$2:$A$103,0))*D1808/100,"?"))</f>
        <v/>
      </c>
      <c r="H1808" s="19">
        <f>IF(OR(C1808="",D1808=""),"",IFERROR(INDEX('Qida bazası'!$G$2:$G$103,MATCH(C1808,'Qida bazası'!$A$2:$A$103,0))*D1808/100,"?"))</f>
        <v/>
      </c>
    </row>
    <row r="1809">
      <c r="A1809" s="21" t="n"/>
      <c r="E1809" s="18">
        <f>IF(OR(C1809="",D1809=""),"",IFERROR(INDEX('Qida bazası'!$D$2:$D$103,MATCH(C1809,'Qida bazası'!$A$2:$A$103,0))*D1809/100,"?"))</f>
        <v/>
      </c>
      <c r="F1809" s="19">
        <f>IF(OR(C1809="",D1809=""),"",IFERROR(INDEX('Qida bazası'!$E$2:$E$103,MATCH(C1809,'Qida bazası'!$A$2:$A$103,0))*D1809/100,"?"))</f>
        <v/>
      </c>
      <c r="G1809" s="19">
        <f>IF(OR(C1809="",D1809=""),"",IFERROR(INDEX('Qida bazası'!$F$2:$F$103,MATCH(C1809,'Qida bazası'!$A$2:$A$103,0))*D1809/100,"?"))</f>
        <v/>
      </c>
      <c r="H1809" s="19">
        <f>IF(OR(C1809="",D1809=""),"",IFERROR(INDEX('Qida bazası'!$G$2:$G$103,MATCH(C1809,'Qida bazası'!$A$2:$A$103,0))*D1809/100,"?"))</f>
        <v/>
      </c>
    </row>
    <row r="1810">
      <c r="A1810" s="21" t="n"/>
      <c r="E1810" s="18">
        <f>IF(OR(C1810="",D1810=""),"",IFERROR(INDEX('Qida bazası'!$D$2:$D$103,MATCH(C1810,'Qida bazası'!$A$2:$A$103,0))*D1810/100,"?"))</f>
        <v/>
      </c>
      <c r="F1810" s="19">
        <f>IF(OR(C1810="",D1810=""),"",IFERROR(INDEX('Qida bazası'!$E$2:$E$103,MATCH(C1810,'Qida bazası'!$A$2:$A$103,0))*D1810/100,"?"))</f>
        <v/>
      </c>
      <c r="G1810" s="19">
        <f>IF(OR(C1810="",D1810=""),"",IFERROR(INDEX('Qida bazası'!$F$2:$F$103,MATCH(C1810,'Qida bazası'!$A$2:$A$103,0))*D1810/100,"?"))</f>
        <v/>
      </c>
      <c r="H1810" s="19">
        <f>IF(OR(C1810="",D1810=""),"",IFERROR(INDEX('Qida bazası'!$G$2:$G$103,MATCH(C1810,'Qida bazası'!$A$2:$A$103,0))*D1810/100,"?"))</f>
        <v/>
      </c>
    </row>
    <row r="1811">
      <c r="A1811" s="21" t="n"/>
      <c r="E1811" s="18">
        <f>IF(OR(C1811="",D1811=""),"",IFERROR(INDEX('Qida bazası'!$D$2:$D$103,MATCH(C1811,'Qida bazası'!$A$2:$A$103,0))*D1811/100,"?"))</f>
        <v/>
      </c>
      <c r="F1811" s="19">
        <f>IF(OR(C1811="",D1811=""),"",IFERROR(INDEX('Qida bazası'!$E$2:$E$103,MATCH(C1811,'Qida bazası'!$A$2:$A$103,0))*D1811/100,"?"))</f>
        <v/>
      </c>
      <c r="G1811" s="19">
        <f>IF(OR(C1811="",D1811=""),"",IFERROR(INDEX('Qida bazası'!$F$2:$F$103,MATCH(C1811,'Qida bazası'!$A$2:$A$103,0))*D1811/100,"?"))</f>
        <v/>
      </c>
      <c r="H1811" s="19">
        <f>IF(OR(C1811="",D1811=""),"",IFERROR(INDEX('Qida bazası'!$G$2:$G$103,MATCH(C1811,'Qida bazası'!$A$2:$A$103,0))*D1811/100,"?"))</f>
        <v/>
      </c>
    </row>
    <row r="1812">
      <c r="A1812" s="21" t="n"/>
      <c r="E1812" s="18">
        <f>IF(OR(C1812="",D1812=""),"",IFERROR(INDEX('Qida bazası'!$D$2:$D$103,MATCH(C1812,'Qida bazası'!$A$2:$A$103,0))*D1812/100,"?"))</f>
        <v/>
      </c>
      <c r="F1812" s="19">
        <f>IF(OR(C1812="",D1812=""),"",IFERROR(INDEX('Qida bazası'!$E$2:$E$103,MATCH(C1812,'Qida bazası'!$A$2:$A$103,0))*D1812/100,"?"))</f>
        <v/>
      </c>
      <c r="G1812" s="19">
        <f>IF(OR(C1812="",D1812=""),"",IFERROR(INDEX('Qida bazası'!$F$2:$F$103,MATCH(C1812,'Qida bazası'!$A$2:$A$103,0))*D1812/100,"?"))</f>
        <v/>
      </c>
      <c r="H1812" s="19">
        <f>IF(OR(C1812="",D1812=""),"",IFERROR(INDEX('Qida bazası'!$G$2:$G$103,MATCH(C1812,'Qida bazası'!$A$2:$A$103,0))*D1812/100,"?"))</f>
        <v/>
      </c>
    </row>
    <row r="1813">
      <c r="A1813" s="21" t="n"/>
      <c r="E1813" s="18">
        <f>IF(OR(C1813="",D1813=""),"",IFERROR(INDEX('Qida bazası'!$D$2:$D$103,MATCH(C1813,'Qida bazası'!$A$2:$A$103,0))*D1813/100,"?"))</f>
        <v/>
      </c>
      <c r="F1813" s="19">
        <f>IF(OR(C1813="",D1813=""),"",IFERROR(INDEX('Qida bazası'!$E$2:$E$103,MATCH(C1813,'Qida bazası'!$A$2:$A$103,0))*D1813/100,"?"))</f>
        <v/>
      </c>
      <c r="G1813" s="19">
        <f>IF(OR(C1813="",D1813=""),"",IFERROR(INDEX('Qida bazası'!$F$2:$F$103,MATCH(C1813,'Qida bazası'!$A$2:$A$103,0))*D1813/100,"?"))</f>
        <v/>
      </c>
      <c r="H1813" s="19">
        <f>IF(OR(C1813="",D1813=""),"",IFERROR(INDEX('Qida bazası'!$G$2:$G$103,MATCH(C1813,'Qida bazası'!$A$2:$A$103,0))*D1813/100,"?"))</f>
        <v/>
      </c>
    </row>
    <row r="1814">
      <c r="A1814" s="21" t="n"/>
      <c r="E1814" s="18">
        <f>IF(OR(C1814="",D1814=""),"",IFERROR(INDEX('Qida bazası'!$D$2:$D$103,MATCH(C1814,'Qida bazası'!$A$2:$A$103,0))*D1814/100,"?"))</f>
        <v/>
      </c>
      <c r="F1814" s="19">
        <f>IF(OR(C1814="",D1814=""),"",IFERROR(INDEX('Qida bazası'!$E$2:$E$103,MATCH(C1814,'Qida bazası'!$A$2:$A$103,0))*D1814/100,"?"))</f>
        <v/>
      </c>
      <c r="G1814" s="19">
        <f>IF(OR(C1814="",D1814=""),"",IFERROR(INDEX('Qida bazası'!$F$2:$F$103,MATCH(C1814,'Qida bazası'!$A$2:$A$103,0))*D1814/100,"?"))</f>
        <v/>
      </c>
      <c r="H1814" s="19">
        <f>IF(OR(C1814="",D1814=""),"",IFERROR(INDEX('Qida bazası'!$G$2:$G$103,MATCH(C1814,'Qida bazası'!$A$2:$A$103,0))*D1814/100,"?"))</f>
        <v/>
      </c>
    </row>
    <row r="1815">
      <c r="A1815" s="21" t="n"/>
      <c r="E1815" s="18">
        <f>IF(OR(C1815="",D1815=""),"",IFERROR(INDEX('Qida bazası'!$D$2:$D$103,MATCH(C1815,'Qida bazası'!$A$2:$A$103,0))*D1815/100,"?"))</f>
        <v/>
      </c>
      <c r="F1815" s="19">
        <f>IF(OR(C1815="",D1815=""),"",IFERROR(INDEX('Qida bazası'!$E$2:$E$103,MATCH(C1815,'Qida bazası'!$A$2:$A$103,0))*D1815/100,"?"))</f>
        <v/>
      </c>
      <c r="G1815" s="19">
        <f>IF(OR(C1815="",D1815=""),"",IFERROR(INDEX('Qida bazası'!$F$2:$F$103,MATCH(C1815,'Qida bazası'!$A$2:$A$103,0))*D1815/100,"?"))</f>
        <v/>
      </c>
      <c r="H1815" s="19">
        <f>IF(OR(C1815="",D1815=""),"",IFERROR(INDEX('Qida bazası'!$G$2:$G$103,MATCH(C1815,'Qida bazası'!$A$2:$A$103,0))*D1815/100,"?"))</f>
        <v/>
      </c>
    </row>
    <row r="1816">
      <c r="A1816" s="21" t="n"/>
      <c r="E1816" s="18">
        <f>IF(OR(C1816="",D1816=""),"",IFERROR(INDEX('Qida bazası'!$D$2:$D$103,MATCH(C1816,'Qida bazası'!$A$2:$A$103,0))*D1816/100,"?"))</f>
        <v/>
      </c>
      <c r="F1816" s="19">
        <f>IF(OR(C1816="",D1816=""),"",IFERROR(INDEX('Qida bazası'!$E$2:$E$103,MATCH(C1816,'Qida bazası'!$A$2:$A$103,0))*D1816/100,"?"))</f>
        <v/>
      </c>
      <c r="G1816" s="19">
        <f>IF(OR(C1816="",D1816=""),"",IFERROR(INDEX('Qida bazası'!$F$2:$F$103,MATCH(C1816,'Qida bazası'!$A$2:$A$103,0))*D1816/100,"?"))</f>
        <v/>
      </c>
      <c r="H1816" s="19">
        <f>IF(OR(C1816="",D1816=""),"",IFERROR(INDEX('Qida bazası'!$G$2:$G$103,MATCH(C1816,'Qida bazası'!$A$2:$A$103,0))*D1816/100,"?"))</f>
        <v/>
      </c>
    </row>
    <row r="1817">
      <c r="A1817" s="21" t="n"/>
      <c r="E1817" s="18">
        <f>IF(OR(C1817="",D1817=""),"",IFERROR(INDEX('Qida bazası'!$D$2:$D$103,MATCH(C1817,'Qida bazası'!$A$2:$A$103,0))*D1817/100,"?"))</f>
        <v/>
      </c>
      <c r="F1817" s="19">
        <f>IF(OR(C1817="",D1817=""),"",IFERROR(INDEX('Qida bazası'!$E$2:$E$103,MATCH(C1817,'Qida bazası'!$A$2:$A$103,0))*D1817/100,"?"))</f>
        <v/>
      </c>
      <c r="G1817" s="19">
        <f>IF(OR(C1817="",D1817=""),"",IFERROR(INDEX('Qida bazası'!$F$2:$F$103,MATCH(C1817,'Qida bazası'!$A$2:$A$103,0))*D1817/100,"?"))</f>
        <v/>
      </c>
      <c r="H1817" s="19">
        <f>IF(OR(C1817="",D1817=""),"",IFERROR(INDEX('Qida bazası'!$G$2:$G$103,MATCH(C1817,'Qida bazası'!$A$2:$A$103,0))*D1817/100,"?"))</f>
        <v/>
      </c>
    </row>
    <row r="1818">
      <c r="A1818" s="21" t="n"/>
      <c r="E1818" s="18">
        <f>IF(OR(C1818="",D1818=""),"",IFERROR(INDEX('Qida bazası'!$D$2:$D$103,MATCH(C1818,'Qida bazası'!$A$2:$A$103,0))*D1818/100,"?"))</f>
        <v/>
      </c>
      <c r="F1818" s="19">
        <f>IF(OR(C1818="",D1818=""),"",IFERROR(INDEX('Qida bazası'!$E$2:$E$103,MATCH(C1818,'Qida bazası'!$A$2:$A$103,0))*D1818/100,"?"))</f>
        <v/>
      </c>
      <c r="G1818" s="19">
        <f>IF(OR(C1818="",D1818=""),"",IFERROR(INDEX('Qida bazası'!$F$2:$F$103,MATCH(C1818,'Qida bazası'!$A$2:$A$103,0))*D1818/100,"?"))</f>
        <v/>
      </c>
      <c r="H1818" s="19">
        <f>IF(OR(C1818="",D1818=""),"",IFERROR(INDEX('Qida bazası'!$G$2:$G$103,MATCH(C1818,'Qida bazası'!$A$2:$A$103,0))*D1818/100,"?"))</f>
        <v/>
      </c>
    </row>
    <row r="1819">
      <c r="A1819" s="21" t="n"/>
      <c r="E1819" s="18">
        <f>IF(OR(C1819="",D1819=""),"",IFERROR(INDEX('Qida bazası'!$D$2:$D$103,MATCH(C1819,'Qida bazası'!$A$2:$A$103,0))*D1819/100,"?"))</f>
        <v/>
      </c>
      <c r="F1819" s="19">
        <f>IF(OR(C1819="",D1819=""),"",IFERROR(INDEX('Qida bazası'!$E$2:$E$103,MATCH(C1819,'Qida bazası'!$A$2:$A$103,0))*D1819/100,"?"))</f>
        <v/>
      </c>
      <c r="G1819" s="19">
        <f>IF(OR(C1819="",D1819=""),"",IFERROR(INDEX('Qida bazası'!$F$2:$F$103,MATCH(C1819,'Qida bazası'!$A$2:$A$103,0))*D1819/100,"?"))</f>
        <v/>
      </c>
      <c r="H1819" s="19">
        <f>IF(OR(C1819="",D1819=""),"",IFERROR(INDEX('Qida bazası'!$G$2:$G$103,MATCH(C1819,'Qida bazası'!$A$2:$A$103,0))*D1819/100,"?"))</f>
        <v/>
      </c>
    </row>
    <row r="1820">
      <c r="A1820" s="21" t="n"/>
      <c r="E1820" s="18">
        <f>IF(OR(C1820="",D1820=""),"",IFERROR(INDEX('Qida bazası'!$D$2:$D$103,MATCH(C1820,'Qida bazası'!$A$2:$A$103,0))*D1820/100,"?"))</f>
        <v/>
      </c>
      <c r="F1820" s="19">
        <f>IF(OR(C1820="",D1820=""),"",IFERROR(INDEX('Qida bazası'!$E$2:$E$103,MATCH(C1820,'Qida bazası'!$A$2:$A$103,0))*D1820/100,"?"))</f>
        <v/>
      </c>
      <c r="G1820" s="19">
        <f>IF(OR(C1820="",D1820=""),"",IFERROR(INDEX('Qida bazası'!$F$2:$F$103,MATCH(C1820,'Qida bazası'!$A$2:$A$103,0))*D1820/100,"?"))</f>
        <v/>
      </c>
      <c r="H1820" s="19">
        <f>IF(OR(C1820="",D1820=""),"",IFERROR(INDEX('Qida bazası'!$G$2:$G$103,MATCH(C1820,'Qida bazası'!$A$2:$A$103,0))*D1820/100,"?"))</f>
        <v/>
      </c>
    </row>
    <row r="1821">
      <c r="A1821" s="21" t="n"/>
      <c r="E1821" s="18">
        <f>IF(OR(C1821="",D1821=""),"",IFERROR(INDEX('Qida bazası'!$D$2:$D$103,MATCH(C1821,'Qida bazası'!$A$2:$A$103,0))*D1821/100,"?"))</f>
        <v/>
      </c>
      <c r="F1821" s="19">
        <f>IF(OR(C1821="",D1821=""),"",IFERROR(INDEX('Qida bazası'!$E$2:$E$103,MATCH(C1821,'Qida bazası'!$A$2:$A$103,0))*D1821/100,"?"))</f>
        <v/>
      </c>
      <c r="G1821" s="19">
        <f>IF(OR(C1821="",D1821=""),"",IFERROR(INDEX('Qida bazası'!$F$2:$F$103,MATCH(C1821,'Qida bazası'!$A$2:$A$103,0))*D1821/100,"?"))</f>
        <v/>
      </c>
      <c r="H1821" s="19">
        <f>IF(OR(C1821="",D1821=""),"",IFERROR(INDEX('Qida bazası'!$G$2:$G$103,MATCH(C1821,'Qida bazası'!$A$2:$A$103,0))*D1821/100,"?"))</f>
        <v/>
      </c>
    </row>
    <row r="1822">
      <c r="A1822" s="21" t="n"/>
      <c r="E1822" s="18">
        <f>IF(OR(C1822="",D1822=""),"",IFERROR(INDEX('Qida bazası'!$D$2:$D$103,MATCH(C1822,'Qida bazası'!$A$2:$A$103,0))*D1822/100,"?"))</f>
        <v/>
      </c>
      <c r="F1822" s="19">
        <f>IF(OR(C1822="",D1822=""),"",IFERROR(INDEX('Qida bazası'!$E$2:$E$103,MATCH(C1822,'Qida bazası'!$A$2:$A$103,0))*D1822/100,"?"))</f>
        <v/>
      </c>
      <c r="G1822" s="19">
        <f>IF(OR(C1822="",D1822=""),"",IFERROR(INDEX('Qida bazası'!$F$2:$F$103,MATCH(C1822,'Qida bazası'!$A$2:$A$103,0))*D1822/100,"?"))</f>
        <v/>
      </c>
      <c r="H1822" s="19">
        <f>IF(OR(C1822="",D1822=""),"",IFERROR(INDEX('Qida bazası'!$G$2:$G$103,MATCH(C1822,'Qida bazası'!$A$2:$A$103,0))*D1822/100,"?"))</f>
        <v/>
      </c>
    </row>
    <row r="1823">
      <c r="A1823" s="21" t="n"/>
      <c r="E1823" s="18">
        <f>IF(OR(C1823="",D1823=""),"",IFERROR(INDEX('Qida bazası'!$D$2:$D$103,MATCH(C1823,'Qida bazası'!$A$2:$A$103,0))*D1823/100,"?"))</f>
        <v/>
      </c>
      <c r="F1823" s="19">
        <f>IF(OR(C1823="",D1823=""),"",IFERROR(INDEX('Qida bazası'!$E$2:$E$103,MATCH(C1823,'Qida bazası'!$A$2:$A$103,0))*D1823/100,"?"))</f>
        <v/>
      </c>
      <c r="G1823" s="19">
        <f>IF(OR(C1823="",D1823=""),"",IFERROR(INDEX('Qida bazası'!$F$2:$F$103,MATCH(C1823,'Qida bazası'!$A$2:$A$103,0))*D1823/100,"?"))</f>
        <v/>
      </c>
      <c r="H1823" s="19">
        <f>IF(OR(C1823="",D1823=""),"",IFERROR(INDEX('Qida bazası'!$G$2:$G$103,MATCH(C1823,'Qida bazası'!$A$2:$A$103,0))*D1823/100,"?"))</f>
        <v/>
      </c>
    </row>
    <row r="1824">
      <c r="A1824" s="21" t="n"/>
      <c r="E1824" s="18">
        <f>IF(OR(C1824="",D1824=""),"",IFERROR(INDEX('Qida bazası'!$D$2:$D$103,MATCH(C1824,'Qida bazası'!$A$2:$A$103,0))*D1824/100,"?"))</f>
        <v/>
      </c>
      <c r="F1824" s="19">
        <f>IF(OR(C1824="",D1824=""),"",IFERROR(INDEX('Qida bazası'!$E$2:$E$103,MATCH(C1824,'Qida bazası'!$A$2:$A$103,0))*D1824/100,"?"))</f>
        <v/>
      </c>
      <c r="G1824" s="19">
        <f>IF(OR(C1824="",D1824=""),"",IFERROR(INDEX('Qida bazası'!$F$2:$F$103,MATCH(C1824,'Qida bazası'!$A$2:$A$103,0))*D1824/100,"?"))</f>
        <v/>
      </c>
      <c r="H1824" s="19">
        <f>IF(OR(C1824="",D1824=""),"",IFERROR(INDEX('Qida bazası'!$G$2:$G$103,MATCH(C1824,'Qida bazası'!$A$2:$A$103,0))*D1824/100,"?"))</f>
        <v/>
      </c>
    </row>
    <row r="1825">
      <c r="A1825" s="21" t="n"/>
      <c r="E1825" s="18">
        <f>IF(OR(C1825="",D1825=""),"",IFERROR(INDEX('Qida bazası'!$D$2:$D$103,MATCH(C1825,'Qida bazası'!$A$2:$A$103,0))*D1825/100,"?"))</f>
        <v/>
      </c>
      <c r="F1825" s="19">
        <f>IF(OR(C1825="",D1825=""),"",IFERROR(INDEX('Qida bazası'!$E$2:$E$103,MATCH(C1825,'Qida bazası'!$A$2:$A$103,0))*D1825/100,"?"))</f>
        <v/>
      </c>
      <c r="G1825" s="19">
        <f>IF(OR(C1825="",D1825=""),"",IFERROR(INDEX('Qida bazası'!$F$2:$F$103,MATCH(C1825,'Qida bazası'!$A$2:$A$103,0))*D1825/100,"?"))</f>
        <v/>
      </c>
      <c r="H1825" s="19">
        <f>IF(OR(C1825="",D1825=""),"",IFERROR(INDEX('Qida bazası'!$G$2:$G$103,MATCH(C1825,'Qida bazası'!$A$2:$A$103,0))*D1825/100,"?"))</f>
        <v/>
      </c>
    </row>
    <row r="1826">
      <c r="A1826" s="21" t="n"/>
      <c r="E1826" s="18">
        <f>IF(OR(C1826="",D1826=""),"",IFERROR(INDEX('Qida bazası'!$D$2:$D$103,MATCH(C1826,'Qida bazası'!$A$2:$A$103,0))*D1826/100,"?"))</f>
        <v/>
      </c>
      <c r="F1826" s="19">
        <f>IF(OR(C1826="",D1826=""),"",IFERROR(INDEX('Qida bazası'!$E$2:$E$103,MATCH(C1826,'Qida bazası'!$A$2:$A$103,0))*D1826/100,"?"))</f>
        <v/>
      </c>
      <c r="G1826" s="19">
        <f>IF(OR(C1826="",D1826=""),"",IFERROR(INDEX('Qida bazası'!$F$2:$F$103,MATCH(C1826,'Qida bazası'!$A$2:$A$103,0))*D1826/100,"?"))</f>
        <v/>
      </c>
      <c r="H1826" s="19">
        <f>IF(OR(C1826="",D1826=""),"",IFERROR(INDEX('Qida bazası'!$G$2:$G$103,MATCH(C1826,'Qida bazası'!$A$2:$A$103,0))*D1826/100,"?"))</f>
        <v/>
      </c>
    </row>
    <row r="1827">
      <c r="A1827" s="21" t="n"/>
      <c r="E1827" s="18">
        <f>IF(OR(C1827="",D1827=""),"",IFERROR(INDEX('Qida bazası'!$D$2:$D$103,MATCH(C1827,'Qida bazası'!$A$2:$A$103,0))*D1827/100,"?"))</f>
        <v/>
      </c>
      <c r="F1827" s="19">
        <f>IF(OR(C1827="",D1827=""),"",IFERROR(INDEX('Qida bazası'!$E$2:$E$103,MATCH(C1827,'Qida bazası'!$A$2:$A$103,0))*D1827/100,"?"))</f>
        <v/>
      </c>
      <c r="G1827" s="19">
        <f>IF(OR(C1827="",D1827=""),"",IFERROR(INDEX('Qida bazası'!$F$2:$F$103,MATCH(C1827,'Qida bazası'!$A$2:$A$103,0))*D1827/100,"?"))</f>
        <v/>
      </c>
      <c r="H1827" s="19">
        <f>IF(OR(C1827="",D1827=""),"",IFERROR(INDEX('Qida bazası'!$G$2:$G$103,MATCH(C1827,'Qida bazası'!$A$2:$A$103,0))*D1827/100,"?"))</f>
        <v/>
      </c>
    </row>
    <row r="1828">
      <c r="A1828" s="21" t="n"/>
      <c r="E1828" s="18">
        <f>IF(OR(C1828="",D1828=""),"",IFERROR(INDEX('Qida bazası'!$D$2:$D$103,MATCH(C1828,'Qida bazası'!$A$2:$A$103,0))*D1828/100,"?"))</f>
        <v/>
      </c>
      <c r="F1828" s="19">
        <f>IF(OR(C1828="",D1828=""),"",IFERROR(INDEX('Qida bazası'!$E$2:$E$103,MATCH(C1828,'Qida bazası'!$A$2:$A$103,0))*D1828/100,"?"))</f>
        <v/>
      </c>
      <c r="G1828" s="19">
        <f>IF(OR(C1828="",D1828=""),"",IFERROR(INDEX('Qida bazası'!$F$2:$F$103,MATCH(C1828,'Qida bazası'!$A$2:$A$103,0))*D1828/100,"?"))</f>
        <v/>
      </c>
      <c r="H1828" s="19">
        <f>IF(OR(C1828="",D1828=""),"",IFERROR(INDEX('Qida bazası'!$G$2:$G$103,MATCH(C1828,'Qida bazası'!$A$2:$A$103,0))*D1828/100,"?"))</f>
        <v/>
      </c>
    </row>
    <row r="1829">
      <c r="A1829" s="21" t="n"/>
      <c r="E1829" s="18">
        <f>IF(OR(C1829="",D1829=""),"",IFERROR(INDEX('Qida bazası'!$D$2:$D$103,MATCH(C1829,'Qida bazası'!$A$2:$A$103,0))*D1829/100,"?"))</f>
        <v/>
      </c>
      <c r="F1829" s="19">
        <f>IF(OR(C1829="",D1829=""),"",IFERROR(INDEX('Qida bazası'!$E$2:$E$103,MATCH(C1829,'Qida bazası'!$A$2:$A$103,0))*D1829/100,"?"))</f>
        <v/>
      </c>
      <c r="G1829" s="19">
        <f>IF(OR(C1829="",D1829=""),"",IFERROR(INDEX('Qida bazası'!$F$2:$F$103,MATCH(C1829,'Qida bazası'!$A$2:$A$103,0))*D1829/100,"?"))</f>
        <v/>
      </c>
      <c r="H1829" s="19">
        <f>IF(OR(C1829="",D1829=""),"",IFERROR(INDEX('Qida bazası'!$G$2:$G$103,MATCH(C1829,'Qida bazası'!$A$2:$A$103,0))*D1829/100,"?"))</f>
        <v/>
      </c>
    </row>
    <row r="1830">
      <c r="A1830" s="21" t="n"/>
      <c r="E1830" s="18">
        <f>IF(OR(C1830="",D1830=""),"",IFERROR(INDEX('Qida bazası'!$D$2:$D$103,MATCH(C1830,'Qida bazası'!$A$2:$A$103,0))*D1830/100,"?"))</f>
        <v/>
      </c>
      <c r="F1830" s="19">
        <f>IF(OR(C1830="",D1830=""),"",IFERROR(INDEX('Qida bazası'!$E$2:$E$103,MATCH(C1830,'Qida bazası'!$A$2:$A$103,0))*D1830/100,"?"))</f>
        <v/>
      </c>
      <c r="G1830" s="19">
        <f>IF(OR(C1830="",D1830=""),"",IFERROR(INDEX('Qida bazası'!$F$2:$F$103,MATCH(C1830,'Qida bazası'!$A$2:$A$103,0))*D1830/100,"?"))</f>
        <v/>
      </c>
      <c r="H1830" s="19">
        <f>IF(OR(C1830="",D1830=""),"",IFERROR(INDEX('Qida bazası'!$G$2:$G$103,MATCH(C1830,'Qida bazası'!$A$2:$A$103,0))*D1830/100,"?"))</f>
        <v/>
      </c>
    </row>
    <row r="1831">
      <c r="A1831" s="21" t="n"/>
      <c r="E1831" s="18">
        <f>IF(OR(C1831="",D1831=""),"",IFERROR(INDEX('Qida bazası'!$D$2:$D$103,MATCH(C1831,'Qida bazası'!$A$2:$A$103,0))*D1831/100,"?"))</f>
        <v/>
      </c>
      <c r="F1831" s="19">
        <f>IF(OR(C1831="",D1831=""),"",IFERROR(INDEX('Qida bazası'!$E$2:$E$103,MATCH(C1831,'Qida bazası'!$A$2:$A$103,0))*D1831/100,"?"))</f>
        <v/>
      </c>
      <c r="G1831" s="19">
        <f>IF(OR(C1831="",D1831=""),"",IFERROR(INDEX('Qida bazası'!$F$2:$F$103,MATCH(C1831,'Qida bazası'!$A$2:$A$103,0))*D1831/100,"?"))</f>
        <v/>
      </c>
      <c r="H1831" s="19">
        <f>IF(OR(C1831="",D1831=""),"",IFERROR(INDEX('Qida bazası'!$G$2:$G$103,MATCH(C1831,'Qida bazası'!$A$2:$A$103,0))*D1831/100,"?"))</f>
        <v/>
      </c>
    </row>
    <row r="1832">
      <c r="A1832" s="21" t="n"/>
      <c r="E1832" s="18">
        <f>IF(OR(C1832="",D1832=""),"",IFERROR(INDEX('Qida bazası'!$D$2:$D$103,MATCH(C1832,'Qida bazası'!$A$2:$A$103,0))*D1832/100,"?"))</f>
        <v/>
      </c>
      <c r="F1832" s="19">
        <f>IF(OR(C1832="",D1832=""),"",IFERROR(INDEX('Qida bazası'!$E$2:$E$103,MATCH(C1832,'Qida bazası'!$A$2:$A$103,0))*D1832/100,"?"))</f>
        <v/>
      </c>
      <c r="G1832" s="19">
        <f>IF(OR(C1832="",D1832=""),"",IFERROR(INDEX('Qida bazası'!$F$2:$F$103,MATCH(C1832,'Qida bazası'!$A$2:$A$103,0))*D1832/100,"?"))</f>
        <v/>
      </c>
      <c r="H1832" s="19">
        <f>IF(OR(C1832="",D1832=""),"",IFERROR(INDEX('Qida bazası'!$G$2:$G$103,MATCH(C1832,'Qida bazası'!$A$2:$A$103,0))*D1832/100,"?"))</f>
        <v/>
      </c>
    </row>
    <row r="1833">
      <c r="A1833" s="21" t="n"/>
      <c r="E1833" s="18">
        <f>IF(OR(C1833="",D1833=""),"",IFERROR(INDEX('Qida bazası'!$D$2:$D$103,MATCH(C1833,'Qida bazası'!$A$2:$A$103,0))*D1833/100,"?"))</f>
        <v/>
      </c>
      <c r="F1833" s="19">
        <f>IF(OR(C1833="",D1833=""),"",IFERROR(INDEX('Qida bazası'!$E$2:$E$103,MATCH(C1833,'Qida bazası'!$A$2:$A$103,0))*D1833/100,"?"))</f>
        <v/>
      </c>
      <c r="G1833" s="19">
        <f>IF(OR(C1833="",D1833=""),"",IFERROR(INDEX('Qida bazası'!$F$2:$F$103,MATCH(C1833,'Qida bazası'!$A$2:$A$103,0))*D1833/100,"?"))</f>
        <v/>
      </c>
      <c r="H1833" s="19">
        <f>IF(OR(C1833="",D1833=""),"",IFERROR(INDEX('Qida bazası'!$G$2:$G$103,MATCH(C1833,'Qida bazası'!$A$2:$A$103,0))*D1833/100,"?"))</f>
        <v/>
      </c>
    </row>
    <row r="1834">
      <c r="A1834" s="21" t="n"/>
      <c r="E1834" s="18">
        <f>IF(OR(C1834="",D1834=""),"",IFERROR(INDEX('Qida bazası'!$D$2:$D$103,MATCH(C1834,'Qida bazası'!$A$2:$A$103,0))*D1834/100,"?"))</f>
        <v/>
      </c>
      <c r="F1834" s="19">
        <f>IF(OR(C1834="",D1834=""),"",IFERROR(INDEX('Qida bazası'!$E$2:$E$103,MATCH(C1834,'Qida bazası'!$A$2:$A$103,0))*D1834/100,"?"))</f>
        <v/>
      </c>
      <c r="G1834" s="19">
        <f>IF(OR(C1834="",D1834=""),"",IFERROR(INDEX('Qida bazası'!$F$2:$F$103,MATCH(C1834,'Qida bazası'!$A$2:$A$103,0))*D1834/100,"?"))</f>
        <v/>
      </c>
      <c r="H1834" s="19">
        <f>IF(OR(C1834="",D1834=""),"",IFERROR(INDEX('Qida bazası'!$G$2:$G$103,MATCH(C1834,'Qida bazası'!$A$2:$A$103,0))*D1834/100,"?"))</f>
        <v/>
      </c>
    </row>
    <row r="1835">
      <c r="A1835" s="21" t="n"/>
      <c r="E1835" s="18">
        <f>IF(OR(C1835="",D1835=""),"",IFERROR(INDEX('Qida bazası'!$D$2:$D$103,MATCH(C1835,'Qida bazası'!$A$2:$A$103,0))*D1835/100,"?"))</f>
        <v/>
      </c>
      <c r="F1835" s="19">
        <f>IF(OR(C1835="",D1835=""),"",IFERROR(INDEX('Qida bazası'!$E$2:$E$103,MATCH(C1835,'Qida bazası'!$A$2:$A$103,0))*D1835/100,"?"))</f>
        <v/>
      </c>
      <c r="G1835" s="19">
        <f>IF(OR(C1835="",D1835=""),"",IFERROR(INDEX('Qida bazası'!$F$2:$F$103,MATCH(C1835,'Qida bazası'!$A$2:$A$103,0))*D1835/100,"?"))</f>
        <v/>
      </c>
      <c r="H1835" s="19">
        <f>IF(OR(C1835="",D1835=""),"",IFERROR(INDEX('Qida bazası'!$G$2:$G$103,MATCH(C1835,'Qida bazası'!$A$2:$A$103,0))*D1835/100,"?"))</f>
        <v/>
      </c>
    </row>
    <row r="1836">
      <c r="A1836" s="21" t="n"/>
      <c r="E1836" s="18">
        <f>IF(OR(C1836="",D1836=""),"",IFERROR(INDEX('Qida bazası'!$D$2:$D$103,MATCH(C1836,'Qida bazası'!$A$2:$A$103,0))*D1836/100,"?"))</f>
        <v/>
      </c>
      <c r="F1836" s="19">
        <f>IF(OR(C1836="",D1836=""),"",IFERROR(INDEX('Qida bazası'!$E$2:$E$103,MATCH(C1836,'Qida bazası'!$A$2:$A$103,0))*D1836/100,"?"))</f>
        <v/>
      </c>
      <c r="G1836" s="19">
        <f>IF(OR(C1836="",D1836=""),"",IFERROR(INDEX('Qida bazası'!$F$2:$F$103,MATCH(C1836,'Qida bazası'!$A$2:$A$103,0))*D1836/100,"?"))</f>
        <v/>
      </c>
      <c r="H1836" s="19">
        <f>IF(OR(C1836="",D1836=""),"",IFERROR(INDEX('Qida bazası'!$G$2:$G$103,MATCH(C1836,'Qida bazası'!$A$2:$A$103,0))*D1836/100,"?"))</f>
        <v/>
      </c>
    </row>
    <row r="1837">
      <c r="A1837" s="21" t="n"/>
      <c r="E1837" s="18">
        <f>IF(OR(C1837="",D1837=""),"",IFERROR(INDEX('Qida bazası'!$D$2:$D$103,MATCH(C1837,'Qida bazası'!$A$2:$A$103,0))*D1837/100,"?"))</f>
        <v/>
      </c>
      <c r="F1837" s="19">
        <f>IF(OR(C1837="",D1837=""),"",IFERROR(INDEX('Qida bazası'!$E$2:$E$103,MATCH(C1837,'Qida bazası'!$A$2:$A$103,0))*D1837/100,"?"))</f>
        <v/>
      </c>
      <c r="G1837" s="19">
        <f>IF(OR(C1837="",D1837=""),"",IFERROR(INDEX('Qida bazası'!$F$2:$F$103,MATCH(C1837,'Qida bazası'!$A$2:$A$103,0))*D1837/100,"?"))</f>
        <v/>
      </c>
      <c r="H1837" s="19">
        <f>IF(OR(C1837="",D1837=""),"",IFERROR(INDEX('Qida bazası'!$G$2:$G$103,MATCH(C1837,'Qida bazası'!$A$2:$A$103,0))*D1837/100,"?"))</f>
        <v/>
      </c>
    </row>
    <row r="1838">
      <c r="A1838" s="21" t="n"/>
      <c r="E1838" s="18">
        <f>IF(OR(C1838="",D1838=""),"",IFERROR(INDEX('Qida bazası'!$D$2:$D$103,MATCH(C1838,'Qida bazası'!$A$2:$A$103,0))*D1838/100,"?"))</f>
        <v/>
      </c>
      <c r="F1838" s="19">
        <f>IF(OR(C1838="",D1838=""),"",IFERROR(INDEX('Qida bazası'!$E$2:$E$103,MATCH(C1838,'Qida bazası'!$A$2:$A$103,0))*D1838/100,"?"))</f>
        <v/>
      </c>
      <c r="G1838" s="19">
        <f>IF(OR(C1838="",D1838=""),"",IFERROR(INDEX('Qida bazası'!$F$2:$F$103,MATCH(C1838,'Qida bazası'!$A$2:$A$103,0))*D1838/100,"?"))</f>
        <v/>
      </c>
      <c r="H1838" s="19">
        <f>IF(OR(C1838="",D1838=""),"",IFERROR(INDEX('Qida bazası'!$G$2:$G$103,MATCH(C1838,'Qida bazası'!$A$2:$A$103,0))*D1838/100,"?"))</f>
        <v/>
      </c>
    </row>
    <row r="1839">
      <c r="A1839" s="21" t="n"/>
      <c r="E1839" s="18">
        <f>IF(OR(C1839="",D1839=""),"",IFERROR(INDEX('Qida bazası'!$D$2:$D$103,MATCH(C1839,'Qida bazası'!$A$2:$A$103,0))*D1839/100,"?"))</f>
        <v/>
      </c>
      <c r="F1839" s="19">
        <f>IF(OR(C1839="",D1839=""),"",IFERROR(INDEX('Qida bazası'!$E$2:$E$103,MATCH(C1839,'Qida bazası'!$A$2:$A$103,0))*D1839/100,"?"))</f>
        <v/>
      </c>
      <c r="G1839" s="19">
        <f>IF(OR(C1839="",D1839=""),"",IFERROR(INDEX('Qida bazası'!$F$2:$F$103,MATCH(C1839,'Qida bazası'!$A$2:$A$103,0))*D1839/100,"?"))</f>
        <v/>
      </c>
      <c r="H1839" s="19">
        <f>IF(OR(C1839="",D1839=""),"",IFERROR(INDEX('Qida bazası'!$G$2:$G$103,MATCH(C1839,'Qida bazası'!$A$2:$A$103,0))*D1839/100,"?"))</f>
        <v/>
      </c>
    </row>
    <row r="1840">
      <c r="A1840" s="21" t="n"/>
      <c r="E1840" s="18">
        <f>IF(OR(C1840="",D1840=""),"",IFERROR(INDEX('Qida bazası'!$D$2:$D$103,MATCH(C1840,'Qida bazası'!$A$2:$A$103,0))*D1840/100,"?"))</f>
        <v/>
      </c>
      <c r="F1840" s="19">
        <f>IF(OR(C1840="",D1840=""),"",IFERROR(INDEX('Qida bazası'!$E$2:$E$103,MATCH(C1840,'Qida bazası'!$A$2:$A$103,0))*D1840/100,"?"))</f>
        <v/>
      </c>
      <c r="G1840" s="19">
        <f>IF(OR(C1840="",D1840=""),"",IFERROR(INDEX('Qida bazası'!$F$2:$F$103,MATCH(C1840,'Qida bazası'!$A$2:$A$103,0))*D1840/100,"?"))</f>
        <v/>
      </c>
      <c r="H1840" s="19">
        <f>IF(OR(C1840="",D1840=""),"",IFERROR(INDEX('Qida bazası'!$G$2:$G$103,MATCH(C1840,'Qida bazası'!$A$2:$A$103,0))*D1840/100,"?"))</f>
        <v/>
      </c>
    </row>
    <row r="1841">
      <c r="A1841" s="21" t="n"/>
      <c r="E1841" s="18">
        <f>IF(OR(C1841="",D1841=""),"",IFERROR(INDEX('Qida bazası'!$D$2:$D$103,MATCH(C1841,'Qida bazası'!$A$2:$A$103,0))*D1841/100,"?"))</f>
        <v/>
      </c>
      <c r="F1841" s="19">
        <f>IF(OR(C1841="",D1841=""),"",IFERROR(INDEX('Qida bazası'!$E$2:$E$103,MATCH(C1841,'Qida bazası'!$A$2:$A$103,0))*D1841/100,"?"))</f>
        <v/>
      </c>
      <c r="G1841" s="19">
        <f>IF(OR(C1841="",D1841=""),"",IFERROR(INDEX('Qida bazası'!$F$2:$F$103,MATCH(C1841,'Qida bazası'!$A$2:$A$103,0))*D1841/100,"?"))</f>
        <v/>
      </c>
      <c r="H1841" s="19">
        <f>IF(OR(C1841="",D1841=""),"",IFERROR(INDEX('Qida bazası'!$G$2:$G$103,MATCH(C1841,'Qida bazası'!$A$2:$A$103,0))*D1841/100,"?"))</f>
        <v/>
      </c>
    </row>
    <row r="1842">
      <c r="A1842" s="21" t="n"/>
      <c r="E1842" s="18">
        <f>IF(OR(C1842="",D1842=""),"",IFERROR(INDEX('Qida bazası'!$D$2:$D$103,MATCH(C1842,'Qida bazası'!$A$2:$A$103,0))*D1842/100,"?"))</f>
        <v/>
      </c>
      <c r="F1842" s="19">
        <f>IF(OR(C1842="",D1842=""),"",IFERROR(INDEX('Qida bazası'!$E$2:$E$103,MATCH(C1842,'Qida bazası'!$A$2:$A$103,0))*D1842/100,"?"))</f>
        <v/>
      </c>
      <c r="G1842" s="19">
        <f>IF(OR(C1842="",D1842=""),"",IFERROR(INDEX('Qida bazası'!$F$2:$F$103,MATCH(C1842,'Qida bazası'!$A$2:$A$103,0))*D1842/100,"?"))</f>
        <v/>
      </c>
      <c r="H1842" s="19">
        <f>IF(OR(C1842="",D1842=""),"",IFERROR(INDEX('Qida bazası'!$G$2:$G$103,MATCH(C1842,'Qida bazası'!$A$2:$A$103,0))*D1842/100,"?"))</f>
        <v/>
      </c>
    </row>
    <row r="1843">
      <c r="A1843" s="21" t="n"/>
      <c r="E1843" s="18">
        <f>IF(OR(C1843="",D1843=""),"",IFERROR(INDEX('Qida bazası'!$D$2:$D$103,MATCH(C1843,'Qida bazası'!$A$2:$A$103,0))*D1843/100,"?"))</f>
        <v/>
      </c>
      <c r="F1843" s="19">
        <f>IF(OR(C1843="",D1843=""),"",IFERROR(INDEX('Qida bazası'!$E$2:$E$103,MATCH(C1843,'Qida bazası'!$A$2:$A$103,0))*D1843/100,"?"))</f>
        <v/>
      </c>
      <c r="G1843" s="19">
        <f>IF(OR(C1843="",D1843=""),"",IFERROR(INDEX('Qida bazası'!$F$2:$F$103,MATCH(C1843,'Qida bazası'!$A$2:$A$103,0))*D1843/100,"?"))</f>
        <v/>
      </c>
      <c r="H1843" s="19">
        <f>IF(OR(C1843="",D1843=""),"",IFERROR(INDEX('Qida bazası'!$G$2:$G$103,MATCH(C1843,'Qida bazası'!$A$2:$A$103,0))*D1843/100,"?"))</f>
        <v/>
      </c>
    </row>
    <row r="1844">
      <c r="A1844" s="21" t="n"/>
      <c r="E1844" s="18">
        <f>IF(OR(C1844="",D1844=""),"",IFERROR(INDEX('Qida bazası'!$D$2:$D$103,MATCH(C1844,'Qida bazası'!$A$2:$A$103,0))*D1844/100,"?"))</f>
        <v/>
      </c>
      <c r="F1844" s="19">
        <f>IF(OR(C1844="",D1844=""),"",IFERROR(INDEX('Qida bazası'!$E$2:$E$103,MATCH(C1844,'Qida bazası'!$A$2:$A$103,0))*D1844/100,"?"))</f>
        <v/>
      </c>
      <c r="G1844" s="19">
        <f>IF(OR(C1844="",D1844=""),"",IFERROR(INDEX('Qida bazası'!$F$2:$F$103,MATCH(C1844,'Qida bazası'!$A$2:$A$103,0))*D1844/100,"?"))</f>
        <v/>
      </c>
      <c r="H1844" s="19">
        <f>IF(OR(C1844="",D1844=""),"",IFERROR(INDEX('Qida bazası'!$G$2:$G$103,MATCH(C1844,'Qida bazası'!$A$2:$A$103,0))*D1844/100,"?"))</f>
        <v/>
      </c>
    </row>
    <row r="1845">
      <c r="A1845" s="21" t="n"/>
      <c r="E1845" s="18">
        <f>IF(OR(C1845="",D1845=""),"",IFERROR(INDEX('Qida bazası'!$D$2:$D$103,MATCH(C1845,'Qida bazası'!$A$2:$A$103,0))*D1845/100,"?"))</f>
        <v/>
      </c>
      <c r="F1845" s="19">
        <f>IF(OR(C1845="",D1845=""),"",IFERROR(INDEX('Qida bazası'!$E$2:$E$103,MATCH(C1845,'Qida bazası'!$A$2:$A$103,0))*D1845/100,"?"))</f>
        <v/>
      </c>
      <c r="G1845" s="19">
        <f>IF(OR(C1845="",D1845=""),"",IFERROR(INDEX('Qida bazası'!$F$2:$F$103,MATCH(C1845,'Qida bazası'!$A$2:$A$103,0))*D1845/100,"?"))</f>
        <v/>
      </c>
      <c r="H1845" s="19">
        <f>IF(OR(C1845="",D1845=""),"",IFERROR(INDEX('Qida bazası'!$G$2:$G$103,MATCH(C1845,'Qida bazası'!$A$2:$A$103,0))*D1845/100,"?"))</f>
        <v/>
      </c>
    </row>
    <row r="1846">
      <c r="A1846" s="21" t="n"/>
      <c r="E1846" s="18">
        <f>IF(OR(C1846="",D1846=""),"",IFERROR(INDEX('Qida bazası'!$D$2:$D$103,MATCH(C1846,'Qida bazası'!$A$2:$A$103,0))*D1846/100,"?"))</f>
        <v/>
      </c>
      <c r="F1846" s="19">
        <f>IF(OR(C1846="",D1846=""),"",IFERROR(INDEX('Qida bazası'!$E$2:$E$103,MATCH(C1846,'Qida bazası'!$A$2:$A$103,0))*D1846/100,"?"))</f>
        <v/>
      </c>
      <c r="G1846" s="19">
        <f>IF(OR(C1846="",D1846=""),"",IFERROR(INDEX('Qida bazası'!$F$2:$F$103,MATCH(C1846,'Qida bazası'!$A$2:$A$103,0))*D1846/100,"?"))</f>
        <v/>
      </c>
      <c r="H1846" s="19">
        <f>IF(OR(C1846="",D1846=""),"",IFERROR(INDEX('Qida bazası'!$G$2:$G$103,MATCH(C1846,'Qida bazası'!$A$2:$A$103,0))*D1846/100,"?"))</f>
        <v/>
      </c>
    </row>
    <row r="1847">
      <c r="A1847" s="21" t="n"/>
      <c r="E1847" s="18">
        <f>IF(OR(C1847="",D1847=""),"",IFERROR(INDEX('Qida bazası'!$D$2:$D$103,MATCH(C1847,'Qida bazası'!$A$2:$A$103,0))*D1847/100,"?"))</f>
        <v/>
      </c>
      <c r="F1847" s="19">
        <f>IF(OR(C1847="",D1847=""),"",IFERROR(INDEX('Qida bazası'!$E$2:$E$103,MATCH(C1847,'Qida bazası'!$A$2:$A$103,0))*D1847/100,"?"))</f>
        <v/>
      </c>
      <c r="G1847" s="19">
        <f>IF(OR(C1847="",D1847=""),"",IFERROR(INDEX('Qida bazası'!$F$2:$F$103,MATCH(C1847,'Qida bazası'!$A$2:$A$103,0))*D1847/100,"?"))</f>
        <v/>
      </c>
      <c r="H1847" s="19">
        <f>IF(OR(C1847="",D1847=""),"",IFERROR(INDEX('Qida bazası'!$G$2:$G$103,MATCH(C1847,'Qida bazası'!$A$2:$A$103,0))*D1847/100,"?"))</f>
        <v/>
      </c>
    </row>
    <row r="1848">
      <c r="A1848" s="21" t="n"/>
      <c r="E1848" s="18">
        <f>IF(OR(C1848="",D1848=""),"",IFERROR(INDEX('Qida bazası'!$D$2:$D$103,MATCH(C1848,'Qida bazası'!$A$2:$A$103,0))*D1848/100,"?"))</f>
        <v/>
      </c>
      <c r="F1848" s="19">
        <f>IF(OR(C1848="",D1848=""),"",IFERROR(INDEX('Qida bazası'!$E$2:$E$103,MATCH(C1848,'Qida bazası'!$A$2:$A$103,0))*D1848/100,"?"))</f>
        <v/>
      </c>
      <c r="G1848" s="19">
        <f>IF(OR(C1848="",D1848=""),"",IFERROR(INDEX('Qida bazası'!$F$2:$F$103,MATCH(C1848,'Qida bazası'!$A$2:$A$103,0))*D1848/100,"?"))</f>
        <v/>
      </c>
      <c r="H1848" s="19">
        <f>IF(OR(C1848="",D1848=""),"",IFERROR(INDEX('Qida bazası'!$G$2:$G$103,MATCH(C1848,'Qida bazası'!$A$2:$A$103,0))*D1848/100,"?"))</f>
        <v/>
      </c>
    </row>
    <row r="1849">
      <c r="A1849" s="21" t="n"/>
      <c r="E1849" s="18">
        <f>IF(OR(C1849="",D1849=""),"",IFERROR(INDEX('Qida bazası'!$D$2:$D$103,MATCH(C1849,'Qida bazası'!$A$2:$A$103,0))*D1849/100,"?"))</f>
        <v/>
      </c>
      <c r="F1849" s="19">
        <f>IF(OR(C1849="",D1849=""),"",IFERROR(INDEX('Qida bazası'!$E$2:$E$103,MATCH(C1849,'Qida bazası'!$A$2:$A$103,0))*D1849/100,"?"))</f>
        <v/>
      </c>
      <c r="G1849" s="19">
        <f>IF(OR(C1849="",D1849=""),"",IFERROR(INDEX('Qida bazası'!$F$2:$F$103,MATCH(C1849,'Qida bazası'!$A$2:$A$103,0))*D1849/100,"?"))</f>
        <v/>
      </c>
      <c r="H1849" s="19">
        <f>IF(OR(C1849="",D1849=""),"",IFERROR(INDEX('Qida bazası'!$G$2:$G$103,MATCH(C1849,'Qida bazası'!$A$2:$A$103,0))*D1849/100,"?"))</f>
        <v/>
      </c>
    </row>
    <row r="1850">
      <c r="A1850" s="21" t="n"/>
      <c r="E1850" s="18">
        <f>IF(OR(C1850="",D1850=""),"",IFERROR(INDEX('Qida bazası'!$D$2:$D$103,MATCH(C1850,'Qida bazası'!$A$2:$A$103,0))*D1850/100,"?"))</f>
        <v/>
      </c>
      <c r="F1850" s="19">
        <f>IF(OR(C1850="",D1850=""),"",IFERROR(INDEX('Qida bazası'!$E$2:$E$103,MATCH(C1850,'Qida bazası'!$A$2:$A$103,0))*D1850/100,"?"))</f>
        <v/>
      </c>
      <c r="G1850" s="19">
        <f>IF(OR(C1850="",D1850=""),"",IFERROR(INDEX('Qida bazası'!$F$2:$F$103,MATCH(C1850,'Qida bazası'!$A$2:$A$103,0))*D1850/100,"?"))</f>
        <v/>
      </c>
      <c r="H1850" s="19">
        <f>IF(OR(C1850="",D1850=""),"",IFERROR(INDEX('Qida bazası'!$G$2:$G$103,MATCH(C1850,'Qida bazası'!$A$2:$A$103,0))*D1850/100,"?"))</f>
        <v/>
      </c>
    </row>
    <row r="1851">
      <c r="A1851" s="21" t="n"/>
      <c r="E1851" s="18">
        <f>IF(OR(C1851="",D1851=""),"",IFERROR(INDEX('Qida bazası'!$D$2:$D$103,MATCH(C1851,'Qida bazası'!$A$2:$A$103,0))*D1851/100,"?"))</f>
        <v/>
      </c>
      <c r="F1851" s="19">
        <f>IF(OR(C1851="",D1851=""),"",IFERROR(INDEX('Qida bazası'!$E$2:$E$103,MATCH(C1851,'Qida bazası'!$A$2:$A$103,0))*D1851/100,"?"))</f>
        <v/>
      </c>
      <c r="G1851" s="19">
        <f>IF(OR(C1851="",D1851=""),"",IFERROR(INDEX('Qida bazası'!$F$2:$F$103,MATCH(C1851,'Qida bazası'!$A$2:$A$103,0))*D1851/100,"?"))</f>
        <v/>
      </c>
      <c r="H1851" s="19">
        <f>IF(OR(C1851="",D1851=""),"",IFERROR(INDEX('Qida bazası'!$G$2:$G$103,MATCH(C1851,'Qida bazası'!$A$2:$A$103,0))*D1851/100,"?"))</f>
        <v/>
      </c>
    </row>
    <row r="1852">
      <c r="A1852" s="21" t="n"/>
      <c r="E1852" s="18">
        <f>IF(OR(C1852="",D1852=""),"",IFERROR(INDEX('Qida bazası'!$D$2:$D$103,MATCH(C1852,'Qida bazası'!$A$2:$A$103,0))*D1852/100,"?"))</f>
        <v/>
      </c>
      <c r="F1852" s="19">
        <f>IF(OR(C1852="",D1852=""),"",IFERROR(INDEX('Qida bazası'!$E$2:$E$103,MATCH(C1852,'Qida bazası'!$A$2:$A$103,0))*D1852/100,"?"))</f>
        <v/>
      </c>
      <c r="G1852" s="19">
        <f>IF(OR(C1852="",D1852=""),"",IFERROR(INDEX('Qida bazası'!$F$2:$F$103,MATCH(C1852,'Qida bazası'!$A$2:$A$103,0))*D1852/100,"?"))</f>
        <v/>
      </c>
      <c r="H1852" s="19">
        <f>IF(OR(C1852="",D1852=""),"",IFERROR(INDEX('Qida bazası'!$G$2:$G$103,MATCH(C1852,'Qida bazası'!$A$2:$A$103,0))*D1852/100,"?"))</f>
        <v/>
      </c>
    </row>
    <row r="1853">
      <c r="A1853" s="21" t="n"/>
      <c r="E1853" s="18">
        <f>IF(OR(C1853="",D1853=""),"",IFERROR(INDEX('Qida bazası'!$D$2:$D$103,MATCH(C1853,'Qida bazası'!$A$2:$A$103,0))*D1853/100,"?"))</f>
        <v/>
      </c>
      <c r="F1853" s="19">
        <f>IF(OR(C1853="",D1853=""),"",IFERROR(INDEX('Qida bazası'!$E$2:$E$103,MATCH(C1853,'Qida bazası'!$A$2:$A$103,0))*D1853/100,"?"))</f>
        <v/>
      </c>
      <c r="G1853" s="19">
        <f>IF(OR(C1853="",D1853=""),"",IFERROR(INDEX('Qida bazası'!$F$2:$F$103,MATCH(C1853,'Qida bazası'!$A$2:$A$103,0))*D1853/100,"?"))</f>
        <v/>
      </c>
      <c r="H1853" s="19">
        <f>IF(OR(C1853="",D1853=""),"",IFERROR(INDEX('Qida bazası'!$G$2:$G$103,MATCH(C1853,'Qida bazası'!$A$2:$A$103,0))*D1853/100,"?"))</f>
        <v/>
      </c>
    </row>
    <row r="1854">
      <c r="A1854" s="21" t="n"/>
      <c r="E1854" s="18">
        <f>IF(OR(C1854="",D1854=""),"",IFERROR(INDEX('Qida bazası'!$D$2:$D$103,MATCH(C1854,'Qida bazası'!$A$2:$A$103,0))*D1854/100,"?"))</f>
        <v/>
      </c>
      <c r="F1854" s="19">
        <f>IF(OR(C1854="",D1854=""),"",IFERROR(INDEX('Qida bazası'!$E$2:$E$103,MATCH(C1854,'Qida bazası'!$A$2:$A$103,0))*D1854/100,"?"))</f>
        <v/>
      </c>
      <c r="G1854" s="19">
        <f>IF(OR(C1854="",D1854=""),"",IFERROR(INDEX('Qida bazası'!$F$2:$F$103,MATCH(C1854,'Qida bazası'!$A$2:$A$103,0))*D1854/100,"?"))</f>
        <v/>
      </c>
      <c r="H1854" s="19">
        <f>IF(OR(C1854="",D1854=""),"",IFERROR(INDEX('Qida bazası'!$G$2:$G$103,MATCH(C1854,'Qida bazası'!$A$2:$A$103,0))*D1854/100,"?"))</f>
        <v/>
      </c>
    </row>
    <row r="1855">
      <c r="A1855" s="21" t="n"/>
      <c r="E1855" s="18">
        <f>IF(OR(C1855="",D1855=""),"",IFERROR(INDEX('Qida bazası'!$D$2:$D$103,MATCH(C1855,'Qida bazası'!$A$2:$A$103,0))*D1855/100,"?"))</f>
        <v/>
      </c>
      <c r="F1855" s="19">
        <f>IF(OR(C1855="",D1855=""),"",IFERROR(INDEX('Qida bazası'!$E$2:$E$103,MATCH(C1855,'Qida bazası'!$A$2:$A$103,0))*D1855/100,"?"))</f>
        <v/>
      </c>
      <c r="G1855" s="19">
        <f>IF(OR(C1855="",D1855=""),"",IFERROR(INDEX('Qida bazası'!$F$2:$F$103,MATCH(C1855,'Qida bazası'!$A$2:$A$103,0))*D1855/100,"?"))</f>
        <v/>
      </c>
      <c r="H1855" s="19">
        <f>IF(OR(C1855="",D1855=""),"",IFERROR(INDEX('Qida bazası'!$G$2:$G$103,MATCH(C1855,'Qida bazası'!$A$2:$A$103,0))*D1855/100,"?"))</f>
        <v/>
      </c>
    </row>
    <row r="1856">
      <c r="A1856" s="21" t="n"/>
      <c r="E1856" s="18">
        <f>IF(OR(C1856="",D1856=""),"",IFERROR(INDEX('Qida bazası'!$D$2:$D$103,MATCH(C1856,'Qida bazası'!$A$2:$A$103,0))*D1856/100,"?"))</f>
        <v/>
      </c>
      <c r="F1856" s="19">
        <f>IF(OR(C1856="",D1856=""),"",IFERROR(INDEX('Qida bazası'!$E$2:$E$103,MATCH(C1856,'Qida bazası'!$A$2:$A$103,0))*D1856/100,"?"))</f>
        <v/>
      </c>
      <c r="G1856" s="19">
        <f>IF(OR(C1856="",D1856=""),"",IFERROR(INDEX('Qida bazası'!$F$2:$F$103,MATCH(C1856,'Qida bazası'!$A$2:$A$103,0))*D1856/100,"?"))</f>
        <v/>
      </c>
      <c r="H1856" s="19">
        <f>IF(OR(C1856="",D1856=""),"",IFERROR(INDEX('Qida bazası'!$G$2:$G$103,MATCH(C1856,'Qida bazası'!$A$2:$A$103,0))*D1856/100,"?"))</f>
        <v/>
      </c>
    </row>
    <row r="1857">
      <c r="A1857" s="21" t="n"/>
      <c r="E1857" s="18">
        <f>IF(OR(C1857="",D1857=""),"",IFERROR(INDEX('Qida bazası'!$D$2:$D$103,MATCH(C1857,'Qida bazası'!$A$2:$A$103,0))*D1857/100,"?"))</f>
        <v/>
      </c>
      <c r="F1857" s="19">
        <f>IF(OR(C1857="",D1857=""),"",IFERROR(INDEX('Qida bazası'!$E$2:$E$103,MATCH(C1857,'Qida bazası'!$A$2:$A$103,0))*D1857/100,"?"))</f>
        <v/>
      </c>
      <c r="G1857" s="19">
        <f>IF(OR(C1857="",D1857=""),"",IFERROR(INDEX('Qida bazası'!$F$2:$F$103,MATCH(C1857,'Qida bazası'!$A$2:$A$103,0))*D1857/100,"?"))</f>
        <v/>
      </c>
      <c r="H1857" s="19">
        <f>IF(OR(C1857="",D1857=""),"",IFERROR(INDEX('Qida bazası'!$G$2:$G$103,MATCH(C1857,'Qida bazası'!$A$2:$A$103,0))*D1857/100,"?"))</f>
        <v/>
      </c>
    </row>
    <row r="1858">
      <c r="A1858" s="21" t="n"/>
      <c r="E1858" s="18">
        <f>IF(OR(C1858="",D1858=""),"",IFERROR(INDEX('Qida bazası'!$D$2:$D$103,MATCH(C1858,'Qida bazası'!$A$2:$A$103,0))*D1858/100,"?"))</f>
        <v/>
      </c>
      <c r="F1858" s="19">
        <f>IF(OR(C1858="",D1858=""),"",IFERROR(INDEX('Qida bazası'!$E$2:$E$103,MATCH(C1858,'Qida bazası'!$A$2:$A$103,0))*D1858/100,"?"))</f>
        <v/>
      </c>
      <c r="G1858" s="19">
        <f>IF(OR(C1858="",D1858=""),"",IFERROR(INDEX('Qida bazası'!$F$2:$F$103,MATCH(C1858,'Qida bazası'!$A$2:$A$103,0))*D1858/100,"?"))</f>
        <v/>
      </c>
      <c r="H1858" s="19">
        <f>IF(OR(C1858="",D1858=""),"",IFERROR(INDEX('Qida bazası'!$G$2:$G$103,MATCH(C1858,'Qida bazası'!$A$2:$A$103,0))*D1858/100,"?"))</f>
        <v/>
      </c>
    </row>
    <row r="1859">
      <c r="A1859" s="21" t="n"/>
      <c r="E1859" s="18">
        <f>IF(OR(C1859="",D1859=""),"",IFERROR(INDEX('Qida bazası'!$D$2:$D$103,MATCH(C1859,'Qida bazası'!$A$2:$A$103,0))*D1859/100,"?"))</f>
        <v/>
      </c>
      <c r="F1859" s="19">
        <f>IF(OR(C1859="",D1859=""),"",IFERROR(INDEX('Qida bazası'!$E$2:$E$103,MATCH(C1859,'Qida bazası'!$A$2:$A$103,0))*D1859/100,"?"))</f>
        <v/>
      </c>
      <c r="G1859" s="19">
        <f>IF(OR(C1859="",D1859=""),"",IFERROR(INDEX('Qida bazası'!$F$2:$F$103,MATCH(C1859,'Qida bazası'!$A$2:$A$103,0))*D1859/100,"?"))</f>
        <v/>
      </c>
      <c r="H1859" s="19">
        <f>IF(OR(C1859="",D1859=""),"",IFERROR(INDEX('Qida bazası'!$G$2:$G$103,MATCH(C1859,'Qida bazası'!$A$2:$A$103,0))*D1859/100,"?"))</f>
        <v/>
      </c>
    </row>
    <row r="1860">
      <c r="A1860" s="21" t="n"/>
      <c r="E1860" s="18">
        <f>IF(OR(C1860="",D1860=""),"",IFERROR(INDEX('Qida bazası'!$D$2:$D$103,MATCH(C1860,'Qida bazası'!$A$2:$A$103,0))*D1860/100,"?"))</f>
        <v/>
      </c>
      <c r="F1860" s="19">
        <f>IF(OR(C1860="",D1860=""),"",IFERROR(INDEX('Qida bazası'!$E$2:$E$103,MATCH(C1860,'Qida bazası'!$A$2:$A$103,0))*D1860/100,"?"))</f>
        <v/>
      </c>
      <c r="G1860" s="19">
        <f>IF(OR(C1860="",D1860=""),"",IFERROR(INDEX('Qida bazası'!$F$2:$F$103,MATCH(C1860,'Qida bazası'!$A$2:$A$103,0))*D1860/100,"?"))</f>
        <v/>
      </c>
      <c r="H1860" s="19">
        <f>IF(OR(C1860="",D1860=""),"",IFERROR(INDEX('Qida bazası'!$G$2:$G$103,MATCH(C1860,'Qida bazası'!$A$2:$A$103,0))*D1860/100,"?"))</f>
        <v/>
      </c>
    </row>
    <row r="1861">
      <c r="A1861" s="21" t="n"/>
      <c r="E1861" s="18">
        <f>IF(OR(C1861="",D1861=""),"",IFERROR(INDEX('Qida bazası'!$D$2:$D$103,MATCH(C1861,'Qida bazası'!$A$2:$A$103,0))*D1861/100,"?"))</f>
        <v/>
      </c>
      <c r="F1861" s="19">
        <f>IF(OR(C1861="",D1861=""),"",IFERROR(INDEX('Qida bazası'!$E$2:$E$103,MATCH(C1861,'Qida bazası'!$A$2:$A$103,0))*D1861/100,"?"))</f>
        <v/>
      </c>
      <c r="G1861" s="19">
        <f>IF(OR(C1861="",D1861=""),"",IFERROR(INDEX('Qida bazası'!$F$2:$F$103,MATCH(C1861,'Qida bazası'!$A$2:$A$103,0))*D1861/100,"?"))</f>
        <v/>
      </c>
      <c r="H1861" s="19">
        <f>IF(OR(C1861="",D1861=""),"",IFERROR(INDEX('Qida bazası'!$G$2:$G$103,MATCH(C1861,'Qida bazası'!$A$2:$A$103,0))*D1861/100,"?"))</f>
        <v/>
      </c>
    </row>
    <row r="1862">
      <c r="A1862" s="21" t="n"/>
      <c r="E1862" s="18">
        <f>IF(OR(C1862="",D1862=""),"",IFERROR(INDEX('Qida bazası'!$D$2:$D$103,MATCH(C1862,'Qida bazası'!$A$2:$A$103,0))*D1862/100,"?"))</f>
        <v/>
      </c>
      <c r="F1862" s="19">
        <f>IF(OR(C1862="",D1862=""),"",IFERROR(INDEX('Qida bazası'!$E$2:$E$103,MATCH(C1862,'Qida bazası'!$A$2:$A$103,0))*D1862/100,"?"))</f>
        <v/>
      </c>
      <c r="G1862" s="19">
        <f>IF(OR(C1862="",D1862=""),"",IFERROR(INDEX('Qida bazası'!$F$2:$F$103,MATCH(C1862,'Qida bazası'!$A$2:$A$103,0))*D1862/100,"?"))</f>
        <v/>
      </c>
      <c r="H1862" s="19">
        <f>IF(OR(C1862="",D1862=""),"",IFERROR(INDEX('Qida bazası'!$G$2:$G$103,MATCH(C1862,'Qida bazası'!$A$2:$A$103,0))*D1862/100,"?"))</f>
        <v/>
      </c>
    </row>
    <row r="1863">
      <c r="A1863" s="21" t="n"/>
      <c r="E1863" s="18">
        <f>IF(OR(C1863="",D1863=""),"",IFERROR(INDEX('Qida bazası'!$D$2:$D$103,MATCH(C1863,'Qida bazası'!$A$2:$A$103,0))*D1863/100,"?"))</f>
        <v/>
      </c>
      <c r="F1863" s="19">
        <f>IF(OR(C1863="",D1863=""),"",IFERROR(INDEX('Qida bazası'!$E$2:$E$103,MATCH(C1863,'Qida bazası'!$A$2:$A$103,0))*D1863/100,"?"))</f>
        <v/>
      </c>
      <c r="G1863" s="19">
        <f>IF(OR(C1863="",D1863=""),"",IFERROR(INDEX('Qida bazası'!$F$2:$F$103,MATCH(C1863,'Qida bazası'!$A$2:$A$103,0))*D1863/100,"?"))</f>
        <v/>
      </c>
      <c r="H1863" s="19">
        <f>IF(OR(C1863="",D1863=""),"",IFERROR(INDEX('Qida bazası'!$G$2:$G$103,MATCH(C1863,'Qida bazası'!$A$2:$A$103,0))*D1863/100,"?"))</f>
        <v/>
      </c>
    </row>
    <row r="1864">
      <c r="A1864" s="21" t="n"/>
      <c r="E1864" s="18">
        <f>IF(OR(C1864="",D1864=""),"",IFERROR(INDEX('Qida bazası'!$D$2:$D$103,MATCH(C1864,'Qida bazası'!$A$2:$A$103,0))*D1864/100,"?"))</f>
        <v/>
      </c>
      <c r="F1864" s="19">
        <f>IF(OR(C1864="",D1864=""),"",IFERROR(INDEX('Qida bazası'!$E$2:$E$103,MATCH(C1864,'Qida bazası'!$A$2:$A$103,0))*D1864/100,"?"))</f>
        <v/>
      </c>
      <c r="G1864" s="19">
        <f>IF(OR(C1864="",D1864=""),"",IFERROR(INDEX('Qida bazası'!$F$2:$F$103,MATCH(C1864,'Qida bazası'!$A$2:$A$103,0))*D1864/100,"?"))</f>
        <v/>
      </c>
      <c r="H1864" s="19">
        <f>IF(OR(C1864="",D1864=""),"",IFERROR(INDEX('Qida bazası'!$G$2:$G$103,MATCH(C1864,'Qida bazası'!$A$2:$A$103,0))*D1864/100,"?"))</f>
        <v/>
      </c>
    </row>
    <row r="1865">
      <c r="A1865" s="21" t="n"/>
      <c r="E1865" s="18">
        <f>IF(OR(C1865="",D1865=""),"",IFERROR(INDEX('Qida bazası'!$D$2:$D$103,MATCH(C1865,'Qida bazası'!$A$2:$A$103,0))*D1865/100,"?"))</f>
        <v/>
      </c>
      <c r="F1865" s="19">
        <f>IF(OR(C1865="",D1865=""),"",IFERROR(INDEX('Qida bazası'!$E$2:$E$103,MATCH(C1865,'Qida bazası'!$A$2:$A$103,0))*D1865/100,"?"))</f>
        <v/>
      </c>
      <c r="G1865" s="19">
        <f>IF(OR(C1865="",D1865=""),"",IFERROR(INDEX('Qida bazası'!$F$2:$F$103,MATCH(C1865,'Qida bazası'!$A$2:$A$103,0))*D1865/100,"?"))</f>
        <v/>
      </c>
      <c r="H1865" s="19">
        <f>IF(OR(C1865="",D1865=""),"",IFERROR(INDEX('Qida bazası'!$G$2:$G$103,MATCH(C1865,'Qida bazası'!$A$2:$A$103,0))*D1865/100,"?"))</f>
        <v/>
      </c>
    </row>
    <row r="1866">
      <c r="A1866" s="21" t="n"/>
      <c r="E1866" s="18">
        <f>IF(OR(C1866="",D1866=""),"",IFERROR(INDEX('Qida bazası'!$D$2:$D$103,MATCH(C1866,'Qida bazası'!$A$2:$A$103,0))*D1866/100,"?"))</f>
        <v/>
      </c>
      <c r="F1866" s="19">
        <f>IF(OR(C1866="",D1866=""),"",IFERROR(INDEX('Qida bazası'!$E$2:$E$103,MATCH(C1866,'Qida bazası'!$A$2:$A$103,0))*D1866/100,"?"))</f>
        <v/>
      </c>
      <c r="G1866" s="19">
        <f>IF(OR(C1866="",D1866=""),"",IFERROR(INDEX('Qida bazası'!$F$2:$F$103,MATCH(C1866,'Qida bazası'!$A$2:$A$103,0))*D1866/100,"?"))</f>
        <v/>
      </c>
      <c r="H1866" s="19">
        <f>IF(OR(C1866="",D1866=""),"",IFERROR(INDEX('Qida bazası'!$G$2:$G$103,MATCH(C1866,'Qida bazası'!$A$2:$A$103,0))*D1866/100,"?"))</f>
        <v/>
      </c>
    </row>
    <row r="1867">
      <c r="A1867" s="21" t="n"/>
      <c r="E1867" s="18">
        <f>IF(OR(C1867="",D1867=""),"",IFERROR(INDEX('Qida bazası'!$D$2:$D$103,MATCH(C1867,'Qida bazası'!$A$2:$A$103,0))*D1867/100,"?"))</f>
        <v/>
      </c>
      <c r="F1867" s="19">
        <f>IF(OR(C1867="",D1867=""),"",IFERROR(INDEX('Qida bazası'!$E$2:$E$103,MATCH(C1867,'Qida bazası'!$A$2:$A$103,0))*D1867/100,"?"))</f>
        <v/>
      </c>
      <c r="G1867" s="19">
        <f>IF(OR(C1867="",D1867=""),"",IFERROR(INDEX('Qida bazası'!$F$2:$F$103,MATCH(C1867,'Qida bazası'!$A$2:$A$103,0))*D1867/100,"?"))</f>
        <v/>
      </c>
      <c r="H1867" s="19">
        <f>IF(OR(C1867="",D1867=""),"",IFERROR(INDEX('Qida bazası'!$G$2:$G$103,MATCH(C1867,'Qida bazası'!$A$2:$A$103,0))*D1867/100,"?"))</f>
        <v/>
      </c>
    </row>
    <row r="1868">
      <c r="A1868" s="21" t="n"/>
      <c r="E1868" s="18">
        <f>IF(OR(C1868="",D1868=""),"",IFERROR(INDEX('Qida bazası'!$D$2:$D$103,MATCH(C1868,'Qida bazası'!$A$2:$A$103,0))*D1868/100,"?"))</f>
        <v/>
      </c>
      <c r="F1868" s="19">
        <f>IF(OR(C1868="",D1868=""),"",IFERROR(INDEX('Qida bazası'!$E$2:$E$103,MATCH(C1868,'Qida bazası'!$A$2:$A$103,0))*D1868/100,"?"))</f>
        <v/>
      </c>
      <c r="G1868" s="19">
        <f>IF(OR(C1868="",D1868=""),"",IFERROR(INDEX('Qida bazası'!$F$2:$F$103,MATCH(C1868,'Qida bazası'!$A$2:$A$103,0))*D1868/100,"?"))</f>
        <v/>
      </c>
      <c r="H1868" s="19">
        <f>IF(OR(C1868="",D1868=""),"",IFERROR(INDEX('Qida bazası'!$G$2:$G$103,MATCH(C1868,'Qida bazası'!$A$2:$A$103,0))*D1868/100,"?"))</f>
        <v/>
      </c>
    </row>
    <row r="1869">
      <c r="A1869" s="21" t="n"/>
      <c r="E1869" s="18">
        <f>IF(OR(C1869="",D1869=""),"",IFERROR(INDEX('Qida bazası'!$D$2:$D$103,MATCH(C1869,'Qida bazası'!$A$2:$A$103,0))*D1869/100,"?"))</f>
        <v/>
      </c>
      <c r="F1869" s="19">
        <f>IF(OR(C1869="",D1869=""),"",IFERROR(INDEX('Qida bazası'!$E$2:$E$103,MATCH(C1869,'Qida bazası'!$A$2:$A$103,0))*D1869/100,"?"))</f>
        <v/>
      </c>
      <c r="G1869" s="19">
        <f>IF(OR(C1869="",D1869=""),"",IFERROR(INDEX('Qida bazası'!$F$2:$F$103,MATCH(C1869,'Qida bazası'!$A$2:$A$103,0))*D1869/100,"?"))</f>
        <v/>
      </c>
      <c r="H1869" s="19">
        <f>IF(OR(C1869="",D1869=""),"",IFERROR(INDEX('Qida bazası'!$G$2:$G$103,MATCH(C1869,'Qida bazası'!$A$2:$A$103,0))*D1869/100,"?"))</f>
        <v/>
      </c>
    </row>
    <row r="1870">
      <c r="A1870" s="21" t="n"/>
      <c r="E1870" s="18">
        <f>IF(OR(C1870="",D1870=""),"",IFERROR(INDEX('Qida bazası'!$D$2:$D$103,MATCH(C1870,'Qida bazası'!$A$2:$A$103,0))*D1870/100,"?"))</f>
        <v/>
      </c>
      <c r="F1870" s="19">
        <f>IF(OR(C1870="",D1870=""),"",IFERROR(INDEX('Qida bazası'!$E$2:$E$103,MATCH(C1870,'Qida bazası'!$A$2:$A$103,0))*D1870/100,"?"))</f>
        <v/>
      </c>
      <c r="G1870" s="19">
        <f>IF(OR(C1870="",D1870=""),"",IFERROR(INDEX('Qida bazası'!$F$2:$F$103,MATCH(C1870,'Qida bazası'!$A$2:$A$103,0))*D1870/100,"?"))</f>
        <v/>
      </c>
      <c r="H1870" s="19">
        <f>IF(OR(C1870="",D1870=""),"",IFERROR(INDEX('Qida bazası'!$G$2:$G$103,MATCH(C1870,'Qida bazası'!$A$2:$A$103,0))*D1870/100,"?"))</f>
        <v/>
      </c>
    </row>
    <row r="1871">
      <c r="A1871" s="21" t="n"/>
      <c r="E1871" s="18">
        <f>IF(OR(C1871="",D1871=""),"",IFERROR(INDEX('Qida bazası'!$D$2:$D$103,MATCH(C1871,'Qida bazası'!$A$2:$A$103,0))*D1871/100,"?"))</f>
        <v/>
      </c>
      <c r="F1871" s="19">
        <f>IF(OR(C1871="",D1871=""),"",IFERROR(INDEX('Qida bazası'!$E$2:$E$103,MATCH(C1871,'Qida bazası'!$A$2:$A$103,0))*D1871/100,"?"))</f>
        <v/>
      </c>
      <c r="G1871" s="19">
        <f>IF(OR(C1871="",D1871=""),"",IFERROR(INDEX('Qida bazası'!$F$2:$F$103,MATCH(C1871,'Qida bazası'!$A$2:$A$103,0))*D1871/100,"?"))</f>
        <v/>
      </c>
      <c r="H1871" s="19">
        <f>IF(OR(C1871="",D1871=""),"",IFERROR(INDEX('Qida bazası'!$G$2:$G$103,MATCH(C1871,'Qida bazası'!$A$2:$A$103,0))*D1871/100,"?"))</f>
        <v/>
      </c>
    </row>
    <row r="1872">
      <c r="A1872" s="21" t="n"/>
      <c r="E1872" s="18">
        <f>IF(OR(C1872="",D1872=""),"",IFERROR(INDEX('Qida bazası'!$D$2:$D$103,MATCH(C1872,'Qida bazası'!$A$2:$A$103,0))*D1872/100,"?"))</f>
        <v/>
      </c>
      <c r="F1872" s="19">
        <f>IF(OR(C1872="",D1872=""),"",IFERROR(INDEX('Qida bazası'!$E$2:$E$103,MATCH(C1872,'Qida bazası'!$A$2:$A$103,0))*D1872/100,"?"))</f>
        <v/>
      </c>
      <c r="G1872" s="19">
        <f>IF(OR(C1872="",D1872=""),"",IFERROR(INDEX('Qida bazası'!$F$2:$F$103,MATCH(C1872,'Qida bazası'!$A$2:$A$103,0))*D1872/100,"?"))</f>
        <v/>
      </c>
      <c r="H1872" s="19">
        <f>IF(OR(C1872="",D1872=""),"",IFERROR(INDEX('Qida bazası'!$G$2:$G$103,MATCH(C1872,'Qida bazası'!$A$2:$A$103,0))*D1872/100,"?"))</f>
        <v/>
      </c>
    </row>
    <row r="1873">
      <c r="A1873" s="21" t="n"/>
      <c r="E1873" s="18">
        <f>IF(OR(C1873="",D1873=""),"",IFERROR(INDEX('Qida bazası'!$D$2:$D$103,MATCH(C1873,'Qida bazası'!$A$2:$A$103,0))*D1873/100,"?"))</f>
        <v/>
      </c>
      <c r="F1873" s="19">
        <f>IF(OR(C1873="",D1873=""),"",IFERROR(INDEX('Qida bazası'!$E$2:$E$103,MATCH(C1873,'Qida bazası'!$A$2:$A$103,0))*D1873/100,"?"))</f>
        <v/>
      </c>
      <c r="G1873" s="19">
        <f>IF(OR(C1873="",D1873=""),"",IFERROR(INDEX('Qida bazası'!$F$2:$F$103,MATCH(C1873,'Qida bazası'!$A$2:$A$103,0))*D1873/100,"?"))</f>
        <v/>
      </c>
      <c r="H1873" s="19">
        <f>IF(OR(C1873="",D1873=""),"",IFERROR(INDEX('Qida bazası'!$G$2:$G$103,MATCH(C1873,'Qida bazası'!$A$2:$A$103,0))*D1873/100,"?"))</f>
        <v/>
      </c>
    </row>
    <row r="1874">
      <c r="A1874" s="21" t="n"/>
      <c r="E1874" s="18">
        <f>IF(OR(C1874="",D1874=""),"",IFERROR(INDEX('Qida bazası'!$D$2:$D$103,MATCH(C1874,'Qida bazası'!$A$2:$A$103,0))*D1874/100,"?"))</f>
        <v/>
      </c>
      <c r="F1874" s="19">
        <f>IF(OR(C1874="",D1874=""),"",IFERROR(INDEX('Qida bazası'!$E$2:$E$103,MATCH(C1874,'Qida bazası'!$A$2:$A$103,0))*D1874/100,"?"))</f>
        <v/>
      </c>
      <c r="G1874" s="19">
        <f>IF(OR(C1874="",D1874=""),"",IFERROR(INDEX('Qida bazası'!$F$2:$F$103,MATCH(C1874,'Qida bazası'!$A$2:$A$103,0))*D1874/100,"?"))</f>
        <v/>
      </c>
      <c r="H1874" s="19">
        <f>IF(OR(C1874="",D1874=""),"",IFERROR(INDEX('Qida bazası'!$G$2:$G$103,MATCH(C1874,'Qida bazası'!$A$2:$A$103,0))*D1874/100,"?"))</f>
        <v/>
      </c>
    </row>
    <row r="1875">
      <c r="A1875" s="21" t="n"/>
      <c r="E1875" s="18">
        <f>IF(OR(C1875="",D1875=""),"",IFERROR(INDEX('Qida bazası'!$D$2:$D$103,MATCH(C1875,'Qida bazası'!$A$2:$A$103,0))*D1875/100,"?"))</f>
        <v/>
      </c>
      <c r="F1875" s="19">
        <f>IF(OR(C1875="",D1875=""),"",IFERROR(INDEX('Qida bazası'!$E$2:$E$103,MATCH(C1875,'Qida bazası'!$A$2:$A$103,0))*D1875/100,"?"))</f>
        <v/>
      </c>
      <c r="G1875" s="19">
        <f>IF(OR(C1875="",D1875=""),"",IFERROR(INDEX('Qida bazası'!$F$2:$F$103,MATCH(C1875,'Qida bazası'!$A$2:$A$103,0))*D1875/100,"?"))</f>
        <v/>
      </c>
      <c r="H1875" s="19">
        <f>IF(OR(C1875="",D1875=""),"",IFERROR(INDEX('Qida bazası'!$G$2:$G$103,MATCH(C1875,'Qida bazası'!$A$2:$A$103,0))*D1875/100,"?"))</f>
        <v/>
      </c>
    </row>
    <row r="1876">
      <c r="A1876" s="21" t="n"/>
      <c r="E1876" s="18">
        <f>IF(OR(C1876="",D1876=""),"",IFERROR(INDEX('Qida bazası'!$D$2:$D$103,MATCH(C1876,'Qida bazası'!$A$2:$A$103,0))*D1876/100,"?"))</f>
        <v/>
      </c>
      <c r="F1876" s="19">
        <f>IF(OR(C1876="",D1876=""),"",IFERROR(INDEX('Qida bazası'!$E$2:$E$103,MATCH(C1876,'Qida bazası'!$A$2:$A$103,0))*D1876/100,"?"))</f>
        <v/>
      </c>
      <c r="G1876" s="19">
        <f>IF(OR(C1876="",D1876=""),"",IFERROR(INDEX('Qida bazası'!$F$2:$F$103,MATCH(C1876,'Qida bazası'!$A$2:$A$103,0))*D1876/100,"?"))</f>
        <v/>
      </c>
      <c r="H1876" s="19">
        <f>IF(OR(C1876="",D1876=""),"",IFERROR(INDEX('Qida bazası'!$G$2:$G$103,MATCH(C1876,'Qida bazası'!$A$2:$A$103,0))*D1876/100,"?"))</f>
        <v/>
      </c>
    </row>
    <row r="1877">
      <c r="A1877" s="21" t="n"/>
      <c r="E1877" s="18">
        <f>IF(OR(C1877="",D1877=""),"",IFERROR(INDEX('Qida bazası'!$D$2:$D$103,MATCH(C1877,'Qida bazası'!$A$2:$A$103,0))*D1877/100,"?"))</f>
        <v/>
      </c>
      <c r="F1877" s="19">
        <f>IF(OR(C1877="",D1877=""),"",IFERROR(INDEX('Qida bazası'!$E$2:$E$103,MATCH(C1877,'Qida bazası'!$A$2:$A$103,0))*D1877/100,"?"))</f>
        <v/>
      </c>
      <c r="G1877" s="19">
        <f>IF(OR(C1877="",D1877=""),"",IFERROR(INDEX('Qida bazası'!$F$2:$F$103,MATCH(C1877,'Qida bazası'!$A$2:$A$103,0))*D1877/100,"?"))</f>
        <v/>
      </c>
      <c r="H1877" s="19">
        <f>IF(OR(C1877="",D1877=""),"",IFERROR(INDEX('Qida bazası'!$G$2:$G$103,MATCH(C1877,'Qida bazası'!$A$2:$A$103,0))*D1877/100,"?"))</f>
        <v/>
      </c>
    </row>
    <row r="1878">
      <c r="A1878" s="21" t="n"/>
      <c r="E1878" s="18">
        <f>IF(OR(C1878="",D1878=""),"",IFERROR(INDEX('Qida bazası'!$D$2:$D$103,MATCH(C1878,'Qida bazası'!$A$2:$A$103,0))*D1878/100,"?"))</f>
        <v/>
      </c>
      <c r="F1878" s="19">
        <f>IF(OR(C1878="",D1878=""),"",IFERROR(INDEX('Qida bazası'!$E$2:$E$103,MATCH(C1878,'Qida bazası'!$A$2:$A$103,0))*D1878/100,"?"))</f>
        <v/>
      </c>
      <c r="G1878" s="19">
        <f>IF(OR(C1878="",D1878=""),"",IFERROR(INDEX('Qida bazası'!$F$2:$F$103,MATCH(C1878,'Qida bazası'!$A$2:$A$103,0))*D1878/100,"?"))</f>
        <v/>
      </c>
      <c r="H1878" s="19">
        <f>IF(OR(C1878="",D1878=""),"",IFERROR(INDEX('Qida bazası'!$G$2:$G$103,MATCH(C1878,'Qida bazası'!$A$2:$A$103,0))*D1878/100,"?"))</f>
        <v/>
      </c>
    </row>
    <row r="1879">
      <c r="A1879" s="21" t="n"/>
      <c r="E1879" s="18">
        <f>IF(OR(C1879="",D1879=""),"",IFERROR(INDEX('Qida bazası'!$D$2:$D$103,MATCH(C1879,'Qida bazası'!$A$2:$A$103,0))*D1879/100,"?"))</f>
        <v/>
      </c>
      <c r="F1879" s="19">
        <f>IF(OR(C1879="",D1879=""),"",IFERROR(INDEX('Qida bazası'!$E$2:$E$103,MATCH(C1879,'Qida bazası'!$A$2:$A$103,0))*D1879/100,"?"))</f>
        <v/>
      </c>
      <c r="G1879" s="19">
        <f>IF(OR(C1879="",D1879=""),"",IFERROR(INDEX('Qida bazası'!$F$2:$F$103,MATCH(C1879,'Qida bazası'!$A$2:$A$103,0))*D1879/100,"?"))</f>
        <v/>
      </c>
      <c r="H1879" s="19">
        <f>IF(OR(C1879="",D1879=""),"",IFERROR(INDEX('Qida bazası'!$G$2:$G$103,MATCH(C1879,'Qida bazası'!$A$2:$A$103,0))*D1879/100,"?"))</f>
        <v/>
      </c>
    </row>
    <row r="1880">
      <c r="A1880" s="21" t="n"/>
      <c r="E1880" s="18">
        <f>IF(OR(C1880="",D1880=""),"",IFERROR(INDEX('Qida bazası'!$D$2:$D$103,MATCH(C1880,'Qida bazası'!$A$2:$A$103,0))*D1880/100,"?"))</f>
        <v/>
      </c>
      <c r="F1880" s="19">
        <f>IF(OR(C1880="",D1880=""),"",IFERROR(INDEX('Qida bazası'!$E$2:$E$103,MATCH(C1880,'Qida bazası'!$A$2:$A$103,0))*D1880/100,"?"))</f>
        <v/>
      </c>
      <c r="G1880" s="19">
        <f>IF(OR(C1880="",D1880=""),"",IFERROR(INDEX('Qida bazası'!$F$2:$F$103,MATCH(C1880,'Qida bazası'!$A$2:$A$103,0))*D1880/100,"?"))</f>
        <v/>
      </c>
      <c r="H1880" s="19">
        <f>IF(OR(C1880="",D1880=""),"",IFERROR(INDEX('Qida bazası'!$G$2:$G$103,MATCH(C1880,'Qida bazası'!$A$2:$A$103,0))*D1880/100,"?"))</f>
        <v/>
      </c>
    </row>
    <row r="1881">
      <c r="A1881" s="21" t="n"/>
      <c r="E1881" s="18">
        <f>IF(OR(C1881="",D1881=""),"",IFERROR(INDEX('Qida bazası'!$D$2:$D$103,MATCH(C1881,'Qida bazası'!$A$2:$A$103,0))*D1881/100,"?"))</f>
        <v/>
      </c>
      <c r="F1881" s="19">
        <f>IF(OR(C1881="",D1881=""),"",IFERROR(INDEX('Qida bazası'!$E$2:$E$103,MATCH(C1881,'Qida bazası'!$A$2:$A$103,0))*D1881/100,"?"))</f>
        <v/>
      </c>
      <c r="G1881" s="19">
        <f>IF(OR(C1881="",D1881=""),"",IFERROR(INDEX('Qida bazası'!$F$2:$F$103,MATCH(C1881,'Qida bazası'!$A$2:$A$103,0))*D1881/100,"?"))</f>
        <v/>
      </c>
      <c r="H1881" s="19">
        <f>IF(OR(C1881="",D1881=""),"",IFERROR(INDEX('Qida bazası'!$G$2:$G$103,MATCH(C1881,'Qida bazası'!$A$2:$A$103,0))*D1881/100,"?"))</f>
        <v/>
      </c>
    </row>
    <row r="1882">
      <c r="A1882" s="21" t="n"/>
      <c r="E1882" s="18">
        <f>IF(OR(C1882="",D1882=""),"",IFERROR(INDEX('Qida bazası'!$D$2:$D$103,MATCH(C1882,'Qida bazası'!$A$2:$A$103,0))*D1882/100,"?"))</f>
        <v/>
      </c>
      <c r="F1882" s="19">
        <f>IF(OR(C1882="",D1882=""),"",IFERROR(INDEX('Qida bazası'!$E$2:$E$103,MATCH(C1882,'Qida bazası'!$A$2:$A$103,0))*D1882/100,"?"))</f>
        <v/>
      </c>
      <c r="G1882" s="19">
        <f>IF(OR(C1882="",D1882=""),"",IFERROR(INDEX('Qida bazası'!$F$2:$F$103,MATCH(C1882,'Qida bazası'!$A$2:$A$103,0))*D1882/100,"?"))</f>
        <v/>
      </c>
      <c r="H1882" s="19">
        <f>IF(OR(C1882="",D1882=""),"",IFERROR(INDEX('Qida bazası'!$G$2:$G$103,MATCH(C1882,'Qida bazası'!$A$2:$A$103,0))*D1882/100,"?"))</f>
        <v/>
      </c>
    </row>
    <row r="1883">
      <c r="A1883" s="21" t="n"/>
      <c r="E1883" s="18">
        <f>IF(OR(C1883="",D1883=""),"",IFERROR(INDEX('Qida bazası'!$D$2:$D$103,MATCH(C1883,'Qida bazası'!$A$2:$A$103,0))*D1883/100,"?"))</f>
        <v/>
      </c>
      <c r="F1883" s="19">
        <f>IF(OR(C1883="",D1883=""),"",IFERROR(INDEX('Qida bazası'!$E$2:$E$103,MATCH(C1883,'Qida bazası'!$A$2:$A$103,0))*D1883/100,"?"))</f>
        <v/>
      </c>
      <c r="G1883" s="19">
        <f>IF(OR(C1883="",D1883=""),"",IFERROR(INDEX('Qida bazası'!$F$2:$F$103,MATCH(C1883,'Qida bazası'!$A$2:$A$103,0))*D1883/100,"?"))</f>
        <v/>
      </c>
      <c r="H1883" s="19">
        <f>IF(OR(C1883="",D1883=""),"",IFERROR(INDEX('Qida bazası'!$G$2:$G$103,MATCH(C1883,'Qida bazası'!$A$2:$A$103,0))*D1883/100,"?"))</f>
        <v/>
      </c>
    </row>
    <row r="1884">
      <c r="A1884" s="21" t="n"/>
      <c r="E1884" s="18">
        <f>IF(OR(C1884="",D1884=""),"",IFERROR(INDEX('Qida bazası'!$D$2:$D$103,MATCH(C1884,'Qida bazası'!$A$2:$A$103,0))*D1884/100,"?"))</f>
        <v/>
      </c>
      <c r="F1884" s="19">
        <f>IF(OR(C1884="",D1884=""),"",IFERROR(INDEX('Qida bazası'!$E$2:$E$103,MATCH(C1884,'Qida bazası'!$A$2:$A$103,0))*D1884/100,"?"))</f>
        <v/>
      </c>
      <c r="G1884" s="19">
        <f>IF(OR(C1884="",D1884=""),"",IFERROR(INDEX('Qida bazası'!$F$2:$F$103,MATCH(C1884,'Qida bazası'!$A$2:$A$103,0))*D1884/100,"?"))</f>
        <v/>
      </c>
      <c r="H1884" s="19">
        <f>IF(OR(C1884="",D1884=""),"",IFERROR(INDEX('Qida bazası'!$G$2:$G$103,MATCH(C1884,'Qida bazası'!$A$2:$A$103,0))*D1884/100,"?"))</f>
        <v/>
      </c>
    </row>
    <row r="1885">
      <c r="A1885" s="21" t="n"/>
      <c r="E1885" s="18">
        <f>IF(OR(C1885="",D1885=""),"",IFERROR(INDEX('Qida bazası'!$D$2:$D$103,MATCH(C1885,'Qida bazası'!$A$2:$A$103,0))*D1885/100,"?"))</f>
        <v/>
      </c>
      <c r="F1885" s="19">
        <f>IF(OR(C1885="",D1885=""),"",IFERROR(INDEX('Qida bazası'!$E$2:$E$103,MATCH(C1885,'Qida bazası'!$A$2:$A$103,0))*D1885/100,"?"))</f>
        <v/>
      </c>
      <c r="G1885" s="19">
        <f>IF(OR(C1885="",D1885=""),"",IFERROR(INDEX('Qida bazası'!$F$2:$F$103,MATCH(C1885,'Qida bazası'!$A$2:$A$103,0))*D1885/100,"?"))</f>
        <v/>
      </c>
      <c r="H1885" s="19">
        <f>IF(OR(C1885="",D1885=""),"",IFERROR(INDEX('Qida bazası'!$G$2:$G$103,MATCH(C1885,'Qida bazası'!$A$2:$A$103,0))*D1885/100,"?"))</f>
        <v/>
      </c>
    </row>
    <row r="1886">
      <c r="A1886" s="21" t="n"/>
      <c r="E1886" s="18">
        <f>IF(OR(C1886="",D1886=""),"",IFERROR(INDEX('Qida bazası'!$D$2:$D$103,MATCH(C1886,'Qida bazası'!$A$2:$A$103,0))*D1886/100,"?"))</f>
        <v/>
      </c>
      <c r="F1886" s="19">
        <f>IF(OR(C1886="",D1886=""),"",IFERROR(INDEX('Qida bazası'!$E$2:$E$103,MATCH(C1886,'Qida bazası'!$A$2:$A$103,0))*D1886/100,"?"))</f>
        <v/>
      </c>
      <c r="G1886" s="19">
        <f>IF(OR(C1886="",D1886=""),"",IFERROR(INDEX('Qida bazası'!$F$2:$F$103,MATCH(C1886,'Qida bazası'!$A$2:$A$103,0))*D1886/100,"?"))</f>
        <v/>
      </c>
      <c r="H1886" s="19">
        <f>IF(OR(C1886="",D1886=""),"",IFERROR(INDEX('Qida bazası'!$G$2:$G$103,MATCH(C1886,'Qida bazası'!$A$2:$A$103,0))*D1886/100,"?"))</f>
        <v/>
      </c>
    </row>
    <row r="1887">
      <c r="A1887" s="21" t="n"/>
      <c r="E1887" s="18">
        <f>IF(OR(C1887="",D1887=""),"",IFERROR(INDEX('Qida bazası'!$D$2:$D$103,MATCH(C1887,'Qida bazası'!$A$2:$A$103,0))*D1887/100,"?"))</f>
        <v/>
      </c>
      <c r="F1887" s="19">
        <f>IF(OR(C1887="",D1887=""),"",IFERROR(INDEX('Qida bazası'!$E$2:$E$103,MATCH(C1887,'Qida bazası'!$A$2:$A$103,0))*D1887/100,"?"))</f>
        <v/>
      </c>
      <c r="G1887" s="19">
        <f>IF(OR(C1887="",D1887=""),"",IFERROR(INDEX('Qida bazası'!$F$2:$F$103,MATCH(C1887,'Qida bazası'!$A$2:$A$103,0))*D1887/100,"?"))</f>
        <v/>
      </c>
      <c r="H1887" s="19">
        <f>IF(OR(C1887="",D1887=""),"",IFERROR(INDEX('Qida bazası'!$G$2:$G$103,MATCH(C1887,'Qida bazası'!$A$2:$A$103,0))*D1887/100,"?"))</f>
        <v/>
      </c>
    </row>
    <row r="1888">
      <c r="A1888" s="21" t="n"/>
      <c r="E1888" s="18">
        <f>IF(OR(C1888="",D1888=""),"",IFERROR(INDEX('Qida bazası'!$D$2:$D$103,MATCH(C1888,'Qida bazası'!$A$2:$A$103,0))*D1888/100,"?"))</f>
        <v/>
      </c>
      <c r="F1888" s="19">
        <f>IF(OR(C1888="",D1888=""),"",IFERROR(INDEX('Qida bazası'!$E$2:$E$103,MATCH(C1888,'Qida bazası'!$A$2:$A$103,0))*D1888/100,"?"))</f>
        <v/>
      </c>
      <c r="G1888" s="19">
        <f>IF(OR(C1888="",D1888=""),"",IFERROR(INDEX('Qida bazası'!$F$2:$F$103,MATCH(C1888,'Qida bazası'!$A$2:$A$103,0))*D1888/100,"?"))</f>
        <v/>
      </c>
      <c r="H1888" s="19">
        <f>IF(OR(C1888="",D1888=""),"",IFERROR(INDEX('Qida bazası'!$G$2:$G$103,MATCH(C1888,'Qida bazası'!$A$2:$A$103,0))*D1888/100,"?"))</f>
        <v/>
      </c>
    </row>
    <row r="1889">
      <c r="A1889" s="21" t="n"/>
      <c r="E1889" s="18">
        <f>IF(OR(C1889="",D1889=""),"",IFERROR(INDEX('Qida bazası'!$D$2:$D$103,MATCH(C1889,'Qida bazası'!$A$2:$A$103,0))*D1889/100,"?"))</f>
        <v/>
      </c>
      <c r="F1889" s="19">
        <f>IF(OR(C1889="",D1889=""),"",IFERROR(INDEX('Qida bazası'!$E$2:$E$103,MATCH(C1889,'Qida bazası'!$A$2:$A$103,0))*D1889/100,"?"))</f>
        <v/>
      </c>
      <c r="G1889" s="19">
        <f>IF(OR(C1889="",D1889=""),"",IFERROR(INDEX('Qida bazası'!$F$2:$F$103,MATCH(C1889,'Qida bazası'!$A$2:$A$103,0))*D1889/100,"?"))</f>
        <v/>
      </c>
      <c r="H1889" s="19">
        <f>IF(OR(C1889="",D1889=""),"",IFERROR(INDEX('Qida bazası'!$G$2:$G$103,MATCH(C1889,'Qida bazası'!$A$2:$A$103,0))*D1889/100,"?"))</f>
        <v/>
      </c>
    </row>
    <row r="1890">
      <c r="A1890" s="21" t="n"/>
      <c r="E1890" s="18">
        <f>IF(OR(C1890="",D1890=""),"",IFERROR(INDEX('Qida bazası'!$D$2:$D$103,MATCH(C1890,'Qida bazası'!$A$2:$A$103,0))*D1890/100,"?"))</f>
        <v/>
      </c>
      <c r="F1890" s="19">
        <f>IF(OR(C1890="",D1890=""),"",IFERROR(INDEX('Qida bazası'!$E$2:$E$103,MATCH(C1890,'Qida bazası'!$A$2:$A$103,0))*D1890/100,"?"))</f>
        <v/>
      </c>
      <c r="G1890" s="19">
        <f>IF(OR(C1890="",D1890=""),"",IFERROR(INDEX('Qida bazası'!$F$2:$F$103,MATCH(C1890,'Qida bazası'!$A$2:$A$103,0))*D1890/100,"?"))</f>
        <v/>
      </c>
      <c r="H1890" s="19">
        <f>IF(OR(C1890="",D1890=""),"",IFERROR(INDEX('Qida bazası'!$G$2:$G$103,MATCH(C1890,'Qida bazası'!$A$2:$A$103,0))*D1890/100,"?"))</f>
        <v/>
      </c>
    </row>
    <row r="1891">
      <c r="A1891" s="21" t="n"/>
      <c r="E1891" s="18">
        <f>IF(OR(C1891="",D1891=""),"",IFERROR(INDEX('Qida bazası'!$D$2:$D$103,MATCH(C1891,'Qida bazası'!$A$2:$A$103,0))*D1891/100,"?"))</f>
        <v/>
      </c>
      <c r="F1891" s="19">
        <f>IF(OR(C1891="",D1891=""),"",IFERROR(INDEX('Qida bazası'!$E$2:$E$103,MATCH(C1891,'Qida bazası'!$A$2:$A$103,0))*D1891/100,"?"))</f>
        <v/>
      </c>
      <c r="G1891" s="19">
        <f>IF(OR(C1891="",D1891=""),"",IFERROR(INDEX('Qida bazası'!$F$2:$F$103,MATCH(C1891,'Qida bazası'!$A$2:$A$103,0))*D1891/100,"?"))</f>
        <v/>
      </c>
      <c r="H1891" s="19">
        <f>IF(OR(C1891="",D1891=""),"",IFERROR(INDEX('Qida bazası'!$G$2:$G$103,MATCH(C1891,'Qida bazası'!$A$2:$A$103,0))*D1891/100,"?"))</f>
        <v/>
      </c>
    </row>
    <row r="1892">
      <c r="A1892" s="21" t="n"/>
      <c r="E1892" s="18">
        <f>IF(OR(C1892="",D1892=""),"",IFERROR(INDEX('Qida bazası'!$D$2:$D$103,MATCH(C1892,'Qida bazası'!$A$2:$A$103,0))*D1892/100,"?"))</f>
        <v/>
      </c>
      <c r="F1892" s="19">
        <f>IF(OR(C1892="",D1892=""),"",IFERROR(INDEX('Qida bazası'!$E$2:$E$103,MATCH(C1892,'Qida bazası'!$A$2:$A$103,0))*D1892/100,"?"))</f>
        <v/>
      </c>
      <c r="G1892" s="19">
        <f>IF(OR(C1892="",D1892=""),"",IFERROR(INDEX('Qida bazası'!$F$2:$F$103,MATCH(C1892,'Qida bazası'!$A$2:$A$103,0))*D1892/100,"?"))</f>
        <v/>
      </c>
      <c r="H1892" s="19">
        <f>IF(OR(C1892="",D1892=""),"",IFERROR(INDEX('Qida bazası'!$G$2:$G$103,MATCH(C1892,'Qida bazası'!$A$2:$A$103,0))*D1892/100,"?"))</f>
        <v/>
      </c>
    </row>
    <row r="1893">
      <c r="A1893" s="21" t="n"/>
      <c r="E1893" s="18">
        <f>IF(OR(C1893="",D1893=""),"",IFERROR(INDEX('Qida bazası'!$D$2:$D$103,MATCH(C1893,'Qida bazası'!$A$2:$A$103,0))*D1893/100,"?"))</f>
        <v/>
      </c>
      <c r="F1893" s="19">
        <f>IF(OR(C1893="",D1893=""),"",IFERROR(INDEX('Qida bazası'!$E$2:$E$103,MATCH(C1893,'Qida bazası'!$A$2:$A$103,0))*D1893/100,"?"))</f>
        <v/>
      </c>
      <c r="G1893" s="19">
        <f>IF(OR(C1893="",D1893=""),"",IFERROR(INDEX('Qida bazası'!$F$2:$F$103,MATCH(C1893,'Qida bazası'!$A$2:$A$103,0))*D1893/100,"?"))</f>
        <v/>
      </c>
      <c r="H1893" s="19">
        <f>IF(OR(C1893="",D1893=""),"",IFERROR(INDEX('Qida bazası'!$G$2:$G$103,MATCH(C1893,'Qida bazası'!$A$2:$A$103,0))*D1893/100,"?"))</f>
        <v/>
      </c>
    </row>
    <row r="1894">
      <c r="A1894" s="21" t="n"/>
      <c r="E1894" s="18">
        <f>IF(OR(C1894="",D1894=""),"",IFERROR(INDEX('Qida bazası'!$D$2:$D$103,MATCH(C1894,'Qida bazası'!$A$2:$A$103,0))*D1894/100,"?"))</f>
        <v/>
      </c>
      <c r="F1894" s="19">
        <f>IF(OR(C1894="",D1894=""),"",IFERROR(INDEX('Qida bazası'!$E$2:$E$103,MATCH(C1894,'Qida bazası'!$A$2:$A$103,0))*D1894/100,"?"))</f>
        <v/>
      </c>
      <c r="G1894" s="19">
        <f>IF(OR(C1894="",D1894=""),"",IFERROR(INDEX('Qida bazası'!$F$2:$F$103,MATCH(C1894,'Qida bazası'!$A$2:$A$103,0))*D1894/100,"?"))</f>
        <v/>
      </c>
      <c r="H1894" s="19">
        <f>IF(OR(C1894="",D1894=""),"",IFERROR(INDEX('Qida bazası'!$G$2:$G$103,MATCH(C1894,'Qida bazası'!$A$2:$A$103,0))*D1894/100,"?"))</f>
        <v/>
      </c>
    </row>
    <row r="1895">
      <c r="A1895" s="21" t="n"/>
      <c r="E1895" s="18">
        <f>IF(OR(C1895="",D1895=""),"",IFERROR(INDEX('Qida bazası'!$D$2:$D$103,MATCH(C1895,'Qida bazası'!$A$2:$A$103,0))*D1895/100,"?"))</f>
        <v/>
      </c>
      <c r="F1895" s="19">
        <f>IF(OR(C1895="",D1895=""),"",IFERROR(INDEX('Qida bazası'!$E$2:$E$103,MATCH(C1895,'Qida bazası'!$A$2:$A$103,0))*D1895/100,"?"))</f>
        <v/>
      </c>
      <c r="G1895" s="19">
        <f>IF(OR(C1895="",D1895=""),"",IFERROR(INDEX('Qida bazası'!$F$2:$F$103,MATCH(C1895,'Qida bazası'!$A$2:$A$103,0))*D1895/100,"?"))</f>
        <v/>
      </c>
      <c r="H1895" s="19">
        <f>IF(OR(C1895="",D1895=""),"",IFERROR(INDEX('Qida bazası'!$G$2:$G$103,MATCH(C1895,'Qida bazası'!$A$2:$A$103,0))*D1895/100,"?"))</f>
        <v/>
      </c>
    </row>
    <row r="1896">
      <c r="A1896" s="21" t="n"/>
      <c r="E1896" s="18">
        <f>IF(OR(C1896="",D1896=""),"",IFERROR(INDEX('Qida bazası'!$D$2:$D$103,MATCH(C1896,'Qida bazası'!$A$2:$A$103,0))*D1896/100,"?"))</f>
        <v/>
      </c>
      <c r="F1896" s="19">
        <f>IF(OR(C1896="",D1896=""),"",IFERROR(INDEX('Qida bazası'!$E$2:$E$103,MATCH(C1896,'Qida bazası'!$A$2:$A$103,0))*D1896/100,"?"))</f>
        <v/>
      </c>
      <c r="G1896" s="19">
        <f>IF(OR(C1896="",D1896=""),"",IFERROR(INDEX('Qida bazası'!$F$2:$F$103,MATCH(C1896,'Qida bazası'!$A$2:$A$103,0))*D1896/100,"?"))</f>
        <v/>
      </c>
      <c r="H1896" s="19">
        <f>IF(OR(C1896="",D1896=""),"",IFERROR(INDEX('Qida bazası'!$G$2:$G$103,MATCH(C1896,'Qida bazası'!$A$2:$A$103,0))*D1896/100,"?"))</f>
        <v/>
      </c>
    </row>
    <row r="1897">
      <c r="A1897" s="21" t="n"/>
      <c r="E1897" s="18">
        <f>IF(OR(C1897="",D1897=""),"",IFERROR(INDEX('Qida bazası'!$D$2:$D$103,MATCH(C1897,'Qida bazası'!$A$2:$A$103,0))*D1897/100,"?"))</f>
        <v/>
      </c>
      <c r="F1897" s="19">
        <f>IF(OR(C1897="",D1897=""),"",IFERROR(INDEX('Qida bazası'!$E$2:$E$103,MATCH(C1897,'Qida bazası'!$A$2:$A$103,0))*D1897/100,"?"))</f>
        <v/>
      </c>
      <c r="G1897" s="19">
        <f>IF(OR(C1897="",D1897=""),"",IFERROR(INDEX('Qida bazası'!$F$2:$F$103,MATCH(C1897,'Qida bazası'!$A$2:$A$103,0))*D1897/100,"?"))</f>
        <v/>
      </c>
      <c r="H1897" s="19">
        <f>IF(OR(C1897="",D1897=""),"",IFERROR(INDEX('Qida bazası'!$G$2:$G$103,MATCH(C1897,'Qida bazası'!$A$2:$A$103,0))*D1897/100,"?"))</f>
        <v/>
      </c>
    </row>
    <row r="1898">
      <c r="A1898" s="21" t="n"/>
      <c r="E1898" s="18">
        <f>IF(OR(C1898="",D1898=""),"",IFERROR(INDEX('Qida bazası'!$D$2:$D$103,MATCH(C1898,'Qida bazası'!$A$2:$A$103,0))*D1898/100,"?"))</f>
        <v/>
      </c>
      <c r="F1898" s="19">
        <f>IF(OR(C1898="",D1898=""),"",IFERROR(INDEX('Qida bazası'!$E$2:$E$103,MATCH(C1898,'Qida bazası'!$A$2:$A$103,0))*D1898/100,"?"))</f>
        <v/>
      </c>
      <c r="G1898" s="19">
        <f>IF(OR(C1898="",D1898=""),"",IFERROR(INDEX('Qida bazası'!$F$2:$F$103,MATCH(C1898,'Qida bazası'!$A$2:$A$103,0))*D1898/100,"?"))</f>
        <v/>
      </c>
      <c r="H1898" s="19">
        <f>IF(OR(C1898="",D1898=""),"",IFERROR(INDEX('Qida bazası'!$G$2:$G$103,MATCH(C1898,'Qida bazası'!$A$2:$A$103,0))*D1898/100,"?"))</f>
        <v/>
      </c>
    </row>
    <row r="1899">
      <c r="A1899" s="21" t="n"/>
      <c r="E1899" s="18">
        <f>IF(OR(C1899="",D1899=""),"",IFERROR(INDEX('Qida bazası'!$D$2:$D$103,MATCH(C1899,'Qida bazası'!$A$2:$A$103,0))*D1899/100,"?"))</f>
        <v/>
      </c>
      <c r="F1899" s="19">
        <f>IF(OR(C1899="",D1899=""),"",IFERROR(INDEX('Qida bazası'!$E$2:$E$103,MATCH(C1899,'Qida bazası'!$A$2:$A$103,0))*D1899/100,"?"))</f>
        <v/>
      </c>
      <c r="G1899" s="19">
        <f>IF(OR(C1899="",D1899=""),"",IFERROR(INDEX('Qida bazası'!$F$2:$F$103,MATCH(C1899,'Qida bazası'!$A$2:$A$103,0))*D1899/100,"?"))</f>
        <v/>
      </c>
      <c r="H1899" s="19">
        <f>IF(OR(C1899="",D1899=""),"",IFERROR(INDEX('Qida bazası'!$G$2:$G$103,MATCH(C1899,'Qida bazası'!$A$2:$A$103,0))*D1899/100,"?"))</f>
        <v/>
      </c>
    </row>
    <row r="1900">
      <c r="A1900" s="21" t="n"/>
      <c r="E1900" s="18">
        <f>IF(OR(C1900="",D1900=""),"",IFERROR(INDEX('Qida bazası'!$D$2:$D$103,MATCH(C1900,'Qida bazası'!$A$2:$A$103,0))*D1900/100,"?"))</f>
        <v/>
      </c>
      <c r="F1900" s="19">
        <f>IF(OR(C1900="",D1900=""),"",IFERROR(INDEX('Qida bazası'!$E$2:$E$103,MATCH(C1900,'Qida bazası'!$A$2:$A$103,0))*D1900/100,"?"))</f>
        <v/>
      </c>
      <c r="G1900" s="19">
        <f>IF(OR(C1900="",D1900=""),"",IFERROR(INDEX('Qida bazası'!$F$2:$F$103,MATCH(C1900,'Qida bazası'!$A$2:$A$103,0))*D1900/100,"?"))</f>
        <v/>
      </c>
      <c r="H1900" s="19">
        <f>IF(OR(C1900="",D1900=""),"",IFERROR(INDEX('Qida bazası'!$G$2:$G$103,MATCH(C1900,'Qida bazası'!$A$2:$A$103,0))*D1900/100,"?"))</f>
        <v/>
      </c>
    </row>
    <row r="1901">
      <c r="A1901" s="21" t="n"/>
      <c r="E1901" s="18">
        <f>IF(OR(C1901="",D1901=""),"",IFERROR(INDEX('Qida bazası'!$D$2:$D$103,MATCH(C1901,'Qida bazası'!$A$2:$A$103,0))*D1901/100,"?"))</f>
        <v/>
      </c>
      <c r="F1901" s="19">
        <f>IF(OR(C1901="",D1901=""),"",IFERROR(INDEX('Qida bazası'!$E$2:$E$103,MATCH(C1901,'Qida bazası'!$A$2:$A$103,0))*D1901/100,"?"))</f>
        <v/>
      </c>
      <c r="G1901" s="19">
        <f>IF(OR(C1901="",D1901=""),"",IFERROR(INDEX('Qida bazası'!$F$2:$F$103,MATCH(C1901,'Qida bazası'!$A$2:$A$103,0))*D1901/100,"?"))</f>
        <v/>
      </c>
      <c r="H1901" s="19">
        <f>IF(OR(C1901="",D1901=""),"",IFERROR(INDEX('Qida bazası'!$G$2:$G$103,MATCH(C1901,'Qida bazası'!$A$2:$A$103,0))*D1901/100,"?"))</f>
        <v/>
      </c>
    </row>
    <row r="1902">
      <c r="A1902" s="21" t="n"/>
      <c r="E1902" s="18">
        <f>IF(OR(C1902="",D1902=""),"",IFERROR(INDEX('Qida bazası'!$D$2:$D$103,MATCH(C1902,'Qida bazası'!$A$2:$A$103,0))*D1902/100,"?"))</f>
        <v/>
      </c>
      <c r="F1902" s="19">
        <f>IF(OR(C1902="",D1902=""),"",IFERROR(INDEX('Qida bazası'!$E$2:$E$103,MATCH(C1902,'Qida bazası'!$A$2:$A$103,0))*D1902/100,"?"))</f>
        <v/>
      </c>
      <c r="G1902" s="19">
        <f>IF(OR(C1902="",D1902=""),"",IFERROR(INDEX('Qida bazası'!$F$2:$F$103,MATCH(C1902,'Qida bazası'!$A$2:$A$103,0))*D1902/100,"?"))</f>
        <v/>
      </c>
      <c r="H1902" s="19">
        <f>IF(OR(C1902="",D1902=""),"",IFERROR(INDEX('Qida bazası'!$G$2:$G$103,MATCH(C1902,'Qida bazası'!$A$2:$A$103,0))*D1902/100,"?"))</f>
        <v/>
      </c>
    </row>
    <row r="1903">
      <c r="A1903" s="21" t="n"/>
      <c r="E1903" s="18">
        <f>IF(OR(C1903="",D1903=""),"",IFERROR(INDEX('Qida bazası'!$D$2:$D$103,MATCH(C1903,'Qida bazası'!$A$2:$A$103,0))*D1903/100,"?"))</f>
        <v/>
      </c>
      <c r="F1903" s="19">
        <f>IF(OR(C1903="",D1903=""),"",IFERROR(INDEX('Qida bazası'!$E$2:$E$103,MATCH(C1903,'Qida bazası'!$A$2:$A$103,0))*D1903/100,"?"))</f>
        <v/>
      </c>
      <c r="G1903" s="19">
        <f>IF(OR(C1903="",D1903=""),"",IFERROR(INDEX('Qida bazası'!$F$2:$F$103,MATCH(C1903,'Qida bazası'!$A$2:$A$103,0))*D1903/100,"?"))</f>
        <v/>
      </c>
      <c r="H1903" s="19">
        <f>IF(OR(C1903="",D1903=""),"",IFERROR(INDEX('Qida bazası'!$G$2:$G$103,MATCH(C1903,'Qida bazası'!$A$2:$A$103,0))*D1903/100,"?"))</f>
        <v/>
      </c>
    </row>
    <row r="1904">
      <c r="A1904" s="21" t="n"/>
      <c r="E1904" s="18">
        <f>IF(OR(C1904="",D1904=""),"",IFERROR(INDEX('Qida bazası'!$D$2:$D$103,MATCH(C1904,'Qida bazası'!$A$2:$A$103,0))*D1904/100,"?"))</f>
        <v/>
      </c>
      <c r="F1904" s="19">
        <f>IF(OR(C1904="",D1904=""),"",IFERROR(INDEX('Qida bazası'!$E$2:$E$103,MATCH(C1904,'Qida bazası'!$A$2:$A$103,0))*D1904/100,"?"))</f>
        <v/>
      </c>
      <c r="G1904" s="19">
        <f>IF(OR(C1904="",D1904=""),"",IFERROR(INDEX('Qida bazası'!$F$2:$F$103,MATCH(C1904,'Qida bazası'!$A$2:$A$103,0))*D1904/100,"?"))</f>
        <v/>
      </c>
      <c r="H1904" s="19">
        <f>IF(OR(C1904="",D1904=""),"",IFERROR(INDEX('Qida bazası'!$G$2:$G$103,MATCH(C1904,'Qida bazası'!$A$2:$A$103,0))*D1904/100,"?"))</f>
        <v/>
      </c>
    </row>
    <row r="1905">
      <c r="A1905" s="21" t="n"/>
      <c r="E1905" s="18">
        <f>IF(OR(C1905="",D1905=""),"",IFERROR(INDEX('Qida bazası'!$D$2:$D$103,MATCH(C1905,'Qida bazası'!$A$2:$A$103,0))*D1905/100,"?"))</f>
        <v/>
      </c>
      <c r="F1905" s="19">
        <f>IF(OR(C1905="",D1905=""),"",IFERROR(INDEX('Qida bazası'!$E$2:$E$103,MATCH(C1905,'Qida bazası'!$A$2:$A$103,0))*D1905/100,"?"))</f>
        <v/>
      </c>
      <c r="G1905" s="19">
        <f>IF(OR(C1905="",D1905=""),"",IFERROR(INDEX('Qida bazası'!$F$2:$F$103,MATCH(C1905,'Qida bazası'!$A$2:$A$103,0))*D1905/100,"?"))</f>
        <v/>
      </c>
      <c r="H1905" s="19">
        <f>IF(OR(C1905="",D1905=""),"",IFERROR(INDEX('Qida bazası'!$G$2:$G$103,MATCH(C1905,'Qida bazası'!$A$2:$A$103,0))*D1905/100,"?"))</f>
        <v/>
      </c>
    </row>
    <row r="1906">
      <c r="A1906" s="21" t="n"/>
      <c r="E1906" s="18">
        <f>IF(OR(C1906="",D1906=""),"",IFERROR(INDEX('Qida bazası'!$D$2:$D$103,MATCH(C1906,'Qida bazası'!$A$2:$A$103,0))*D1906/100,"?"))</f>
        <v/>
      </c>
      <c r="F1906" s="19">
        <f>IF(OR(C1906="",D1906=""),"",IFERROR(INDEX('Qida bazası'!$E$2:$E$103,MATCH(C1906,'Qida bazası'!$A$2:$A$103,0))*D1906/100,"?"))</f>
        <v/>
      </c>
      <c r="G1906" s="19">
        <f>IF(OR(C1906="",D1906=""),"",IFERROR(INDEX('Qida bazası'!$F$2:$F$103,MATCH(C1906,'Qida bazası'!$A$2:$A$103,0))*D1906/100,"?"))</f>
        <v/>
      </c>
      <c r="H1906" s="19">
        <f>IF(OR(C1906="",D1906=""),"",IFERROR(INDEX('Qida bazası'!$G$2:$G$103,MATCH(C1906,'Qida bazası'!$A$2:$A$103,0))*D1906/100,"?"))</f>
        <v/>
      </c>
    </row>
    <row r="1907">
      <c r="A1907" s="21" t="n"/>
      <c r="E1907" s="18">
        <f>IF(OR(C1907="",D1907=""),"",IFERROR(INDEX('Qida bazası'!$D$2:$D$103,MATCH(C1907,'Qida bazası'!$A$2:$A$103,0))*D1907/100,"?"))</f>
        <v/>
      </c>
      <c r="F1907" s="19">
        <f>IF(OR(C1907="",D1907=""),"",IFERROR(INDEX('Qida bazası'!$E$2:$E$103,MATCH(C1907,'Qida bazası'!$A$2:$A$103,0))*D1907/100,"?"))</f>
        <v/>
      </c>
      <c r="G1907" s="19">
        <f>IF(OR(C1907="",D1907=""),"",IFERROR(INDEX('Qida bazası'!$F$2:$F$103,MATCH(C1907,'Qida bazası'!$A$2:$A$103,0))*D1907/100,"?"))</f>
        <v/>
      </c>
      <c r="H1907" s="19">
        <f>IF(OR(C1907="",D1907=""),"",IFERROR(INDEX('Qida bazası'!$G$2:$G$103,MATCH(C1907,'Qida bazası'!$A$2:$A$103,0))*D1907/100,"?"))</f>
        <v/>
      </c>
    </row>
    <row r="1908">
      <c r="A1908" s="21" t="n"/>
      <c r="E1908" s="18">
        <f>IF(OR(C1908="",D1908=""),"",IFERROR(INDEX('Qida bazası'!$D$2:$D$103,MATCH(C1908,'Qida bazası'!$A$2:$A$103,0))*D1908/100,"?"))</f>
        <v/>
      </c>
      <c r="F1908" s="19">
        <f>IF(OR(C1908="",D1908=""),"",IFERROR(INDEX('Qida bazası'!$E$2:$E$103,MATCH(C1908,'Qida bazası'!$A$2:$A$103,0))*D1908/100,"?"))</f>
        <v/>
      </c>
      <c r="G1908" s="19">
        <f>IF(OR(C1908="",D1908=""),"",IFERROR(INDEX('Qida bazası'!$F$2:$F$103,MATCH(C1908,'Qida bazası'!$A$2:$A$103,0))*D1908/100,"?"))</f>
        <v/>
      </c>
      <c r="H1908" s="19">
        <f>IF(OR(C1908="",D1908=""),"",IFERROR(INDEX('Qida bazası'!$G$2:$G$103,MATCH(C1908,'Qida bazası'!$A$2:$A$103,0))*D1908/100,"?"))</f>
        <v/>
      </c>
    </row>
    <row r="1909">
      <c r="A1909" s="21" t="n"/>
      <c r="E1909" s="18">
        <f>IF(OR(C1909="",D1909=""),"",IFERROR(INDEX('Qida bazası'!$D$2:$D$103,MATCH(C1909,'Qida bazası'!$A$2:$A$103,0))*D1909/100,"?"))</f>
        <v/>
      </c>
      <c r="F1909" s="19">
        <f>IF(OR(C1909="",D1909=""),"",IFERROR(INDEX('Qida bazası'!$E$2:$E$103,MATCH(C1909,'Qida bazası'!$A$2:$A$103,0))*D1909/100,"?"))</f>
        <v/>
      </c>
      <c r="G1909" s="19">
        <f>IF(OR(C1909="",D1909=""),"",IFERROR(INDEX('Qida bazası'!$F$2:$F$103,MATCH(C1909,'Qida bazası'!$A$2:$A$103,0))*D1909/100,"?"))</f>
        <v/>
      </c>
      <c r="H1909" s="19">
        <f>IF(OR(C1909="",D1909=""),"",IFERROR(INDEX('Qida bazası'!$G$2:$G$103,MATCH(C1909,'Qida bazası'!$A$2:$A$103,0))*D1909/100,"?"))</f>
        <v/>
      </c>
    </row>
    <row r="1910">
      <c r="A1910" s="21" t="n"/>
      <c r="E1910" s="18">
        <f>IF(OR(C1910="",D1910=""),"",IFERROR(INDEX('Qida bazası'!$D$2:$D$103,MATCH(C1910,'Qida bazası'!$A$2:$A$103,0))*D1910/100,"?"))</f>
        <v/>
      </c>
      <c r="F1910" s="19">
        <f>IF(OR(C1910="",D1910=""),"",IFERROR(INDEX('Qida bazası'!$E$2:$E$103,MATCH(C1910,'Qida bazası'!$A$2:$A$103,0))*D1910/100,"?"))</f>
        <v/>
      </c>
      <c r="G1910" s="19">
        <f>IF(OR(C1910="",D1910=""),"",IFERROR(INDEX('Qida bazası'!$F$2:$F$103,MATCH(C1910,'Qida bazası'!$A$2:$A$103,0))*D1910/100,"?"))</f>
        <v/>
      </c>
      <c r="H1910" s="19">
        <f>IF(OR(C1910="",D1910=""),"",IFERROR(INDEX('Qida bazası'!$G$2:$G$103,MATCH(C1910,'Qida bazası'!$A$2:$A$103,0))*D1910/100,"?"))</f>
        <v/>
      </c>
    </row>
    <row r="1911">
      <c r="A1911" s="21" t="n"/>
      <c r="E1911" s="18">
        <f>IF(OR(C1911="",D1911=""),"",IFERROR(INDEX('Qida bazası'!$D$2:$D$103,MATCH(C1911,'Qida bazası'!$A$2:$A$103,0))*D1911/100,"?"))</f>
        <v/>
      </c>
      <c r="F1911" s="19">
        <f>IF(OR(C1911="",D1911=""),"",IFERROR(INDEX('Qida bazası'!$E$2:$E$103,MATCH(C1911,'Qida bazası'!$A$2:$A$103,0))*D1911/100,"?"))</f>
        <v/>
      </c>
      <c r="G1911" s="19">
        <f>IF(OR(C1911="",D1911=""),"",IFERROR(INDEX('Qida bazası'!$F$2:$F$103,MATCH(C1911,'Qida bazası'!$A$2:$A$103,0))*D1911/100,"?"))</f>
        <v/>
      </c>
      <c r="H1911" s="19">
        <f>IF(OR(C1911="",D1911=""),"",IFERROR(INDEX('Qida bazası'!$G$2:$G$103,MATCH(C1911,'Qida bazası'!$A$2:$A$103,0))*D1911/100,"?"))</f>
        <v/>
      </c>
    </row>
    <row r="1912">
      <c r="A1912" s="21" t="n"/>
      <c r="E1912" s="18">
        <f>IF(OR(C1912="",D1912=""),"",IFERROR(INDEX('Qida bazası'!$D$2:$D$103,MATCH(C1912,'Qida bazası'!$A$2:$A$103,0))*D1912/100,"?"))</f>
        <v/>
      </c>
      <c r="F1912" s="19">
        <f>IF(OR(C1912="",D1912=""),"",IFERROR(INDEX('Qida bazası'!$E$2:$E$103,MATCH(C1912,'Qida bazası'!$A$2:$A$103,0))*D1912/100,"?"))</f>
        <v/>
      </c>
      <c r="G1912" s="19">
        <f>IF(OR(C1912="",D1912=""),"",IFERROR(INDEX('Qida bazası'!$F$2:$F$103,MATCH(C1912,'Qida bazası'!$A$2:$A$103,0))*D1912/100,"?"))</f>
        <v/>
      </c>
      <c r="H1912" s="19">
        <f>IF(OR(C1912="",D1912=""),"",IFERROR(INDEX('Qida bazası'!$G$2:$G$103,MATCH(C1912,'Qida bazası'!$A$2:$A$103,0))*D1912/100,"?"))</f>
        <v/>
      </c>
    </row>
    <row r="1913">
      <c r="A1913" s="21" t="n"/>
      <c r="E1913" s="18">
        <f>IF(OR(C1913="",D1913=""),"",IFERROR(INDEX('Qida bazası'!$D$2:$D$103,MATCH(C1913,'Qida bazası'!$A$2:$A$103,0))*D1913/100,"?"))</f>
        <v/>
      </c>
      <c r="F1913" s="19">
        <f>IF(OR(C1913="",D1913=""),"",IFERROR(INDEX('Qida bazası'!$E$2:$E$103,MATCH(C1913,'Qida bazası'!$A$2:$A$103,0))*D1913/100,"?"))</f>
        <v/>
      </c>
      <c r="G1913" s="19">
        <f>IF(OR(C1913="",D1913=""),"",IFERROR(INDEX('Qida bazası'!$F$2:$F$103,MATCH(C1913,'Qida bazası'!$A$2:$A$103,0))*D1913/100,"?"))</f>
        <v/>
      </c>
      <c r="H1913" s="19">
        <f>IF(OR(C1913="",D1913=""),"",IFERROR(INDEX('Qida bazası'!$G$2:$G$103,MATCH(C1913,'Qida bazası'!$A$2:$A$103,0))*D1913/100,"?"))</f>
        <v/>
      </c>
    </row>
    <row r="1914">
      <c r="A1914" s="21" t="n"/>
      <c r="E1914" s="18">
        <f>IF(OR(C1914="",D1914=""),"",IFERROR(INDEX('Qida bazası'!$D$2:$D$103,MATCH(C1914,'Qida bazası'!$A$2:$A$103,0))*D1914/100,"?"))</f>
        <v/>
      </c>
      <c r="F1914" s="19">
        <f>IF(OR(C1914="",D1914=""),"",IFERROR(INDEX('Qida bazası'!$E$2:$E$103,MATCH(C1914,'Qida bazası'!$A$2:$A$103,0))*D1914/100,"?"))</f>
        <v/>
      </c>
      <c r="G1914" s="19">
        <f>IF(OR(C1914="",D1914=""),"",IFERROR(INDEX('Qida bazası'!$F$2:$F$103,MATCH(C1914,'Qida bazası'!$A$2:$A$103,0))*D1914/100,"?"))</f>
        <v/>
      </c>
      <c r="H1914" s="19">
        <f>IF(OR(C1914="",D1914=""),"",IFERROR(INDEX('Qida bazası'!$G$2:$G$103,MATCH(C1914,'Qida bazası'!$A$2:$A$103,0))*D1914/100,"?"))</f>
        <v/>
      </c>
    </row>
    <row r="1915">
      <c r="A1915" s="21" t="n"/>
      <c r="E1915" s="18">
        <f>IF(OR(C1915="",D1915=""),"",IFERROR(INDEX('Qida bazası'!$D$2:$D$103,MATCH(C1915,'Qida bazası'!$A$2:$A$103,0))*D1915/100,"?"))</f>
        <v/>
      </c>
      <c r="F1915" s="19">
        <f>IF(OR(C1915="",D1915=""),"",IFERROR(INDEX('Qida bazası'!$E$2:$E$103,MATCH(C1915,'Qida bazası'!$A$2:$A$103,0))*D1915/100,"?"))</f>
        <v/>
      </c>
      <c r="G1915" s="19">
        <f>IF(OR(C1915="",D1915=""),"",IFERROR(INDEX('Qida bazası'!$F$2:$F$103,MATCH(C1915,'Qida bazası'!$A$2:$A$103,0))*D1915/100,"?"))</f>
        <v/>
      </c>
      <c r="H1915" s="19">
        <f>IF(OR(C1915="",D1915=""),"",IFERROR(INDEX('Qida bazası'!$G$2:$G$103,MATCH(C1915,'Qida bazası'!$A$2:$A$103,0))*D1915/100,"?"))</f>
        <v/>
      </c>
    </row>
    <row r="1916">
      <c r="A1916" s="21" t="n"/>
      <c r="E1916" s="18">
        <f>IF(OR(C1916="",D1916=""),"",IFERROR(INDEX('Qida bazası'!$D$2:$D$103,MATCH(C1916,'Qida bazası'!$A$2:$A$103,0))*D1916/100,"?"))</f>
        <v/>
      </c>
      <c r="F1916" s="19">
        <f>IF(OR(C1916="",D1916=""),"",IFERROR(INDEX('Qida bazası'!$E$2:$E$103,MATCH(C1916,'Qida bazası'!$A$2:$A$103,0))*D1916/100,"?"))</f>
        <v/>
      </c>
      <c r="G1916" s="19">
        <f>IF(OR(C1916="",D1916=""),"",IFERROR(INDEX('Qida bazası'!$F$2:$F$103,MATCH(C1916,'Qida bazası'!$A$2:$A$103,0))*D1916/100,"?"))</f>
        <v/>
      </c>
      <c r="H1916" s="19">
        <f>IF(OR(C1916="",D1916=""),"",IFERROR(INDEX('Qida bazası'!$G$2:$G$103,MATCH(C1916,'Qida bazası'!$A$2:$A$103,0))*D1916/100,"?"))</f>
        <v/>
      </c>
    </row>
    <row r="1917">
      <c r="A1917" s="21" t="n"/>
      <c r="E1917" s="18">
        <f>IF(OR(C1917="",D1917=""),"",IFERROR(INDEX('Qida bazası'!$D$2:$D$103,MATCH(C1917,'Qida bazası'!$A$2:$A$103,0))*D1917/100,"?"))</f>
        <v/>
      </c>
      <c r="F1917" s="19">
        <f>IF(OR(C1917="",D1917=""),"",IFERROR(INDEX('Qida bazası'!$E$2:$E$103,MATCH(C1917,'Qida bazası'!$A$2:$A$103,0))*D1917/100,"?"))</f>
        <v/>
      </c>
      <c r="G1917" s="19">
        <f>IF(OR(C1917="",D1917=""),"",IFERROR(INDEX('Qida bazası'!$F$2:$F$103,MATCH(C1917,'Qida bazası'!$A$2:$A$103,0))*D1917/100,"?"))</f>
        <v/>
      </c>
      <c r="H1917" s="19">
        <f>IF(OR(C1917="",D1917=""),"",IFERROR(INDEX('Qida bazası'!$G$2:$G$103,MATCH(C1917,'Qida bazası'!$A$2:$A$103,0))*D1917/100,"?"))</f>
        <v/>
      </c>
    </row>
    <row r="1918">
      <c r="A1918" s="21" t="n"/>
      <c r="E1918" s="18">
        <f>IF(OR(C1918="",D1918=""),"",IFERROR(INDEX('Qida bazası'!$D$2:$D$103,MATCH(C1918,'Qida bazası'!$A$2:$A$103,0))*D1918/100,"?"))</f>
        <v/>
      </c>
      <c r="F1918" s="19">
        <f>IF(OR(C1918="",D1918=""),"",IFERROR(INDEX('Qida bazası'!$E$2:$E$103,MATCH(C1918,'Qida bazası'!$A$2:$A$103,0))*D1918/100,"?"))</f>
        <v/>
      </c>
      <c r="G1918" s="19">
        <f>IF(OR(C1918="",D1918=""),"",IFERROR(INDEX('Qida bazası'!$F$2:$F$103,MATCH(C1918,'Qida bazası'!$A$2:$A$103,0))*D1918/100,"?"))</f>
        <v/>
      </c>
      <c r="H1918" s="19">
        <f>IF(OR(C1918="",D1918=""),"",IFERROR(INDEX('Qida bazası'!$G$2:$G$103,MATCH(C1918,'Qida bazası'!$A$2:$A$103,0))*D1918/100,"?"))</f>
        <v/>
      </c>
    </row>
    <row r="1919">
      <c r="A1919" s="21" t="n"/>
      <c r="E1919" s="18">
        <f>IF(OR(C1919="",D1919=""),"",IFERROR(INDEX('Qida bazası'!$D$2:$D$103,MATCH(C1919,'Qida bazası'!$A$2:$A$103,0))*D1919/100,"?"))</f>
        <v/>
      </c>
      <c r="F1919" s="19">
        <f>IF(OR(C1919="",D1919=""),"",IFERROR(INDEX('Qida bazası'!$E$2:$E$103,MATCH(C1919,'Qida bazası'!$A$2:$A$103,0))*D1919/100,"?"))</f>
        <v/>
      </c>
      <c r="G1919" s="19">
        <f>IF(OR(C1919="",D1919=""),"",IFERROR(INDEX('Qida bazası'!$F$2:$F$103,MATCH(C1919,'Qida bazası'!$A$2:$A$103,0))*D1919/100,"?"))</f>
        <v/>
      </c>
      <c r="H1919" s="19">
        <f>IF(OR(C1919="",D1919=""),"",IFERROR(INDEX('Qida bazası'!$G$2:$G$103,MATCH(C1919,'Qida bazası'!$A$2:$A$103,0))*D1919/100,"?"))</f>
        <v/>
      </c>
    </row>
    <row r="1920">
      <c r="A1920" s="21" t="n"/>
      <c r="E1920" s="18">
        <f>IF(OR(C1920="",D1920=""),"",IFERROR(INDEX('Qida bazası'!$D$2:$D$103,MATCH(C1920,'Qida bazası'!$A$2:$A$103,0))*D1920/100,"?"))</f>
        <v/>
      </c>
      <c r="F1920" s="19">
        <f>IF(OR(C1920="",D1920=""),"",IFERROR(INDEX('Qida bazası'!$E$2:$E$103,MATCH(C1920,'Qida bazası'!$A$2:$A$103,0))*D1920/100,"?"))</f>
        <v/>
      </c>
      <c r="G1920" s="19">
        <f>IF(OR(C1920="",D1920=""),"",IFERROR(INDEX('Qida bazası'!$F$2:$F$103,MATCH(C1920,'Qida bazası'!$A$2:$A$103,0))*D1920/100,"?"))</f>
        <v/>
      </c>
      <c r="H1920" s="19">
        <f>IF(OR(C1920="",D1920=""),"",IFERROR(INDEX('Qida bazası'!$G$2:$G$103,MATCH(C1920,'Qida bazası'!$A$2:$A$103,0))*D1920/100,"?"))</f>
        <v/>
      </c>
    </row>
    <row r="1921">
      <c r="A1921" s="21" t="n"/>
      <c r="E1921" s="18">
        <f>IF(OR(C1921="",D1921=""),"",IFERROR(INDEX('Qida bazası'!$D$2:$D$103,MATCH(C1921,'Qida bazası'!$A$2:$A$103,0))*D1921/100,"?"))</f>
        <v/>
      </c>
      <c r="F1921" s="19">
        <f>IF(OR(C1921="",D1921=""),"",IFERROR(INDEX('Qida bazası'!$E$2:$E$103,MATCH(C1921,'Qida bazası'!$A$2:$A$103,0))*D1921/100,"?"))</f>
        <v/>
      </c>
      <c r="G1921" s="19">
        <f>IF(OR(C1921="",D1921=""),"",IFERROR(INDEX('Qida bazası'!$F$2:$F$103,MATCH(C1921,'Qida bazası'!$A$2:$A$103,0))*D1921/100,"?"))</f>
        <v/>
      </c>
      <c r="H1921" s="19">
        <f>IF(OR(C1921="",D1921=""),"",IFERROR(INDEX('Qida bazası'!$G$2:$G$103,MATCH(C1921,'Qida bazası'!$A$2:$A$103,0))*D1921/100,"?"))</f>
        <v/>
      </c>
    </row>
    <row r="1922">
      <c r="A1922" s="21" t="n"/>
      <c r="E1922" s="18">
        <f>IF(OR(C1922="",D1922=""),"",IFERROR(INDEX('Qida bazası'!$D$2:$D$103,MATCH(C1922,'Qida bazası'!$A$2:$A$103,0))*D1922/100,"?"))</f>
        <v/>
      </c>
      <c r="F1922" s="19">
        <f>IF(OR(C1922="",D1922=""),"",IFERROR(INDEX('Qida bazası'!$E$2:$E$103,MATCH(C1922,'Qida bazası'!$A$2:$A$103,0))*D1922/100,"?"))</f>
        <v/>
      </c>
      <c r="G1922" s="19">
        <f>IF(OR(C1922="",D1922=""),"",IFERROR(INDEX('Qida bazası'!$F$2:$F$103,MATCH(C1922,'Qida bazası'!$A$2:$A$103,0))*D1922/100,"?"))</f>
        <v/>
      </c>
      <c r="H1922" s="19">
        <f>IF(OR(C1922="",D1922=""),"",IFERROR(INDEX('Qida bazası'!$G$2:$G$103,MATCH(C1922,'Qida bazası'!$A$2:$A$103,0))*D1922/100,"?"))</f>
        <v/>
      </c>
    </row>
    <row r="1923">
      <c r="A1923" s="21" t="n"/>
      <c r="E1923" s="18">
        <f>IF(OR(C1923="",D1923=""),"",IFERROR(INDEX('Qida bazası'!$D$2:$D$103,MATCH(C1923,'Qida bazası'!$A$2:$A$103,0))*D1923/100,"?"))</f>
        <v/>
      </c>
      <c r="F1923" s="19">
        <f>IF(OR(C1923="",D1923=""),"",IFERROR(INDEX('Qida bazası'!$E$2:$E$103,MATCH(C1923,'Qida bazası'!$A$2:$A$103,0))*D1923/100,"?"))</f>
        <v/>
      </c>
      <c r="G1923" s="19">
        <f>IF(OR(C1923="",D1923=""),"",IFERROR(INDEX('Qida bazası'!$F$2:$F$103,MATCH(C1923,'Qida bazası'!$A$2:$A$103,0))*D1923/100,"?"))</f>
        <v/>
      </c>
      <c r="H1923" s="19">
        <f>IF(OR(C1923="",D1923=""),"",IFERROR(INDEX('Qida bazası'!$G$2:$G$103,MATCH(C1923,'Qida bazası'!$A$2:$A$103,0))*D1923/100,"?"))</f>
        <v/>
      </c>
    </row>
    <row r="1924">
      <c r="A1924" s="21" t="n"/>
      <c r="E1924" s="18">
        <f>IF(OR(C1924="",D1924=""),"",IFERROR(INDEX('Qida bazası'!$D$2:$D$103,MATCH(C1924,'Qida bazası'!$A$2:$A$103,0))*D1924/100,"?"))</f>
        <v/>
      </c>
      <c r="F1924" s="19">
        <f>IF(OR(C1924="",D1924=""),"",IFERROR(INDEX('Qida bazası'!$E$2:$E$103,MATCH(C1924,'Qida bazası'!$A$2:$A$103,0))*D1924/100,"?"))</f>
        <v/>
      </c>
      <c r="G1924" s="19">
        <f>IF(OR(C1924="",D1924=""),"",IFERROR(INDEX('Qida bazası'!$F$2:$F$103,MATCH(C1924,'Qida bazası'!$A$2:$A$103,0))*D1924/100,"?"))</f>
        <v/>
      </c>
      <c r="H1924" s="19">
        <f>IF(OR(C1924="",D1924=""),"",IFERROR(INDEX('Qida bazası'!$G$2:$G$103,MATCH(C1924,'Qida bazası'!$A$2:$A$103,0))*D1924/100,"?"))</f>
        <v/>
      </c>
    </row>
    <row r="1925">
      <c r="A1925" s="21" t="n"/>
      <c r="E1925" s="18">
        <f>IF(OR(C1925="",D1925=""),"",IFERROR(INDEX('Qida bazası'!$D$2:$D$103,MATCH(C1925,'Qida bazası'!$A$2:$A$103,0))*D1925/100,"?"))</f>
        <v/>
      </c>
      <c r="F1925" s="19">
        <f>IF(OR(C1925="",D1925=""),"",IFERROR(INDEX('Qida bazası'!$E$2:$E$103,MATCH(C1925,'Qida bazası'!$A$2:$A$103,0))*D1925/100,"?"))</f>
        <v/>
      </c>
      <c r="G1925" s="19">
        <f>IF(OR(C1925="",D1925=""),"",IFERROR(INDEX('Qida bazası'!$F$2:$F$103,MATCH(C1925,'Qida bazası'!$A$2:$A$103,0))*D1925/100,"?"))</f>
        <v/>
      </c>
      <c r="H1925" s="19">
        <f>IF(OR(C1925="",D1925=""),"",IFERROR(INDEX('Qida bazası'!$G$2:$G$103,MATCH(C1925,'Qida bazası'!$A$2:$A$103,0))*D1925/100,"?"))</f>
        <v/>
      </c>
    </row>
    <row r="1926">
      <c r="A1926" s="21" t="n"/>
      <c r="E1926" s="18">
        <f>IF(OR(C1926="",D1926=""),"",IFERROR(INDEX('Qida bazası'!$D$2:$D$103,MATCH(C1926,'Qida bazası'!$A$2:$A$103,0))*D1926/100,"?"))</f>
        <v/>
      </c>
      <c r="F1926" s="19">
        <f>IF(OR(C1926="",D1926=""),"",IFERROR(INDEX('Qida bazası'!$E$2:$E$103,MATCH(C1926,'Qida bazası'!$A$2:$A$103,0))*D1926/100,"?"))</f>
        <v/>
      </c>
      <c r="G1926" s="19">
        <f>IF(OR(C1926="",D1926=""),"",IFERROR(INDEX('Qida bazası'!$F$2:$F$103,MATCH(C1926,'Qida bazası'!$A$2:$A$103,0))*D1926/100,"?"))</f>
        <v/>
      </c>
      <c r="H1926" s="19">
        <f>IF(OR(C1926="",D1926=""),"",IFERROR(INDEX('Qida bazası'!$G$2:$G$103,MATCH(C1926,'Qida bazası'!$A$2:$A$103,0))*D1926/100,"?"))</f>
        <v/>
      </c>
    </row>
    <row r="1927">
      <c r="A1927" s="21" t="n"/>
      <c r="E1927" s="18">
        <f>IF(OR(C1927="",D1927=""),"",IFERROR(INDEX('Qida bazası'!$D$2:$D$103,MATCH(C1927,'Qida bazası'!$A$2:$A$103,0))*D1927/100,"?"))</f>
        <v/>
      </c>
      <c r="F1927" s="19">
        <f>IF(OR(C1927="",D1927=""),"",IFERROR(INDEX('Qida bazası'!$E$2:$E$103,MATCH(C1927,'Qida bazası'!$A$2:$A$103,0))*D1927/100,"?"))</f>
        <v/>
      </c>
      <c r="G1927" s="19">
        <f>IF(OR(C1927="",D1927=""),"",IFERROR(INDEX('Qida bazası'!$F$2:$F$103,MATCH(C1927,'Qida bazası'!$A$2:$A$103,0))*D1927/100,"?"))</f>
        <v/>
      </c>
      <c r="H1927" s="19">
        <f>IF(OR(C1927="",D1927=""),"",IFERROR(INDEX('Qida bazası'!$G$2:$G$103,MATCH(C1927,'Qida bazası'!$A$2:$A$103,0))*D1927/100,"?"))</f>
        <v/>
      </c>
    </row>
    <row r="1928">
      <c r="A1928" s="21" t="n"/>
      <c r="E1928" s="18">
        <f>IF(OR(C1928="",D1928=""),"",IFERROR(INDEX('Qida bazası'!$D$2:$D$103,MATCH(C1928,'Qida bazası'!$A$2:$A$103,0))*D1928/100,"?"))</f>
        <v/>
      </c>
      <c r="F1928" s="19">
        <f>IF(OR(C1928="",D1928=""),"",IFERROR(INDEX('Qida bazası'!$E$2:$E$103,MATCH(C1928,'Qida bazası'!$A$2:$A$103,0))*D1928/100,"?"))</f>
        <v/>
      </c>
      <c r="G1928" s="19">
        <f>IF(OR(C1928="",D1928=""),"",IFERROR(INDEX('Qida bazası'!$F$2:$F$103,MATCH(C1928,'Qida bazası'!$A$2:$A$103,0))*D1928/100,"?"))</f>
        <v/>
      </c>
      <c r="H1928" s="19">
        <f>IF(OR(C1928="",D1928=""),"",IFERROR(INDEX('Qida bazası'!$G$2:$G$103,MATCH(C1928,'Qida bazası'!$A$2:$A$103,0))*D1928/100,"?"))</f>
        <v/>
      </c>
    </row>
    <row r="1929">
      <c r="A1929" s="21" t="n"/>
      <c r="E1929" s="18">
        <f>IF(OR(C1929="",D1929=""),"",IFERROR(INDEX('Qida bazası'!$D$2:$D$103,MATCH(C1929,'Qida bazası'!$A$2:$A$103,0))*D1929/100,"?"))</f>
        <v/>
      </c>
      <c r="F1929" s="19">
        <f>IF(OR(C1929="",D1929=""),"",IFERROR(INDEX('Qida bazası'!$E$2:$E$103,MATCH(C1929,'Qida bazası'!$A$2:$A$103,0))*D1929/100,"?"))</f>
        <v/>
      </c>
      <c r="G1929" s="19">
        <f>IF(OR(C1929="",D1929=""),"",IFERROR(INDEX('Qida bazası'!$F$2:$F$103,MATCH(C1929,'Qida bazası'!$A$2:$A$103,0))*D1929/100,"?"))</f>
        <v/>
      </c>
      <c r="H1929" s="19">
        <f>IF(OR(C1929="",D1929=""),"",IFERROR(INDEX('Qida bazası'!$G$2:$G$103,MATCH(C1929,'Qida bazası'!$A$2:$A$103,0))*D1929/100,"?"))</f>
        <v/>
      </c>
    </row>
    <row r="1930">
      <c r="A1930" s="21" t="n"/>
      <c r="E1930" s="18">
        <f>IF(OR(C1930="",D1930=""),"",IFERROR(INDEX('Qida bazası'!$D$2:$D$103,MATCH(C1930,'Qida bazası'!$A$2:$A$103,0))*D1930/100,"?"))</f>
        <v/>
      </c>
      <c r="F1930" s="19">
        <f>IF(OR(C1930="",D1930=""),"",IFERROR(INDEX('Qida bazası'!$E$2:$E$103,MATCH(C1930,'Qida bazası'!$A$2:$A$103,0))*D1930/100,"?"))</f>
        <v/>
      </c>
      <c r="G1930" s="19">
        <f>IF(OR(C1930="",D1930=""),"",IFERROR(INDEX('Qida bazası'!$F$2:$F$103,MATCH(C1930,'Qida bazası'!$A$2:$A$103,0))*D1930/100,"?"))</f>
        <v/>
      </c>
      <c r="H1930" s="19">
        <f>IF(OR(C1930="",D1930=""),"",IFERROR(INDEX('Qida bazası'!$G$2:$G$103,MATCH(C1930,'Qida bazası'!$A$2:$A$103,0))*D1930/100,"?"))</f>
        <v/>
      </c>
    </row>
    <row r="1931">
      <c r="A1931" s="21" t="n"/>
      <c r="E1931" s="18">
        <f>IF(OR(C1931="",D1931=""),"",IFERROR(INDEX('Qida bazası'!$D$2:$D$103,MATCH(C1931,'Qida bazası'!$A$2:$A$103,0))*D1931/100,"?"))</f>
        <v/>
      </c>
      <c r="F1931" s="19">
        <f>IF(OR(C1931="",D1931=""),"",IFERROR(INDEX('Qida bazası'!$E$2:$E$103,MATCH(C1931,'Qida bazası'!$A$2:$A$103,0))*D1931/100,"?"))</f>
        <v/>
      </c>
      <c r="G1931" s="19">
        <f>IF(OR(C1931="",D1931=""),"",IFERROR(INDEX('Qida bazası'!$F$2:$F$103,MATCH(C1931,'Qida bazası'!$A$2:$A$103,0))*D1931/100,"?"))</f>
        <v/>
      </c>
      <c r="H1931" s="19">
        <f>IF(OR(C1931="",D1931=""),"",IFERROR(INDEX('Qida bazası'!$G$2:$G$103,MATCH(C1931,'Qida bazası'!$A$2:$A$103,0))*D1931/100,"?"))</f>
        <v/>
      </c>
    </row>
    <row r="1932">
      <c r="A1932" s="21" t="n"/>
      <c r="E1932" s="18">
        <f>IF(OR(C1932="",D1932=""),"",IFERROR(INDEX('Qida bazası'!$D$2:$D$103,MATCH(C1932,'Qida bazası'!$A$2:$A$103,0))*D1932/100,"?"))</f>
        <v/>
      </c>
      <c r="F1932" s="19">
        <f>IF(OR(C1932="",D1932=""),"",IFERROR(INDEX('Qida bazası'!$E$2:$E$103,MATCH(C1932,'Qida bazası'!$A$2:$A$103,0))*D1932/100,"?"))</f>
        <v/>
      </c>
      <c r="G1932" s="19">
        <f>IF(OR(C1932="",D1932=""),"",IFERROR(INDEX('Qida bazası'!$F$2:$F$103,MATCH(C1932,'Qida bazası'!$A$2:$A$103,0))*D1932/100,"?"))</f>
        <v/>
      </c>
      <c r="H1932" s="19">
        <f>IF(OR(C1932="",D1932=""),"",IFERROR(INDEX('Qida bazası'!$G$2:$G$103,MATCH(C1932,'Qida bazası'!$A$2:$A$103,0))*D1932/100,"?"))</f>
        <v/>
      </c>
    </row>
    <row r="1933">
      <c r="A1933" s="21" t="n"/>
      <c r="E1933" s="18">
        <f>IF(OR(C1933="",D1933=""),"",IFERROR(INDEX('Qida bazası'!$D$2:$D$103,MATCH(C1933,'Qida bazası'!$A$2:$A$103,0))*D1933/100,"?"))</f>
        <v/>
      </c>
      <c r="F1933" s="19">
        <f>IF(OR(C1933="",D1933=""),"",IFERROR(INDEX('Qida bazası'!$E$2:$E$103,MATCH(C1933,'Qida bazası'!$A$2:$A$103,0))*D1933/100,"?"))</f>
        <v/>
      </c>
      <c r="G1933" s="19">
        <f>IF(OR(C1933="",D1933=""),"",IFERROR(INDEX('Qida bazası'!$F$2:$F$103,MATCH(C1933,'Qida bazası'!$A$2:$A$103,0))*D1933/100,"?"))</f>
        <v/>
      </c>
      <c r="H1933" s="19">
        <f>IF(OR(C1933="",D1933=""),"",IFERROR(INDEX('Qida bazası'!$G$2:$G$103,MATCH(C1933,'Qida bazası'!$A$2:$A$103,0))*D1933/100,"?"))</f>
        <v/>
      </c>
    </row>
    <row r="1934">
      <c r="A1934" s="21" t="n"/>
      <c r="E1934" s="18">
        <f>IF(OR(C1934="",D1934=""),"",IFERROR(INDEX('Qida bazası'!$D$2:$D$103,MATCH(C1934,'Qida bazası'!$A$2:$A$103,0))*D1934/100,"?"))</f>
        <v/>
      </c>
      <c r="F1934" s="19">
        <f>IF(OR(C1934="",D1934=""),"",IFERROR(INDEX('Qida bazası'!$E$2:$E$103,MATCH(C1934,'Qida bazası'!$A$2:$A$103,0))*D1934/100,"?"))</f>
        <v/>
      </c>
      <c r="G1934" s="19">
        <f>IF(OR(C1934="",D1934=""),"",IFERROR(INDEX('Qida bazası'!$F$2:$F$103,MATCH(C1934,'Qida bazası'!$A$2:$A$103,0))*D1934/100,"?"))</f>
        <v/>
      </c>
      <c r="H1934" s="19">
        <f>IF(OR(C1934="",D1934=""),"",IFERROR(INDEX('Qida bazası'!$G$2:$G$103,MATCH(C1934,'Qida bazası'!$A$2:$A$103,0))*D1934/100,"?"))</f>
        <v/>
      </c>
    </row>
    <row r="1935">
      <c r="A1935" s="21" t="n"/>
      <c r="E1935" s="18">
        <f>IF(OR(C1935="",D1935=""),"",IFERROR(INDEX('Qida bazası'!$D$2:$D$103,MATCH(C1935,'Qida bazası'!$A$2:$A$103,0))*D1935/100,"?"))</f>
        <v/>
      </c>
      <c r="F1935" s="19">
        <f>IF(OR(C1935="",D1935=""),"",IFERROR(INDEX('Qida bazası'!$E$2:$E$103,MATCH(C1935,'Qida bazası'!$A$2:$A$103,0))*D1935/100,"?"))</f>
        <v/>
      </c>
      <c r="G1935" s="19">
        <f>IF(OR(C1935="",D1935=""),"",IFERROR(INDEX('Qida bazası'!$F$2:$F$103,MATCH(C1935,'Qida bazası'!$A$2:$A$103,0))*D1935/100,"?"))</f>
        <v/>
      </c>
      <c r="H1935" s="19">
        <f>IF(OR(C1935="",D1935=""),"",IFERROR(INDEX('Qida bazası'!$G$2:$G$103,MATCH(C1935,'Qida bazası'!$A$2:$A$103,0))*D1935/100,"?"))</f>
        <v/>
      </c>
    </row>
    <row r="1936">
      <c r="A1936" s="21" t="n"/>
      <c r="E1936" s="18">
        <f>IF(OR(C1936="",D1936=""),"",IFERROR(INDEX('Qida bazası'!$D$2:$D$103,MATCH(C1936,'Qida bazası'!$A$2:$A$103,0))*D1936/100,"?"))</f>
        <v/>
      </c>
      <c r="F1936" s="19">
        <f>IF(OR(C1936="",D1936=""),"",IFERROR(INDEX('Qida bazası'!$E$2:$E$103,MATCH(C1936,'Qida bazası'!$A$2:$A$103,0))*D1936/100,"?"))</f>
        <v/>
      </c>
      <c r="G1936" s="19">
        <f>IF(OR(C1936="",D1936=""),"",IFERROR(INDEX('Qida bazası'!$F$2:$F$103,MATCH(C1936,'Qida bazası'!$A$2:$A$103,0))*D1936/100,"?"))</f>
        <v/>
      </c>
      <c r="H1936" s="19">
        <f>IF(OR(C1936="",D1936=""),"",IFERROR(INDEX('Qida bazası'!$G$2:$G$103,MATCH(C1936,'Qida bazası'!$A$2:$A$103,0))*D1936/100,"?"))</f>
        <v/>
      </c>
    </row>
    <row r="1937">
      <c r="A1937" s="21" t="n"/>
      <c r="E1937" s="18">
        <f>IF(OR(C1937="",D1937=""),"",IFERROR(INDEX('Qida bazası'!$D$2:$D$103,MATCH(C1937,'Qida bazası'!$A$2:$A$103,0))*D1937/100,"?"))</f>
        <v/>
      </c>
      <c r="F1937" s="19">
        <f>IF(OR(C1937="",D1937=""),"",IFERROR(INDEX('Qida bazası'!$E$2:$E$103,MATCH(C1937,'Qida bazası'!$A$2:$A$103,0))*D1937/100,"?"))</f>
        <v/>
      </c>
      <c r="G1937" s="19">
        <f>IF(OR(C1937="",D1937=""),"",IFERROR(INDEX('Qida bazası'!$F$2:$F$103,MATCH(C1937,'Qida bazası'!$A$2:$A$103,0))*D1937/100,"?"))</f>
        <v/>
      </c>
      <c r="H1937" s="19">
        <f>IF(OR(C1937="",D1937=""),"",IFERROR(INDEX('Qida bazası'!$G$2:$G$103,MATCH(C1937,'Qida bazası'!$A$2:$A$103,0))*D1937/100,"?"))</f>
        <v/>
      </c>
    </row>
    <row r="1938">
      <c r="A1938" s="21" t="n"/>
      <c r="E1938" s="18">
        <f>IF(OR(C1938="",D1938=""),"",IFERROR(INDEX('Qida bazası'!$D$2:$D$103,MATCH(C1938,'Qida bazası'!$A$2:$A$103,0))*D1938/100,"?"))</f>
        <v/>
      </c>
      <c r="F1938" s="19">
        <f>IF(OR(C1938="",D1938=""),"",IFERROR(INDEX('Qida bazası'!$E$2:$E$103,MATCH(C1938,'Qida bazası'!$A$2:$A$103,0))*D1938/100,"?"))</f>
        <v/>
      </c>
      <c r="G1938" s="19">
        <f>IF(OR(C1938="",D1938=""),"",IFERROR(INDEX('Qida bazası'!$F$2:$F$103,MATCH(C1938,'Qida bazası'!$A$2:$A$103,0))*D1938/100,"?"))</f>
        <v/>
      </c>
      <c r="H1938" s="19">
        <f>IF(OR(C1938="",D1938=""),"",IFERROR(INDEX('Qida bazası'!$G$2:$G$103,MATCH(C1938,'Qida bazası'!$A$2:$A$103,0))*D1938/100,"?"))</f>
        <v/>
      </c>
    </row>
    <row r="1939">
      <c r="A1939" s="21" t="n"/>
      <c r="E1939" s="18">
        <f>IF(OR(C1939="",D1939=""),"",IFERROR(INDEX('Qida bazası'!$D$2:$D$103,MATCH(C1939,'Qida bazası'!$A$2:$A$103,0))*D1939/100,"?"))</f>
        <v/>
      </c>
      <c r="F1939" s="19">
        <f>IF(OR(C1939="",D1939=""),"",IFERROR(INDEX('Qida bazası'!$E$2:$E$103,MATCH(C1939,'Qida bazası'!$A$2:$A$103,0))*D1939/100,"?"))</f>
        <v/>
      </c>
      <c r="G1939" s="19">
        <f>IF(OR(C1939="",D1939=""),"",IFERROR(INDEX('Qida bazası'!$F$2:$F$103,MATCH(C1939,'Qida bazası'!$A$2:$A$103,0))*D1939/100,"?"))</f>
        <v/>
      </c>
      <c r="H1939" s="19">
        <f>IF(OR(C1939="",D1939=""),"",IFERROR(INDEX('Qida bazası'!$G$2:$G$103,MATCH(C1939,'Qida bazası'!$A$2:$A$103,0))*D1939/100,"?"))</f>
        <v/>
      </c>
    </row>
    <row r="1940">
      <c r="A1940" s="21" t="n"/>
      <c r="E1940" s="18">
        <f>IF(OR(C1940="",D1940=""),"",IFERROR(INDEX('Qida bazası'!$D$2:$D$103,MATCH(C1940,'Qida bazası'!$A$2:$A$103,0))*D1940/100,"?"))</f>
        <v/>
      </c>
      <c r="F1940" s="19">
        <f>IF(OR(C1940="",D1940=""),"",IFERROR(INDEX('Qida bazası'!$E$2:$E$103,MATCH(C1940,'Qida bazası'!$A$2:$A$103,0))*D1940/100,"?"))</f>
        <v/>
      </c>
      <c r="G1940" s="19">
        <f>IF(OR(C1940="",D1940=""),"",IFERROR(INDEX('Qida bazası'!$F$2:$F$103,MATCH(C1940,'Qida bazası'!$A$2:$A$103,0))*D1940/100,"?"))</f>
        <v/>
      </c>
      <c r="H1940" s="19">
        <f>IF(OR(C1940="",D1940=""),"",IFERROR(INDEX('Qida bazası'!$G$2:$G$103,MATCH(C1940,'Qida bazası'!$A$2:$A$103,0))*D1940/100,"?"))</f>
        <v/>
      </c>
    </row>
    <row r="1941">
      <c r="A1941" s="21" t="n"/>
      <c r="E1941" s="18">
        <f>IF(OR(C1941="",D1941=""),"",IFERROR(INDEX('Qida bazası'!$D$2:$D$103,MATCH(C1941,'Qida bazası'!$A$2:$A$103,0))*D1941/100,"?"))</f>
        <v/>
      </c>
      <c r="F1941" s="19">
        <f>IF(OR(C1941="",D1941=""),"",IFERROR(INDEX('Qida bazası'!$E$2:$E$103,MATCH(C1941,'Qida bazası'!$A$2:$A$103,0))*D1941/100,"?"))</f>
        <v/>
      </c>
      <c r="G1941" s="19">
        <f>IF(OR(C1941="",D1941=""),"",IFERROR(INDEX('Qida bazası'!$F$2:$F$103,MATCH(C1941,'Qida bazası'!$A$2:$A$103,0))*D1941/100,"?"))</f>
        <v/>
      </c>
      <c r="H1941" s="19">
        <f>IF(OR(C1941="",D1941=""),"",IFERROR(INDEX('Qida bazası'!$G$2:$G$103,MATCH(C1941,'Qida bazası'!$A$2:$A$103,0))*D1941/100,"?"))</f>
        <v/>
      </c>
    </row>
    <row r="1942">
      <c r="A1942" s="21" t="n"/>
      <c r="E1942" s="18">
        <f>IF(OR(C1942="",D1942=""),"",IFERROR(INDEX('Qida bazası'!$D$2:$D$103,MATCH(C1942,'Qida bazası'!$A$2:$A$103,0))*D1942/100,"?"))</f>
        <v/>
      </c>
      <c r="F1942" s="19">
        <f>IF(OR(C1942="",D1942=""),"",IFERROR(INDEX('Qida bazası'!$E$2:$E$103,MATCH(C1942,'Qida bazası'!$A$2:$A$103,0))*D1942/100,"?"))</f>
        <v/>
      </c>
      <c r="G1942" s="19">
        <f>IF(OR(C1942="",D1942=""),"",IFERROR(INDEX('Qida bazası'!$F$2:$F$103,MATCH(C1942,'Qida bazası'!$A$2:$A$103,0))*D1942/100,"?"))</f>
        <v/>
      </c>
      <c r="H1942" s="19">
        <f>IF(OR(C1942="",D1942=""),"",IFERROR(INDEX('Qida bazası'!$G$2:$G$103,MATCH(C1942,'Qida bazası'!$A$2:$A$103,0))*D1942/100,"?"))</f>
        <v/>
      </c>
    </row>
    <row r="1943">
      <c r="A1943" s="21" t="n"/>
      <c r="E1943" s="18">
        <f>IF(OR(C1943="",D1943=""),"",IFERROR(INDEX('Qida bazası'!$D$2:$D$103,MATCH(C1943,'Qida bazası'!$A$2:$A$103,0))*D1943/100,"?"))</f>
        <v/>
      </c>
      <c r="F1943" s="19">
        <f>IF(OR(C1943="",D1943=""),"",IFERROR(INDEX('Qida bazası'!$E$2:$E$103,MATCH(C1943,'Qida bazası'!$A$2:$A$103,0))*D1943/100,"?"))</f>
        <v/>
      </c>
      <c r="G1943" s="19">
        <f>IF(OR(C1943="",D1943=""),"",IFERROR(INDEX('Qida bazası'!$F$2:$F$103,MATCH(C1943,'Qida bazası'!$A$2:$A$103,0))*D1943/100,"?"))</f>
        <v/>
      </c>
      <c r="H1943" s="19">
        <f>IF(OR(C1943="",D1943=""),"",IFERROR(INDEX('Qida bazası'!$G$2:$G$103,MATCH(C1943,'Qida bazası'!$A$2:$A$103,0))*D1943/100,"?"))</f>
        <v/>
      </c>
    </row>
    <row r="1944">
      <c r="A1944" s="21" t="n"/>
      <c r="E1944" s="18">
        <f>IF(OR(C1944="",D1944=""),"",IFERROR(INDEX('Qida bazası'!$D$2:$D$103,MATCH(C1944,'Qida bazası'!$A$2:$A$103,0))*D1944/100,"?"))</f>
        <v/>
      </c>
      <c r="F1944" s="19">
        <f>IF(OR(C1944="",D1944=""),"",IFERROR(INDEX('Qida bazası'!$E$2:$E$103,MATCH(C1944,'Qida bazası'!$A$2:$A$103,0))*D1944/100,"?"))</f>
        <v/>
      </c>
      <c r="G1944" s="19">
        <f>IF(OR(C1944="",D1944=""),"",IFERROR(INDEX('Qida bazası'!$F$2:$F$103,MATCH(C1944,'Qida bazası'!$A$2:$A$103,0))*D1944/100,"?"))</f>
        <v/>
      </c>
      <c r="H1944" s="19">
        <f>IF(OR(C1944="",D1944=""),"",IFERROR(INDEX('Qida bazası'!$G$2:$G$103,MATCH(C1944,'Qida bazası'!$A$2:$A$103,0))*D1944/100,"?"))</f>
        <v/>
      </c>
    </row>
    <row r="1945">
      <c r="A1945" s="21" t="n"/>
      <c r="E1945" s="18">
        <f>IF(OR(C1945="",D1945=""),"",IFERROR(INDEX('Qida bazası'!$D$2:$D$103,MATCH(C1945,'Qida bazası'!$A$2:$A$103,0))*D1945/100,"?"))</f>
        <v/>
      </c>
      <c r="F1945" s="19">
        <f>IF(OR(C1945="",D1945=""),"",IFERROR(INDEX('Qida bazası'!$E$2:$E$103,MATCH(C1945,'Qida bazası'!$A$2:$A$103,0))*D1945/100,"?"))</f>
        <v/>
      </c>
      <c r="G1945" s="19">
        <f>IF(OR(C1945="",D1945=""),"",IFERROR(INDEX('Qida bazası'!$F$2:$F$103,MATCH(C1945,'Qida bazası'!$A$2:$A$103,0))*D1945/100,"?"))</f>
        <v/>
      </c>
      <c r="H1945" s="19">
        <f>IF(OR(C1945="",D1945=""),"",IFERROR(INDEX('Qida bazası'!$G$2:$G$103,MATCH(C1945,'Qida bazası'!$A$2:$A$103,0))*D1945/100,"?"))</f>
        <v/>
      </c>
    </row>
    <row r="1946">
      <c r="A1946" s="21" t="n"/>
      <c r="E1946" s="18">
        <f>IF(OR(C1946="",D1946=""),"",IFERROR(INDEX('Qida bazası'!$D$2:$D$103,MATCH(C1946,'Qida bazası'!$A$2:$A$103,0))*D1946/100,"?"))</f>
        <v/>
      </c>
      <c r="F1946" s="19">
        <f>IF(OR(C1946="",D1946=""),"",IFERROR(INDEX('Qida bazası'!$E$2:$E$103,MATCH(C1946,'Qida bazası'!$A$2:$A$103,0))*D1946/100,"?"))</f>
        <v/>
      </c>
      <c r="G1946" s="19">
        <f>IF(OR(C1946="",D1946=""),"",IFERROR(INDEX('Qida bazası'!$F$2:$F$103,MATCH(C1946,'Qida bazası'!$A$2:$A$103,0))*D1946/100,"?"))</f>
        <v/>
      </c>
      <c r="H1946" s="19">
        <f>IF(OR(C1946="",D1946=""),"",IFERROR(INDEX('Qida bazası'!$G$2:$G$103,MATCH(C1946,'Qida bazası'!$A$2:$A$103,0))*D1946/100,"?"))</f>
        <v/>
      </c>
    </row>
    <row r="1947">
      <c r="A1947" s="21" t="n"/>
      <c r="E1947" s="18">
        <f>IF(OR(C1947="",D1947=""),"",IFERROR(INDEX('Qida bazası'!$D$2:$D$103,MATCH(C1947,'Qida bazası'!$A$2:$A$103,0))*D1947/100,"?"))</f>
        <v/>
      </c>
      <c r="F1947" s="19">
        <f>IF(OR(C1947="",D1947=""),"",IFERROR(INDEX('Qida bazası'!$E$2:$E$103,MATCH(C1947,'Qida bazası'!$A$2:$A$103,0))*D1947/100,"?"))</f>
        <v/>
      </c>
      <c r="G1947" s="19">
        <f>IF(OR(C1947="",D1947=""),"",IFERROR(INDEX('Qida bazası'!$F$2:$F$103,MATCH(C1947,'Qida bazası'!$A$2:$A$103,0))*D1947/100,"?"))</f>
        <v/>
      </c>
      <c r="H1947" s="19">
        <f>IF(OR(C1947="",D1947=""),"",IFERROR(INDEX('Qida bazası'!$G$2:$G$103,MATCH(C1947,'Qida bazası'!$A$2:$A$103,0))*D1947/100,"?"))</f>
        <v/>
      </c>
    </row>
    <row r="1948">
      <c r="A1948" s="21" t="n"/>
      <c r="E1948" s="18">
        <f>IF(OR(C1948="",D1948=""),"",IFERROR(INDEX('Qida bazası'!$D$2:$D$103,MATCH(C1948,'Qida bazası'!$A$2:$A$103,0))*D1948/100,"?"))</f>
        <v/>
      </c>
      <c r="F1948" s="19">
        <f>IF(OR(C1948="",D1948=""),"",IFERROR(INDEX('Qida bazası'!$E$2:$E$103,MATCH(C1948,'Qida bazası'!$A$2:$A$103,0))*D1948/100,"?"))</f>
        <v/>
      </c>
      <c r="G1948" s="19">
        <f>IF(OR(C1948="",D1948=""),"",IFERROR(INDEX('Qida bazası'!$F$2:$F$103,MATCH(C1948,'Qida bazası'!$A$2:$A$103,0))*D1948/100,"?"))</f>
        <v/>
      </c>
      <c r="H1948" s="19">
        <f>IF(OR(C1948="",D1948=""),"",IFERROR(INDEX('Qida bazası'!$G$2:$G$103,MATCH(C1948,'Qida bazası'!$A$2:$A$103,0))*D1948/100,"?"))</f>
        <v/>
      </c>
    </row>
    <row r="1949">
      <c r="A1949" s="21" t="n"/>
      <c r="E1949" s="18">
        <f>IF(OR(C1949="",D1949=""),"",IFERROR(INDEX('Qida bazası'!$D$2:$D$103,MATCH(C1949,'Qida bazası'!$A$2:$A$103,0))*D1949/100,"?"))</f>
        <v/>
      </c>
      <c r="F1949" s="19">
        <f>IF(OR(C1949="",D1949=""),"",IFERROR(INDEX('Qida bazası'!$E$2:$E$103,MATCH(C1949,'Qida bazası'!$A$2:$A$103,0))*D1949/100,"?"))</f>
        <v/>
      </c>
      <c r="G1949" s="19">
        <f>IF(OR(C1949="",D1949=""),"",IFERROR(INDEX('Qida bazası'!$F$2:$F$103,MATCH(C1949,'Qida bazası'!$A$2:$A$103,0))*D1949/100,"?"))</f>
        <v/>
      </c>
      <c r="H1949" s="19">
        <f>IF(OR(C1949="",D1949=""),"",IFERROR(INDEX('Qida bazası'!$G$2:$G$103,MATCH(C1949,'Qida bazası'!$A$2:$A$103,0))*D1949/100,"?"))</f>
        <v/>
      </c>
    </row>
    <row r="1950">
      <c r="A1950" s="21" t="n"/>
      <c r="E1950" s="18">
        <f>IF(OR(C1950="",D1950=""),"",IFERROR(INDEX('Qida bazası'!$D$2:$D$103,MATCH(C1950,'Qida bazası'!$A$2:$A$103,0))*D1950/100,"?"))</f>
        <v/>
      </c>
      <c r="F1950" s="19">
        <f>IF(OR(C1950="",D1950=""),"",IFERROR(INDEX('Qida bazası'!$E$2:$E$103,MATCH(C1950,'Qida bazası'!$A$2:$A$103,0))*D1950/100,"?"))</f>
        <v/>
      </c>
      <c r="G1950" s="19">
        <f>IF(OR(C1950="",D1950=""),"",IFERROR(INDEX('Qida bazası'!$F$2:$F$103,MATCH(C1950,'Qida bazası'!$A$2:$A$103,0))*D1950/100,"?"))</f>
        <v/>
      </c>
      <c r="H1950" s="19">
        <f>IF(OR(C1950="",D1950=""),"",IFERROR(INDEX('Qida bazası'!$G$2:$G$103,MATCH(C1950,'Qida bazası'!$A$2:$A$103,0))*D1950/100,"?"))</f>
        <v/>
      </c>
    </row>
    <row r="1951">
      <c r="A1951" s="21" t="n"/>
      <c r="E1951" s="18">
        <f>IF(OR(C1951="",D1951=""),"",IFERROR(INDEX('Qida bazası'!$D$2:$D$103,MATCH(C1951,'Qida bazası'!$A$2:$A$103,0))*D1951/100,"?"))</f>
        <v/>
      </c>
      <c r="F1951" s="19">
        <f>IF(OR(C1951="",D1951=""),"",IFERROR(INDEX('Qida bazası'!$E$2:$E$103,MATCH(C1951,'Qida bazası'!$A$2:$A$103,0))*D1951/100,"?"))</f>
        <v/>
      </c>
      <c r="G1951" s="19">
        <f>IF(OR(C1951="",D1951=""),"",IFERROR(INDEX('Qida bazası'!$F$2:$F$103,MATCH(C1951,'Qida bazası'!$A$2:$A$103,0))*D1951/100,"?"))</f>
        <v/>
      </c>
      <c r="H1951" s="19">
        <f>IF(OR(C1951="",D1951=""),"",IFERROR(INDEX('Qida bazası'!$G$2:$G$103,MATCH(C1951,'Qida bazası'!$A$2:$A$103,0))*D1951/100,"?"))</f>
        <v/>
      </c>
    </row>
    <row r="1952">
      <c r="A1952" s="21" t="n"/>
      <c r="E1952" s="18">
        <f>IF(OR(C1952="",D1952=""),"",IFERROR(INDEX('Qida bazası'!$D$2:$D$103,MATCH(C1952,'Qida bazası'!$A$2:$A$103,0))*D1952/100,"?"))</f>
        <v/>
      </c>
      <c r="F1952" s="19">
        <f>IF(OR(C1952="",D1952=""),"",IFERROR(INDEX('Qida bazası'!$E$2:$E$103,MATCH(C1952,'Qida bazası'!$A$2:$A$103,0))*D1952/100,"?"))</f>
        <v/>
      </c>
      <c r="G1952" s="19">
        <f>IF(OR(C1952="",D1952=""),"",IFERROR(INDEX('Qida bazası'!$F$2:$F$103,MATCH(C1952,'Qida bazası'!$A$2:$A$103,0))*D1952/100,"?"))</f>
        <v/>
      </c>
      <c r="H1952" s="19">
        <f>IF(OR(C1952="",D1952=""),"",IFERROR(INDEX('Qida bazası'!$G$2:$G$103,MATCH(C1952,'Qida bazası'!$A$2:$A$103,0))*D1952/100,"?"))</f>
        <v/>
      </c>
    </row>
    <row r="1953">
      <c r="A1953" s="21" t="n"/>
      <c r="E1953" s="18">
        <f>IF(OR(C1953="",D1953=""),"",IFERROR(INDEX('Qida bazası'!$D$2:$D$103,MATCH(C1953,'Qida bazası'!$A$2:$A$103,0))*D1953/100,"?"))</f>
        <v/>
      </c>
      <c r="F1953" s="19">
        <f>IF(OR(C1953="",D1953=""),"",IFERROR(INDEX('Qida bazası'!$E$2:$E$103,MATCH(C1953,'Qida bazası'!$A$2:$A$103,0))*D1953/100,"?"))</f>
        <v/>
      </c>
      <c r="G1953" s="19">
        <f>IF(OR(C1953="",D1953=""),"",IFERROR(INDEX('Qida bazası'!$F$2:$F$103,MATCH(C1953,'Qida bazası'!$A$2:$A$103,0))*D1953/100,"?"))</f>
        <v/>
      </c>
      <c r="H1953" s="19">
        <f>IF(OR(C1953="",D1953=""),"",IFERROR(INDEX('Qida bazası'!$G$2:$G$103,MATCH(C1953,'Qida bazası'!$A$2:$A$103,0))*D1953/100,"?"))</f>
        <v/>
      </c>
    </row>
    <row r="1954">
      <c r="A1954" s="21" t="n"/>
      <c r="E1954" s="18">
        <f>IF(OR(C1954="",D1954=""),"",IFERROR(INDEX('Qida bazası'!$D$2:$D$103,MATCH(C1954,'Qida bazası'!$A$2:$A$103,0))*D1954/100,"?"))</f>
        <v/>
      </c>
      <c r="F1954" s="19">
        <f>IF(OR(C1954="",D1954=""),"",IFERROR(INDEX('Qida bazası'!$E$2:$E$103,MATCH(C1954,'Qida bazası'!$A$2:$A$103,0))*D1954/100,"?"))</f>
        <v/>
      </c>
      <c r="G1954" s="19">
        <f>IF(OR(C1954="",D1954=""),"",IFERROR(INDEX('Qida bazası'!$F$2:$F$103,MATCH(C1954,'Qida bazası'!$A$2:$A$103,0))*D1954/100,"?"))</f>
        <v/>
      </c>
      <c r="H1954" s="19">
        <f>IF(OR(C1954="",D1954=""),"",IFERROR(INDEX('Qida bazası'!$G$2:$G$103,MATCH(C1954,'Qida bazası'!$A$2:$A$103,0))*D1954/100,"?"))</f>
        <v/>
      </c>
    </row>
    <row r="1955">
      <c r="A1955" s="21" t="n"/>
      <c r="E1955" s="18">
        <f>IF(OR(C1955="",D1955=""),"",IFERROR(INDEX('Qida bazası'!$D$2:$D$103,MATCH(C1955,'Qida bazası'!$A$2:$A$103,0))*D1955/100,"?"))</f>
        <v/>
      </c>
      <c r="F1955" s="19">
        <f>IF(OR(C1955="",D1955=""),"",IFERROR(INDEX('Qida bazası'!$E$2:$E$103,MATCH(C1955,'Qida bazası'!$A$2:$A$103,0))*D1955/100,"?"))</f>
        <v/>
      </c>
      <c r="G1955" s="19">
        <f>IF(OR(C1955="",D1955=""),"",IFERROR(INDEX('Qida bazası'!$F$2:$F$103,MATCH(C1955,'Qida bazası'!$A$2:$A$103,0))*D1955/100,"?"))</f>
        <v/>
      </c>
      <c r="H1955" s="19">
        <f>IF(OR(C1955="",D1955=""),"",IFERROR(INDEX('Qida bazası'!$G$2:$G$103,MATCH(C1955,'Qida bazası'!$A$2:$A$103,0))*D1955/100,"?"))</f>
        <v/>
      </c>
    </row>
    <row r="1956">
      <c r="A1956" s="21" t="n"/>
      <c r="E1956" s="18">
        <f>IF(OR(C1956="",D1956=""),"",IFERROR(INDEX('Qida bazası'!$D$2:$D$103,MATCH(C1956,'Qida bazası'!$A$2:$A$103,0))*D1956/100,"?"))</f>
        <v/>
      </c>
      <c r="F1956" s="19">
        <f>IF(OR(C1956="",D1956=""),"",IFERROR(INDEX('Qida bazası'!$E$2:$E$103,MATCH(C1956,'Qida bazası'!$A$2:$A$103,0))*D1956/100,"?"))</f>
        <v/>
      </c>
      <c r="G1956" s="19">
        <f>IF(OR(C1956="",D1956=""),"",IFERROR(INDEX('Qida bazası'!$F$2:$F$103,MATCH(C1956,'Qida bazası'!$A$2:$A$103,0))*D1956/100,"?"))</f>
        <v/>
      </c>
      <c r="H1956" s="19">
        <f>IF(OR(C1956="",D1956=""),"",IFERROR(INDEX('Qida bazası'!$G$2:$G$103,MATCH(C1956,'Qida bazası'!$A$2:$A$103,0))*D1956/100,"?"))</f>
        <v/>
      </c>
    </row>
    <row r="1957">
      <c r="A1957" s="21" t="n"/>
      <c r="E1957" s="18">
        <f>IF(OR(C1957="",D1957=""),"",IFERROR(INDEX('Qida bazası'!$D$2:$D$103,MATCH(C1957,'Qida bazası'!$A$2:$A$103,0))*D1957/100,"?"))</f>
        <v/>
      </c>
      <c r="F1957" s="19">
        <f>IF(OR(C1957="",D1957=""),"",IFERROR(INDEX('Qida bazası'!$E$2:$E$103,MATCH(C1957,'Qida bazası'!$A$2:$A$103,0))*D1957/100,"?"))</f>
        <v/>
      </c>
      <c r="G1957" s="19">
        <f>IF(OR(C1957="",D1957=""),"",IFERROR(INDEX('Qida bazası'!$F$2:$F$103,MATCH(C1957,'Qida bazası'!$A$2:$A$103,0))*D1957/100,"?"))</f>
        <v/>
      </c>
      <c r="H1957" s="19">
        <f>IF(OR(C1957="",D1957=""),"",IFERROR(INDEX('Qida bazası'!$G$2:$G$103,MATCH(C1957,'Qida bazası'!$A$2:$A$103,0))*D1957/100,"?"))</f>
        <v/>
      </c>
    </row>
    <row r="1958">
      <c r="A1958" s="21" t="n"/>
      <c r="E1958" s="18">
        <f>IF(OR(C1958="",D1958=""),"",IFERROR(INDEX('Qida bazası'!$D$2:$D$103,MATCH(C1958,'Qida bazası'!$A$2:$A$103,0))*D1958/100,"?"))</f>
        <v/>
      </c>
      <c r="F1958" s="19">
        <f>IF(OR(C1958="",D1958=""),"",IFERROR(INDEX('Qida bazası'!$E$2:$E$103,MATCH(C1958,'Qida bazası'!$A$2:$A$103,0))*D1958/100,"?"))</f>
        <v/>
      </c>
      <c r="G1958" s="19">
        <f>IF(OR(C1958="",D1958=""),"",IFERROR(INDEX('Qida bazası'!$F$2:$F$103,MATCH(C1958,'Qida bazası'!$A$2:$A$103,0))*D1958/100,"?"))</f>
        <v/>
      </c>
      <c r="H1958" s="19">
        <f>IF(OR(C1958="",D1958=""),"",IFERROR(INDEX('Qida bazası'!$G$2:$G$103,MATCH(C1958,'Qida bazası'!$A$2:$A$103,0))*D1958/100,"?"))</f>
        <v/>
      </c>
    </row>
    <row r="1959">
      <c r="A1959" s="21" t="n"/>
      <c r="E1959" s="18">
        <f>IF(OR(C1959="",D1959=""),"",IFERROR(INDEX('Qida bazası'!$D$2:$D$103,MATCH(C1959,'Qida bazası'!$A$2:$A$103,0))*D1959/100,"?"))</f>
        <v/>
      </c>
      <c r="F1959" s="19">
        <f>IF(OR(C1959="",D1959=""),"",IFERROR(INDEX('Qida bazası'!$E$2:$E$103,MATCH(C1959,'Qida bazası'!$A$2:$A$103,0))*D1959/100,"?"))</f>
        <v/>
      </c>
      <c r="G1959" s="19">
        <f>IF(OR(C1959="",D1959=""),"",IFERROR(INDEX('Qida bazası'!$F$2:$F$103,MATCH(C1959,'Qida bazası'!$A$2:$A$103,0))*D1959/100,"?"))</f>
        <v/>
      </c>
      <c r="H1959" s="19">
        <f>IF(OR(C1959="",D1959=""),"",IFERROR(INDEX('Qida bazası'!$G$2:$G$103,MATCH(C1959,'Qida bazası'!$A$2:$A$103,0))*D1959/100,"?"))</f>
        <v/>
      </c>
    </row>
    <row r="1960">
      <c r="A1960" s="21" t="n"/>
      <c r="E1960" s="18">
        <f>IF(OR(C1960="",D1960=""),"",IFERROR(INDEX('Qida bazası'!$D$2:$D$103,MATCH(C1960,'Qida bazası'!$A$2:$A$103,0))*D1960/100,"?"))</f>
        <v/>
      </c>
      <c r="F1960" s="19">
        <f>IF(OR(C1960="",D1960=""),"",IFERROR(INDEX('Qida bazası'!$E$2:$E$103,MATCH(C1960,'Qida bazası'!$A$2:$A$103,0))*D1960/100,"?"))</f>
        <v/>
      </c>
      <c r="G1960" s="19">
        <f>IF(OR(C1960="",D1960=""),"",IFERROR(INDEX('Qida bazası'!$F$2:$F$103,MATCH(C1960,'Qida bazası'!$A$2:$A$103,0))*D1960/100,"?"))</f>
        <v/>
      </c>
      <c r="H1960" s="19">
        <f>IF(OR(C1960="",D1960=""),"",IFERROR(INDEX('Qida bazası'!$G$2:$G$103,MATCH(C1960,'Qida bazası'!$A$2:$A$103,0))*D1960/100,"?"))</f>
        <v/>
      </c>
    </row>
    <row r="1961">
      <c r="A1961" s="21" t="n"/>
      <c r="E1961" s="18">
        <f>IF(OR(C1961="",D1961=""),"",IFERROR(INDEX('Qida bazası'!$D$2:$D$103,MATCH(C1961,'Qida bazası'!$A$2:$A$103,0))*D1961/100,"?"))</f>
        <v/>
      </c>
      <c r="F1961" s="19">
        <f>IF(OR(C1961="",D1961=""),"",IFERROR(INDEX('Qida bazası'!$E$2:$E$103,MATCH(C1961,'Qida bazası'!$A$2:$A$103,0))*D1961/100,"?"))</f>
        <v/>
      </c>
      <c r="G1961" s="19">
        <f>IF(OR(C1961="",D1961=""),"",IFERROR(INDEX('Qida bazası'!$F$2:$F$103,MATCH(C1961,'Qida bazası'!$A$2:$A$103,0))*D1961/100,"?"))</f>
        <v/>
      </c>
      <c r="H1961" s="19">
        <f>IF(OR(C1961="",D1961=""),"",IFERROR(INDEX('Qida bazası'!$G$2:$G$103,MATCH(C1961,'Qida bazası'!$A$2:$A$103,0))*D1961/100,"?"))</f>
        <v/>
      </c>
    </row>
    <row r="1962">
      <c r="A1962" s="21" t="n"/>
      <c r="E1962" s="18">
        <f>IF(OR(C1962="",D1962=""),"",IFERROR(INDEX('Qida bazası'!$D$2:$D$103,MATCH(C1962,'Qida bazası'!$A$2:$A$103,0))*D1962/100,"?"))</f>
        <v/>
      </c>
      <c r="F1962" s="19">
        <f>IF(OR(C1962="",D1962=""),"",IFERROR(INDEX('Qida bazası'!$E$2:$E$103,MATCH(C1962,'Qida bazası'!$A$2:$A$103,0))*D1962/100,"?"))</f>
        <v/>
      </c>
      <c r="G1962" s="19">
        <f>IF(OR(C1962="",D1962=""),"",IFERROR(INDEX('Qida bazası'!$F$2:$F$103,MATCH(C1962,'Qida bazası'!$A$2:$A$103,0))*D1962/100,"?"))</f>
        <v/>
      </c>
      <c r="H1962" s="19">
        <f>IF(OR(C1962="",D1962=""),"",IFERROR(INDEX('Qida bazası'!$G$2:$G$103,MATCH(C1962,'Qida bazası'!$A$2:$A$103,0))*D1962/100,"?"))</f>
        <v/>
      </c>
    </row>
    <row r="1963">
      <c r="A1963" s="21" t="n"/>
      <c r="E1963" s="18">
        <f>IF(OR(C1963="",D1963=""),"",IFERROR(INDEX('Qida bazası'!$D$2:$D$103,MATCH(C1963,'Qida bazası'!$A$2:$A$103,0))*D1963/100,"?"))</f>
        <v/>
      </c>
      <c r="F1963" s="19">
        <f>IF(OR(C1963="",D1963=""),"",IFERROR(INDEX('Qida bazası'!$E$2:$E$103,MATCH(C1963,'Qida bazası'!$A$2:$A$103,0))*D1963/100,"?"))</f>
        <v/>
      </c>
      <c r="G1963" s="19">
        <f>IF(OR(C1963="",D1963=""),"",IFERROR(INDEX('Qida bazası'!$F$2:$F$103,MATCH(C1963,'Qida bazası'!$A$2:$A$103,0))*D1963/100,"?"))</f>
        <v/>
      </c>
      <c r="H1963" s="19">
        <f>IF(OR(C1963="",D1963=""),"",IFERROR(INDEX('Qida bazası'!$G$2:$G$103,MATCH(C1963,'Qida bazası'!$A$2:$A$103,0))*D1963/100,"?"))</f>
        <v/>
      </c>
    </row>
    <row r="1964">
      <c r="A1964" s="21" t="n"/>
      <c r="E1964" s="18">
        <f>IF(OR(C1964="",D1964=""),"",IFERROR(INDEX('Qida bazası'!$D$2:$D$103,MATCH(C1964,'Qida bazası'!$A$2:$A$103,0))*D1964/100,"?"))</f>
        <v/>
      </c>
      <c r="F1964" s="19">
        <f>IF(OR(C1964="",D1964=""),"",IFERROR(INDEX('Qida bazası'!$E$2:$E$103,MATCH(C1964,'Qida bazası'!$A$2:$A$103,0))*D1964/100,"?"))</f>
        <v/>
      </c>
      <c r="G1964" s="19">
        <f>IF(OR(C1964="",D1964=""),"",IFERROR(INDEX('Qida bazası'!$F$2:$F$103,MATCH(C1964,'Qida bazası'!$A$2:$A$103,0))*D1964/100,"?"))</f>
        <v/>
      </c>
      <c r="H1964" s="19">
        <f>IF(OR(C1964="",D1964=""),"",IFERROR(INDEX('Qida bazası'!$G$2:$G$103,MATCH(C1964,'Qida bazası'!$A$2:$A$103,0))*D1964/100,"?"))</f>
        <v/>
      </c>
    </row>
    <row r="1965">
      <c r="A1965" s="21" t="n"/>
      <c r="E1965" s="18">
        <f>IF(OR(C1965="",D1965=""),"",IFERROR(INDEX('Qida bazası'!$D$2:$D$103,MATCH(C1965,'Qida bazası'!$A$2:$A$103,0))*D1965/100,"?"))</f>
        <v/>
      </c>
      <c r="F1965" s="19">
        <f>IF(OR(C1965="",D1965=""),"",IFERROR(INDEX('Qida bazası'!$E$2:$E$103,MATCH(C1965,'Qida bazası'!$A$2:$A$103,0))*D1965/100,"?"))</f>
        <v/>
      </c>
      <c r="G1965" s="19">
        <f>IF(OR(C1965="",D1965=""),"",IFERROR(INDEX('Qida bazası'!$F$2:$F$103,MATCH(C1965,'Qida bazası'!$A$2:$A$103,0))*D1965/100,"?"))</f>
        <v/>
      </c>
      <c r="H1965" s="19">
        <f>IF(OR(C1965="",D1965=""),"",IFERROR(INDEX('Qida bazası'!$G$2:$G$103,MATCH(C1965,'Qida bazası'!$A$2:$A$103,0))*D1965/100,"?"))</f>
        <v/>
      </c>
    </row>
    <row r="1966">
      <c r="A1966" s="21" t="n"/>
      <c r="E1966" s="18">
        <f>IF(OR(C1966="",D1966=""),"",IFERROR(INDEX('Qida bazası'!$D$2:$D$103,MATCH(C1966,'Qida bazası'!$A$2:$A$103,0))*D1966/100,"?"))</f>
        <v/>
      </c>
      <c r="F1966" s="19">
        <f>IF(OR(C1966="",D1966=""),"",IFERROR(INDEX('Qida bazası'!$E$2:$E$103,MATCH(C1966,'Qida bazası'!$A$2:$A$103,0))*D1966/100,"?"))</f>
        <v/>
      </c>
      <c r="G1966" s="19">
        <f>IF(OR(C1966="",D1966=""),"",IFERROR(INDEX('Qida bazası'!$F$2:$F$103,MATCH(C1966,'Qida bazası'!$A$2:$A$103,0))*D1966/100,"?"))</f>
        <v/>
      </c>
      <c r="H1966" s="19">
        <f>IF(OR(C1966="",D1966=""),"",IFERROR(INDEX('Qida bazası'!$G$2:$G$103,MATCH(C1966,'Qida bazası'!$A$2:$A$103,0))*D1966/100,"?"))</f>
        <v/>
      </c>
    </row>
    <row r="1967">
      <c r="A1967" s="21" t="n"/>
      <c r="E1967" s="18">
        <f>IF(OR(C1967="",D1967=""),"",IFERROR(INDEX('Qida bazası'!$D$2:$D$103,MATCH(C1967,'Qida bazası'!$A$2:$A$103,0))*D1967/100,"?"))</f>
        <v/>
      </c>
      <c r="F1967" s="19">
        <f>IF(OR(C1967="",D1967=""),"",IFERROR(INDEX('Qida bazası'!$E$2:$E$103,MATCH(C1967,'Qida bazası'!$A$2:$A$103,0))*D1967/100,"?"))</f>
        <v/>
      </c>
      <c r="G1967" s="19">
        <f>IF(OR(C1967="",D1967=""),"",IFERROR(INDEX('Qida bazası'!$F$2:$F$103,MATCH(C1967,'Qida bazası'!$A$2:$A$103,0))*D1967/100,"?"))</f>
        <v/>
      </c>
      <c r="H1967" s="19">
        <f>IF(OR(C1967="",D1967=""),"",IFERROR(INDEX('Qida bazası'!$G$2:$G$103,MATCH(C1967,'Qida bazası'!$A$2:$A$103,0))*D1967/100,"?"))</f>
        <v/>
      </c>
    </row>
    <row r="1968">
      <c r="A1968" s="21" t="n"/>
      <c r="E1968" s="18">
        <f>IF(OR(C1968="",D1968=""),"",IFERROR(INDEX('Qida bazası'!$D$2:$D$103,MATCH(C1968,'Qida bazası'!$A$2:$A$103,0))*D1968/100,"?"))</f>
        <v/>
      </c>
      <c r="F1968" s="19">
        <f>IF(OR(C1968="",D1968=""),"",IFERROR(INDEX('Qida bazası'!$E$2:$E$103,MATCH(C1968,'Qida bazası'!$A$2:$A$103,0))*D1968/100,"?"))</f>
        <v/>
      </c>
      <c r="G1968" s="19">
        <f>IF(OR(C1968="",D1968=""),"",IFERROR(INDEX('Qida bazası'!$F$2:$F$103,MATCH(C1968,'Qida bazası'!$A$2:$A$103,0))*D1968/100,"?"))</f>
        <v/>
      </c>
      <c r="H1968" s="19">
        <f>IF(OR(C1968="",D1968=""),"",IFERROR(INDEX('Qida bazası'!$G$2:$G$103,MATCH(C1968,'Qida bazası'!$A$2:$A$103,0))*D1968/100,"?"))</f>
        <v/>
      </c>
    </row>
    <row r="1969">
      <c r="A1969" s="21" t="n"/>
      <c r="E1969" s="18">
        <f>IF(OR(C1969="",D1969=""),"",IFERROR(INDEX('Qida bazası'!$D$2:$D$103,MATCH(C1969,'Qida bazası'!$A$2:$A$103,0))*D1969/100,"?"))</f>
        <v/>
      </c>
      <c r="F1969" s="19">
        <f>IF(OR(C1969="",D1969=""),"",IFERROR(INDEX('Qida bazası'!$E$2:$E$103,MATCH(C1969,'Qida bazası'!$A$2:$A$103,0))*D1969/100,"?"))</f>
        <v/>
      </c>
      <c r="G1969" s="19">
        <f>IF(OR(C1969="",D1969=""),"",IFERROR(INDEX('Qida bazası'!$F$2:$F$103,MATCH(C1969,'Qida bazası'!$A$2:$A$103,0))*D1969/100,"?"))</f>
        <v/>
      </c>
      <c r="H1969" s="19">
        <f>IF(OR(C1969="",D1969=""),"",IFERROR(INDEX('Qida bazası'!$G$2:$G$103,MATCH(C1969,'Qida bazası'!$A$2:$A$103,0))*D1969/100,"?"))</f>
        <v/>
      </c>
    </row>
    <row r="1970">
      <c r="A1970" s="21" t="n"/>
      <c r="E1970" s="18">
        <f>IF(OR(C1970="",D1970=""),"",IFERROR(INDEX('Qida bazası'!$D$2:$D$103,MATCH(C1970,'Qida bazası'!$A$2:$A$103,0))*D1970/100,"?"))</f>
        <v/>
      </c>
      <c r="F1970" s="19">
        <f>IF(OR(C1970="",D1970=""),"",IFERROR(INDEX('Qida bazası'!$E$2:$E$103,MATCH(C1970,'Qida bazası'!$A$2:$A$103,0))*D1970/100,"?"))</f>
        <v/>
      </c>
      <c r="G1970" s="19">
        <f>IF(OR(C1970="",D1970=""),"",IFERROR(INDEX('Qida bazası'!$F$2:$F$103,MATCH(C1970,'Qida bazası'!$A$2:$A$103,0))*D1970/100,"?"))</f>
        <v/>
      </c>
      <c r="H1970" s="19">
        <f>IF(OR(C1970="",D1970=""),"",IFERROR(INDEX('Qida bazası'!$G$2:$G$103,MATCH(C1970,'Qida bazası'!$A$2:$A$103,0))*D1970/100,"?"))</f>
        <v/>
      </c>
    </row>
    <row r="1971">
      <c r="A1971" s="21" t="n"/>
      <c r="E1971" s="18">
        <f>IF(OR(C1971="",D1971=""),"",IFERROR(INDEX('Qida bazası'!$D$2:$D$103,MATCH(C1971,'Qida bazası'!$A$2:$A$103,0))*D1971/100,"?"))</f>
        <v/>
      </c>
      <c r="F1971" s="19">
        <f>IF(OR(C1971="",D1971=""),"",IFERROR(INDEX('Qida bazası'!$E$2:$E$103,MATCH(C1971,'Qida bazası'!$A$2:$A$103,0))*D1971/100,"?"))</f>
        <v/>
      </c>
      <c r="G1971" s="19">
        <f>IF(OR(C1971="",D1971=""),"",IFERROR(INDEX('Qida bazası'!$F$2:$F$103,MATCH(C1971,'Qida bazası'!$A$2:$A$103,0))*D1971/100,"?"))</f>
        <v/>
      </c>
      <c r="H1971" s="19">
        <f>IF(OR(C1971="",D1971=""),"",IFERROR(INDEX('Qida bazası'!$G$2:$G$103,MATCH(C1971,'Qida bazası'!$A$2:$A$103,0))*D1971/100,"?"))</f>
        <v/>
      </c>
    </row>
    <row r="1972">
      <c r="A1972" s="21" t="n"/>
      <c r="E1972" s="18">
        <f>IF(OR(C1972="",D1972=""),"",IFERROR(INDEX('Qida bazası'!$D$2:$D$103,MATCH(C1972,'Qida bazası'!$A$2:$A$103,0))*D1972/100,"?"))</f>
        <v/>
      </c>
      <c r="F1972" s="19">
        <f>IF(OR(C1972="",D1972=""),"",IFERROR(INDEX('Qida bazası'!$E$2:$E$103,MATCH(C1972,'Qida bazası'!$A$2:$A$103,0))*D1972/100,"?"))</f>
        <v/>
      </c>
      <c r="G1972" s="19">
        <f>IF(OR(C1972="",D1972=""),"",IFERROR(INDEX('Qida bazası'!$F$2:$F$103,MATCH(C1972,'Qida bazası'!$A$2:$A$103,0))*D1972/100,"?"))</f>
        <v/>
      </c>
      <c r="H1972" s="19">
        <f>IF(OR(C1972="",D1972=""),"",IFERROR(INDEX('Qida bazası'!$G$2:$G$103,MATCH(C1972,'Qida bazası'!$A$2:$A$103,0))*D1972/100,"?"))</f>
        <v/>
      </c>
    </row>
    <row r="1973">
      <c r="A1973" s="21" t="n"/>
      <c r="E1973" s="18">
        <f>IF(OR(C1973="",D1973=""),"",IFERROR(INDEX('Qida bazası'!$D$2:$D$103,MATCH(C1973,'Qida bazası'!$A$2:$A$103,0))*D1973/100,"?"))</f>
        <v/>
      </c>
      <c r="F1973" s="19">
        <f>IF(OR(C1973="",D1973=""),"",IFERROR(INDEX('Qida bazası'!$E$2:$E$103,MATCH(C1973,'Qida bazası'!$A$2:$A$103,0))*D1973/100,"?"))</f>
        <v/>
      </c>
      <c r="G1973" s="19">
        <f>IF(OR(C1973="",D1973=""),"",IFERROR(INDEX('Qida bazası'!$F$2:$F$103,MATCH(C1973,'Qida bazası'!$A$2:$A$103,0))*D1973/100,"?"))</f>
        <v/>
      </c>
      <c r="H1973" s="19">
        <f>IF(OR(C1973="",D1973=""),"",IFERROR(INDEX('Qida bazası'!$G$2:$G$103,MATCH(C1973,'Qida bazası'!$A$2:$A$103,0))*D1973/100,"?"))</f>
        <v/>
      </c>
    </row>
    <row r="1974">
      <c r="A1974" s="21" t="n"/>
      <c r="E1974" s="18">
        <f>IF(OR(C1974="",D1974=""),"",IFERROR(INDEX('Qida bazası'!$D$2:$D$103,MATCH(C1974,'Qida bazası'!$A$2:$A$103,0))*D1974/100,"?"))</f>
        <v/>
      </c>
      <c r="F1974" s="19">
        <f>IF(OR(C1974="",D1974=""),"",IFERROR(INDEX('Qida bazası'!$E$2:$E$103,MATCH(C1974,'Qida bazası'!$A$2:$A$103,0))*D1974/100,"?"))</f>
        <v/>
      </c>
      <c r="G1974" s="19">
        <f>IF(OR(C1974="",D1974=""),"",IFERROR(INDEX('Qida bazası'!$F$2:$F$103,MATCH(C1974,'Qida bazası'!$A$2:$A$103,0))*D1974/100,"?"))</f>
        <v/>
      </c>
      <c r="H1974" s="19">
        <f>IF(OR(C1974="",D1974=""),"",IFERROR(INDEX('Qida bazası'!$G$2:$G$103,MATCH(C1974,'Qida bazası'!$A$2:$A$103,0))*D1974/100,"?"))</f>
        <v/>
      </c>
    </row>
    <row r="1975">
      <c r="A1975" s="21" t="n"/>
      <c r="E1975" s="18">
        <f>IF(OR(C1975="",D1975=""),"",IFERROR(INDEX('Qida bazası'!$D$2:$D$103,MATCH(C1975,'Qida bazası'!$A$2:$A$103,0))*D1975/100,"?"))</f>
        <v/>
      </c>
      <c r="F1975" s="19">
        <f>IF(OR(C1975="",D1975=""),"",IFERROR(INDEX('Qida bazası'!$E$2:$E$103,MATCH(C1975,'Qida bazası'!$A$2:$A$103,0))*D1975/100,"?"))</f>
        <v/>
      </c>
      <c r="G1975" s="19">
        <f>IF(OR(C1975="",D1975=""),"",IFERROR(INDEX('Qida bazası'!$F$2:$F$103,MATCH(C1975,'Qida bazası'!$A$2:$A$103,0))*D1975/100,"?"))</f>
        <v/>
      </c>
      <c r="H1975" s="19">
        <f>IF(OR(C1975="",D1975=""),"",IFERROR(INDEX('Qida bazası'!$G$2:$G$103,MATCH(C1975,'Qida bazası'!$A$2:$A$103,0))*D1975/100,"?"))</f>
        <v/>
      </c>
    </row>
    <row r="1976">
      <c r="A1976" s="21" t="n"/>
      <c r="E1976" s="18">
        <f>IF(OR(C1976="",D1976=""),"",IFERROR(INDEX('Qida bazası'!$D$2:$D$103,MATCH(C1976,'Qida bazası'!$A$2:$A$103,0))*D1976/100,"?"))</f>
        <v/>
      </c>
      <c r="F1976" s="19">
        <f>IF(OR(C1976="",D1976=""),"",IFERROR(INDEX('Qida bazası'!$E$2:$E$103,MATCH(C1976,'Qida bazası'!$A$2:$A$103,0))*D1976/100,"?"))</f>
        <v/>
      </c>
      <c r="G1976" s="19">
        <f>IF(OR(C1976="",D1976=""),"",IFERROR(INDEX('Qida bazası'!$F$2:$F$103,MATCH(C1976,'Qida bazası'!$A$2:$A$103,0))*D1976/100,"?"))</f>
        <v/>
      </c>
      <c r="H1976" s="19">
        <f>IF(OR(C1976="",D1976=""),"",IFERROR(INDEX('Qida bazası'!$G$2:$G$103,MATCH(C1976,'Qida bazası'!$A$2:$A$103,0))*D1976/100,"?"))</f>
        <v/>
      </c>
    </row>
    <row r="1977">
      <c r="A1977" s="21" t="n"/>
      <c r="E1977" s="18">
        <f>IF(OR(C1977="",D1977=""),"",IFERROR(INDEX('Qida bazası'!$D$2:$D$103,MATCH(C1977,'Qida bazası'!$A$2:$A$103,0))*D1977/100,"?"))</f>
        <v/>
      </c>
      <c r="F1977" s="19">
        <f>IF(OR(C1977="",D1977=""),"",IFERROR(INDEX('Qida bazası'!$E$2:$E$103,MATCH(C1977,'Qida bazası'!$A$2:$A$103,0))*D1977/100,"?"))</f>
        <v/>
      </c>
      <c r="G1977" s="19">
        <f>IF(OR(C1977="",D1977=""),"",IFERROR(INDEX('Qida bazası'!$F$2:$F$103,MATCH(C1977,'Qida bazası'!$A$2:$A$103,0))*D1977/100,"?"))</f>
        <v/>
      </c>
      <c r="H1977" s="19">
        <f>IF(OR(C1977="",D1977=""),"",IFERROR(INDEX('Qida bazası'!$G$2:$G$103,MATCH(C1977,'Qida bazası'!$A$2:$A$103,0))*D1977/100,"?"))</f>
        <v/>
      </c>
    </row>
    <row r="1978">
      <c r="A1978" s="21" t="n"/>
      <c r="E1978" s="18">
        <f>IF(OR(C1978="",D1978=""),"",IFERROR(INDEX('Qida bazası'!$D$2:$D$103,MATCH(C1978,'Qida bazası'!$A$2:$A$103,0))*D1978/100,"?"))</f>
        <v/>
      </c>
      <c r="F1978" s="19">
        <f>IF(OR(C1978="",D1978=""),"",IFERROR(INDEX('Qida bazası'!$E$2:$E$103,MATCH(C1978,'Qida bazası'!$A$2:$A$103,0))*D1978/100,"?"))</f>
        <v/>
      </c>
      <c r="G1978" s="19">
        <f>IF(OR(C1978="",D1978=""),"",IFERROR(INDEX('Qida bazası'!$F$2:$F$103,MATCH(C1978,'Qida bazası'!$A$2:$A$103,0))*D1978/100,"?"))</f>
        <v/>
      </c>
      <c r="H1978" s="19">
        <f>IF(OR(C1978="",D1978=""),"",IFERROR(INDEX('Qida bazası'!$G$2:$G$103,MATCH(C1978,'Qida bazası'!$A$2:$A$103,0))*D1978/100,"?"))</f>
        <v/>
      </c>
    </row>
    <row r="1979">
      <c r="A1979" s="21" t="n"/>
      <c r="E1979" s="18">
        <f>IF(OR(C1979="",D1979=""),"",IFERROR(INDEX('Qida bazası'!$D$2:$D$103,MATCH(C1979,'Qida bazası'!$A$2:$A$103,0))*D1979/100,"?"))</f>
        <v/>
      </c>
      <c r="F1979" s="19">
        <f>IF(OR(C1979="",D1979=""),"",IFERROR(INDEX('Qida bazası'!$E$2:$E$103,MATCH(C1979,'Qida bazası'!$A$2:$A$103,0))*D1979/100,"?"))</f>
        <v/>
      </c>
      <c r="G1979" s="19">
        <f>IF(OR(C1979="",D1979=""),"",IFERROR(INDEX('Qida bazası'!$F$2:$F$103,MATCH(C1979,'Qida bazası'!$A$2:$A$103,0))*D1979/100,"?"))</f>
        <v/>
      </c>
      <c r="H1979" s="19">
        <f>IF(OR(C1979="",D1979=""),"",IFERROR(INDEX('Qida bazası'!$G$2:$G$103,MATCH(C1979,'Qida bazası'!$A$2:$A$103,0))*D1979/100,"?"))</f>
        <v/>
      </c>
    </row>
    <row r="1980">
      <c r="A1980" s="21" t="n"/>
      <c r="E1980" s="18">
        <f>IF(OR(C1980="",D1980=""),"",IFERROR(INDEX('Qida bazası'!$D$2:$D$103,MATCH(C1980,'Qida bazası'!$A$2:$A$103,0))*D1980/100,"?"))</f>
        <v/>
      </c>
      <c r="F1980" s="19">
        <f>IF(OR(C1980="",D1980=""),"",IFERROR(INDEX('Qida bazası'!$E$2:$E$103,MATCH(C1980,'Qida bazası'!$A$2:$A$103,0))*D1980/100,"?"))</f>
        <v/>
      </c>
      <c r="G1980" s="19">
        <f>IF(OR(C1980="",D1980=""),"",IFERROR(INDEX('Qida bazası'!$F$2:$F$103,MATCH(C1980,'Qida bazası'!$A$2:$A$103,0))*D1980/100,"?"))</f>
        <v/>
      </c>
      <c r="H1980" s="19">
        <f>IF(OR(C1980="",D1980=""),"",IFERROR(INDEX('Qida bazası'!$G$2:$G$103,MATCH(C1980,'Qida bazası'!$A$2:$A$103,0))*D1980/100,"?"))</f>
        <v/>
      </c>
    </row>
    <row r="1981">
      <c r="A1981" s="21" t="n"/>
      <c r="E1981" s="18">
        <f>IF(OR(C1981="",D1981=""),"",IFERROR(INDEX('Qida bazası'!$D$2:$D$103,MATCH(C1981,'Qida bazası'!$A$2:$A$103,0))*D1981/100,"?"))</f>
        <v/>
      </c>
      <c r="F1981" s="19">
        <f>IF(OR(C1981="",D1981=""),"",IFERROR(INDEX('Qida bazası'!$E$2:$E$103,MATCH(C1981,'Qida bazası'!$A$2:$A$103,0))*D1981/100,"?"))</f>
        <v/>
      </c>
      <c r="G1981" s="19">
        <f>IF(OR(C1981="",D1981=""),"",IFERROR(INDEX('Qida bazası'!$F$2:$F$103,MATCH(C1981,'Qida bazası'!$A$2:$A$103,0))*D1981/100,"?"))</f>
        <v/>
      </c>
      <c r="H1981" s="19">
        <f>IF(OR(C1981="",D1981=""),"",IFERROR(INDEX('Qida bazası'!$G$2:$G$103,MATCH(C1981,'Qida bazası'!$A$2:$A$103,0))*D1981/100,"?"))</f>
        <v/>
      </c>
    </row>
    <row r="1982">
      <c r="A1982" s="21" t="n"/>
      <c r="E1982" s="18">
        <f>IF(OR(C1982="",D1982=""),"",IFERROR(INDEX('Qida bazası'!$D$2:$D$103,MATCH(C1982,'Qida bazası'!$A$2:$A$103,0))*D1982/100,"?"))</f>
        <v/>
      </c>
      <c r="F1982" s="19">
        <f>IF(OR(C1982="",D1982=""),"",IFERROR(INDEX('Qida bazası'!$E$2:$E$103,MATCH(C1982,'Qida bazası'!$A$2:$A$103,0))*D1982/100,"?"))</f>
        <v/>
      </c>
      <c r="G1982" s="19">
        <f>IF(OR(C1982="",D1982=""),"",IFERROR(INDEX('Qida bazası'!$F$2:$F$103,MATCH(C1982,'Qida bazası'!$A$2:$A$103,0))*D1982/100,"?"))</f>
        <v/>
      </c>
      <c r="H1982" s="19">
        <f>IF(OR(C1982="",D1982=""),"",IFERROR(INDEX('Qida bazası'!$G$2:$G$103,MATCH(C1982,'Qida bazası'!$A$2:$A$103,0))*D1982/100,"?"))</f>
        <v/>
      </c>
    </row>
    <row r="1983">
      <c r="A1983" s="21" t="n"/>
      <c r="E1983" s="18">
        <f>IF(OR(C1983="",D1983=""),"",IFERROR(INDEX('Qida bazası'!$D$2:$D$103,MATCH(C1983,'Qida bazası'!$A$2:$A$103,0))*D1983/100,"?"))</f>
        <v/>
      </c>
      <c r="F1983" s="19">
        <f>IF(OR(C1983="",D1983=""),"",IFERROR(INDEX('Qida bazası'!$E$2:$E$103,MATCH(C1983,'Qida bazası'!$A$2:$A$103,0))*D1983/100,"?"))</f>
        <v/>
      </c>
      <c r="G1983" s="19">
        <f>IF(OR(C1983="",D1983=""),"",IFERROR(INDEX('Qida bazası'!$F$2:$F$103,MATCH(C1983,'Qida bazası'!$A$2:$A$103,0))*D1983/100,"?"))</f>
        <v/>
      </c>
      <c r="H1983" s="19">
        <f>IF(OR(C1983="",D1983=""),"",IFERROR(INDEX('Qida bazası'!$G$2:$G$103,MATCH(C1983,'Qida bazası'!$A$2:$A$103,0))*D1983/100,"?"))</f>
        <v/>
      </c>
    </row>
    <row r="1984">
      <c r="A1984" s="21" t="n"/>
      <c r="E1984" s="18">
        <f>IF(OR(C1984="",D1984=""),"",IFERROR(INDEX('Qida bazası'!$D$2:$D$103,MATCH(C1984,'Qida bazası'!$A$2:$A$103,0))*D1984/100,"?"))</f>
        <v/>
      </c>
      <c r="F1984" s="19">
        <f>IF(OR(C1984="",D1984=""),"",IFERROR(INDEX('Qida bazası'!$E$2:$E$103,MATCH(C1984,'Qida bazası'!$A$2:$A$103,0))*D1984/100,"?"))</f>
        <v/>
      </c>
      <c r="G1984" s="19">
        <f>IF(OR(C1984="",D1984=""),"",IFERROR(INDEX('Qida bazası'!$F$2:$F$103,MATCH(C1984,'Qida bazası'!$A$2:$A$103,0))*D1984/100,"?"))</f>
        <v/>
      </c>
      <c r="H1984" s="19">
        <f>IF(OR(C1984="",D1984=""),"",IFERROR(INDEX('Qida bazası'!$G$2:$G$103,MATCH(C1984,'Qida bazası'!$A$2:$A$103,0))*D1984/100,"?"))</f>
        <v/>
      </c>
    </row>
    <row r="1985">
      <c r="A1985" s="21" t="n"/>
      <c r="E1985" s="18">
        <f>IF(OR(C1985="",D1985=""),"",IFERROR(INDEX('Qida bazası'!$D$2:$D$103,MATCH(C1985,'Qida bazası'!$A$2:$A$103,0))*D1985/100,"?"))</f>
        <v/>
      </c>
      <c r="F1985" s="19">
        <f>IF(OR(C1985="",D1985=""),"",IFERROR(INDEX('Qida bazası'!$E$2:$E$103,MATCH(C1985,'Qida bazası'!$A$2:$A$103,0))*D1985/100,"?"))</f>
        <v/>
      </c>
      <c r="G1985" s="19">
        <f>IF(OR(C1985="",D1985=""),"",IFERROR(INDEX('Qida bazası'!$F$2:$F$103,MATCH(C1985,'Qida bazası'!$A$2:$A$103,0))*D1985/100,"?"))</f>
        <v/>
      </c>
      <c r="H1985" s="19">
        <f>IF(OR(C1985="",D1985=""),"",IFERROR(INDEX('Qida bazası'!$G$2:$G$103,MATCH(C1985,'Qida bazası'!$A$2:$A$103,0))*D1985/100,"?"))</f>
        <v/>
      </c>
    </row>
    <row r="1986">
      <c r="A1986" s="21" t="n"/>
      <c r="E1986" s="18">
        <f>IF(OR(C1986="",D1986=""),"",IFERROR(INDEX('Qida bazası'!$D$2:$D$103,MATCH(C1986,'Qida bazası'!$A$2:$A$103,0))*D1986/100,"?"))</f>
        <v/>
      </c>
      <c r="F1986" s="19">
        <f>IF(OR(C1986="",D1986=""),"",IFERROR(INDEX('Qida bazası'!$E$2:$E$103,MATCH(C1986,'Qida bazası'!$A$2:$A$103,0))*D1986/100,"?"))</f>
        <v/>
      </c>
      <c r="G1986" s="19">
        <f>IF(OR(C1986="",D1986=""),"",IFERROR(INDEX('Qida bazası'!$F$2:$F$103,MATCH(C1986,'Qida bazası'!$A$2:$A$103,0))*D1986/100,"?"))</f>
        <v/>
      </c>
      <c r="H1986" s="19">
        <f>IF(OR(C1986="",D1986=""),"",IFERROR(INDEX('Qida bazası'!$G$2:$G$103,MATCH(C1986,'Qida bazası'!$A$2:$A$103,0))*D1986/100,"?"))</f>
        <v/>
      </c>
    </row>
    <row r="1987">
      <c r="A1987" s="21" t="n"/>
      <c r="E1987" s="18">
        <f>IF(OR(C1987="",D1987=""),"",IFERROR(INDEX('Qida bazası'!$D$2:$D$103,MATCH(C1987,'Qida bazası'!$A$2:$A$103,0))*D1987/100,"?"))</f>
        <v/>
      </c>
      <c r="F1987" s="19">
        <f>IF(OR(C1987="",D1987=""),"",IFERROR(INDEX('Qida bazası'!$E$2:$E$103,MATCH(C1987,'Qida bazası'!$A$2:$A$103,0))*D1987/100,"?"))</f>
        <v/>
      </c>
      <c r="G1987" s="19">
        <f>IF(OR(C1987="",D1987=""),"",IFERROR(INDEX('Qida bazası'!$F$2:$F$103,MATCH(C1987,'Qida bazası'!$A$2:$A$103,0))*D1987/100,"?"))</f>
        <v/>
      </c>
      <c r="H1987" s="19">
        <f>IF(OR(C1987="",D1987=""),"",IFERROR(INDEX('Qida bazası'!$G$2:$G$103,MATCH(C1987,'Qida bazası'!$A$2:$A$103,0))*D1987/100,"?"))</f>
        <v/>
      </c>
    </row>
    <row r="1988">
      <c r="A1988" s="21" t="n"/>
      <c r="E1988" s="18">
        <f>IF(OR(C1988="",D1988=""),"",IFERROR(INDEX('Qida bazası'!$D$2:$D$103,MATCH(C1988,'Qida bazası'!$A$2:$A$103,0))*D1988/100,"?"))</f>
        <v/>
      </c>
      <c r="F1988" s="19">
        <f>IF(OR(C1988="",D1988=""),"",IFERROR(INDEX('Qida bazası'!$E$2:$E$103,MATCH(C1988,'Qida bazası'!$A$2:$A$103,0))*D1988/100,"?"))</f>
        <v/>
      </c>
      <c r="G1988" s="19">
        <f>IF(OR(C1988="",D1988=""),"",IFERROR(INDEX('Qida bazası'!$F$2:$F$103,MATCH(C1988,'Qida bazası'!$A$2:$A$103,0))*D1988/100,"?"))</f>
        <v/>
      </c>
      <c r="H1988" s="19">
        <f>IF(OR(C1988="",D1988=""),"",IFERROR(INDEX('Qida bazası'!$G$2:$G$103,MATCH(C1988,'Qida bazası'!$A$2:$A$103,0))*D1988/100,"?"))</f>
        <v/>
      </c>
    </row>
    <row r="1989">
      <c r="A1989" s="21" t="n"/>
      <c r="E1989" s="18">
        <f>IF(OR(C1989="",D1989=""),"",IFERROR(INDEX('Qida bazası'!$D$2:$D$103,MATCH(C1989,'Qida bazası'!$A$2:$A$103,0))*D1989/100,"?"))</f>
        <v/>
      </c>
      <c r="F1989" s="19">
        <f>IF(OR(C1989="",D1989=""),"",IFERROR(INDEX('Qida bazası'!$E$2:$E$103,MATCH(C1989,'Qida bazası'!$A$2:$A$103,0))*D1989/100,"?"))</f>
        <v/>
      </c>
      <c r="G1989" s="19">
        <f>IF(OR(C1989="",D1989=""),"",IFERROR(INDEX('Qida bazası'!$F$2:$F$103,MATCH(C1989,'Qida bazası'!$A$2:$A$103,0))*D1989/100,"?"))</f>
        <v/>
      </c>
      <c r="H1989" s="19">
        <f>IF(OR(C1989="",D1989=""),"",IFERROR(INDEX('Qida bazası'!$G$2:$G$103,MATCH(C1989,'Qida bazası'!$A$2:$A$103,0))*D1989/100,"?"))</f>
        <v/>
      </c>
    </row>
    <row r="1990">
      <c r="A1990" s="21" t="n"/>
      <c r="E1990" s="18">
        <f>IF(OR(C1990="",D1990=""),"",IFERROR(INDEX('Qida bazası'!$D$2:$D$103,MATCH(C1990,'Qida bazası'!$A$2:$A$103,0))*D1990/100,"?"))</f>
        <v/>
      </c>
      <c r="F1990" s="19">
        <f>IF(OR(C1990="",D1990=""),"",IFERROR(INDEX('Qida bazası'!$E$2:$E$103,MATCH(C1990,'Qida bazası'!$A$2:$A$103,0))*D1990/100,"?"))</f>
        <v/>
      </c>
      <c r="G1990" s="19">
        <f>IF(OR(C1990="",D1990=""),"",IFERROR(INDEX('Qida bazası'!$F$2:$F$103,MATCH(C1990,'Qida bazası'!$A$2:$A$103,0))*D1990/100,"?"))</f>
        <v/>
      </c>
      <c r="H1990" s="19">
        <f>IF(OR(C1990="",D1990=""),"",IFERROR(INDEX('Qida bazası'!$G$2:$G$103,MATCH(C1990,'Qida bazası'!$A$2:$A$103,0))*D1990/100,"?"))</f>
        <v/>
      </c>
    </row>
    <row r="1991">
      <c r="A1991" s="21" t="n"/>
      <c r="E1991" s="18">
        <f>IF(OR(C1991="",D1991=""),"",IFERROR(INDEX('Qida bazası'!$D$2:$D$103,MATCH(C1991,'Qida bazası'!$A$2:$A$103,0))*D1991/100,"?"))</f>
        <v/>
      </c>
      <c r="F1991" s="19">
        <f>IF(OR(C1991="",D1991=""),"",IFERROR(INDEX('Qida bazası'!$E$2:$E$103,MATCH(C1991,'Qida bazası'!$A$2:$A$103,0))*D1991/100,"?"))</f>
        <v/>
      </c>
      <c r="G1991" s="19">
        <f>IF(OR(C1991="",D1991=""),"",IFERROR(INDEX('Qida bazası'!$F$2:$F$103,MATCH(C1991,'Qida bazası'!$A$2:$A$103,0))*D1991/100,"?"))</f>
        <v/>
      </c>
      <c r="H1991" s="19">
        <f>IF(OR(C1991="",D1991=""),"",IFERROR(INDEX('Qida bazası'!$G$2:$G$103,MATCH(C1991,'Qida bazası'!$A$2:$A$103,0))*D1991/100,"?"))</f>
        <v/>
      </c>
    </row>
    <row r="1992">
      <c r="A1992" s="21" t="n"/>
      <c r="E1992" s="18">
        <f>IF(OR(C1992="",D1992=""),"",IFERROR(INDEX('Qida bazası'!$D$2:$D$103,MATCH(C1992,'Qida bazası'!$A$2:$A$103,0))*D1992/100,"?"))</f>
        <v/>
      </c>
      <c r="F1992" s="19">
        <f>IF(OR(C1992="",D1992=""),"",IFERROR(INDEX('Qida bazası'!$E$2:$E$103,MATCH(C1992,'Qida bazası'!$A$2:$A$103,0))*D1992/100,"?"))</f>
        <v/>
      </c>
      <c r="G1992" s="19">
        <f>IF(OR(C1992="",D1992=""),"",IFERROR(INDEX('Qida bazası'!$F$2:$F$103,MATCH(C1992,'Qida bazası'!$A$2:$A$103,0))*D1992/100,"?"))</f>
        <v/>
      </c>
      <c r="H1992" s="19">
        <f>IF(OR(C1992="",D1992=""),"",IFERROR(INDEX('Qida bazası'!$G$2:$G$103,MATCH(C1992,'Qida bazası'!$A$2:$A$103,0))*D1992/100,"?"))</f>
        <v/>
      </c>
    </row>
    <row r="1993">
      <c r="A1993" s="21" t="n"/>
      <c r="E1993" s="18">
        <f>IF(OR(C1993="",D1993=""),"",IFERROR(INDEX('Qida bazası'!$D$2:$D$103,MATCH(C1993,'Qida bazası'!$A$2:$A$103,0))*D1993/100,"?"))</f>
        <v/>
      </c>
      <c r="F1993" s="19">
        <f>IF(OR(C1993="",D1993=""),"",IFERROR(INDEX('Qida bazası'!$E$2:$E$103,MATCH(C1993,'Qida bazası'!$A$2:$A$103,0))*D1993/100,"?"))</f>
        <v/>
      </c>
      <c r="G1993" s="19">
        <f>IF(OR(C1993="",D1993=""),"",IFERROR(INDEX('Qida bazası'!$F$2:$F$103,MATCH(C1993,'Qida bazası'!$A$2:$A$103,0))*D1993/100,"?"))</f>
        <v/>
      </c>
      <c r="H1993" s="19">
        <f>IF(OR(C1993="",D1993=""),"",IFERROR(INDEX('Qida bazası'!$G$2:$G$103,MATCH(C1993,'Qida bazası'!$A$2:$A$103,0))*D1993/100,"?"))</f>
        <v/>
      </c>
    </row>
    <row r="1994">
      <c r="A1994" s="21" t="n"/>
      <c r="E1994" s="18">
        <f>IF(OR(C1994="",D1994=""),"",IFERROR(INDEX('Qida bazası'!$D$2:$D$103,MATCH(C1994,'Qida bazası'!$A$2:$A$103,0))*D1994/100,"?"))</f>
        <v/>
      </c>
      <c r="F1994" s="19">
        <f>IF(OR(C1994="",D1994=""),"",IFERROR(INDEX('Qida bazası'!$E$2:$E$103,MATCH(C1994,'Qida bazası'!$A$2:$A$103,0))*D1994/100,"?"))</f>
        <v/>
      </c>
      <c r="G1994" s="19">
        <f>IF(OR(C1994="",D1994=""),"",IFERROR(INDEX('Qida bazası'!$F$2:$F$103,MATCH(C1994,'Qida bazası'!$A$2:$A$103,0))*D1994/100,"?"))</f>
        <v/>
      </c>
      <c r="H1994" s="19">
        <f>IF(OR(C1994="",D1994=""),"",IFERROR(INDEX('Qida bazası'!$G$2:$G$103,MATCH(C1994,'Qida bazası'!$A$2:$A$103,0))*D1994/100,"?"))</f>
        <v/>
      </c>
    </row>
    <row r="1995">
      <c r="A1995" s="21" t="n"/>
      <c r="E1995" s="18">
        <f>IF(OR(C1995="",D1995=""),"",IFERROR(INDEX('Qida bazası'!$D$2:$D$103,MATCH(C1995,'Qida bazası'!$A$2:$A$103,0))*D1995/100,"?"))</f>
        <v/>
      </c>
      <c r="F1995" s="19">
        <f>IF(OR(C1995="",D1995=""),"",IFERROR(INDEX('Qida bazası'!$E$2:$E$103,MATCH(C1995,'Qida bazası'!$A$2:$A$103,0))*D1995/100,"?"))</f>
        <v/>
      </c>
      <c r="G1995" s="19">
        <f>IF(OR(C1995="",D1995=""),"",IFERROR(INDEX('Qida bazası'!$F$2:$F$103,MATCH(C1995,'Qida bazası'!$A$2:$A$103,0))*D1995/100,"?"))</f>
        <v/>
      </c>
      <c r="H1995" s="19">
        <f>IF(OR(C1995="",D1995=""),"",IFERROR(INDEX('Qida bazası'!$G$2:$G$103,MATCH(C1995,'Qida bazası'!$A$2:$A$103,0))*D1995/100,"?"))</f>
        <v/>
      </c>
    </row>
    <row r="1996">
      <c r="A1996" s="21" t="n"/>
      <c r="E1996" s="18">
        <f>IF(OR(C1996="",D1996=""),"",IFERROR(INDEX('Qida bazası'!$D$2:$D$103,MATCH(C1996,'Qida bazası'!$A$2:$A$103,0))*D1996/100,"?"))</f>
        <v/>
      </c>
      <c r="F1996" s="19">
        <f>IF(OR(C1996="",D1996=""),"",IFERROR(INDEX('Qida bazası'!$E$2:$E$103,MATCH(C1996,'Qida bazası'!$A$2:$A$103,0))*D1996/100,"?"))</f>
        <v/>
      </c>
      <c r="G1996" s="19">
        <f>IF(OR(C1996="",D1996=""),"",IFERROR(INDEX('Qida bazası'!$F$2:$F$103,MATCH(C1996,'Qida bazası'!$A$2:$A$103,0))*D1996/100,"?"))</f>
        <v/>
      </c>
      <c r="H1996" s="19">
        <f>IF(OR(C1996="",D1996=""),"",IFERROR(INDEX('Qida bazası'!$G$2:$G$103,MATCH(C1996,'Qida bazası'!$A$2:$A$103,0))*D1996/100,"?"))</f>
        <v/>
      </c>
    </row>
    <row r="1997">
      <c r="A1997" s="21" t="n"/>
      <c r="E1997" s="18">
        <f>IF(OR(C1997="",D1997=""),"",IFERROR(INDEX('Qida bazası'!$D$2:$D$103,MATCH(C1997,'Qida bazası'!$A$2:$A$103,0))*D1997/100,"?"))</f>
        <v/>
      </c>
      <c r="F1997" s="19">
        <f>IF(OR(C1997="",D1997=""),"",IFERROR(INDEX('Qida bazası'!$E$2:$E$103,MATCH(C1997,'Qida bazası'!$A$2:$A$103,0))*D1997/100,"?"))</f>
        <v/>
      </c>
      <c r="G1997" s="19">
        <f>IF(OR(C1997="",D1997=""),"",IFERROR(INDEX('Qida bazası'!$F$2:$F$103,MATCH(C1997,'Qida bazası'!$A$2:$A$103,0))*D1997/100,"?"))</f>
        <v/>
      </c>
      <c r="H1997" s="19">
        <f>IF(OR(C1997="",D1997=""),"",IFERROR(INDEX('Qida bazası'!$G$2:$G$103,MATCH(C1997,'Qida bazası'!$A$2:$A$103,0))*D1997/100,"?"))</f>
        <v/>
      </c>
    </row>
    <row r="1998">
      <c r="A1998" s="21" t="n"/>
      <c r="E1998" s="18">
        <f>IF(OR(C1998="",D1998=""),"",IFERROR(INDEX('Qida bazası'!$D$2:$D$103,MATCH(C1998,'Qida bazası'!$A$2:$A$103,0))*D1998/100,"?"))</f>
        <v/>
      </c>
      <c r="F1998" s="19">
        <f>IF(OR(C1998="",D1998=""),"",IFERROR(INDEX('Qida bazası'!$E$2:$E$103,MATCH(C1998,'Qida bazası'!$A$2:$A$103,0))*D1998/100,"?"))</f>
        <v/>
      </c>
      <c r="G1998" s="19">
        <f>IF(OR(C1998="",D1998=""),"",IFERROR(INDEX('Qida bazası'!$F$2:$F$103,MATCH(C1998,'Qida bazası'!$A$2:$A$103,0))*D1998/100,"?"))</f>
        <v/>
      </c>
      <c r="H1998" s="19">
        <f>IF(OR(C1998="",D1998=""),"",IFERROR(INDEX('Qida bazası'!$G$2:$G$103,MATCH(C1998,'Qida bazası'!$A$2:$A$103,0))*D1998/100,"?"))</f>
        <v/>
      </c>
    </row>
    <row r="1999">
      <c r="A1999" s="21" t="n"/>
      <c r="E1999" s="18">
        <f>IF(OR(C1999="",D1999=""),"",IFERROR(INDEX('Qida bazası'!$D$2:$D$103,MATCH(C1999,'Qida bazası'!$A$2:$A$103,0))*D1999/100,"?"))</f>
        <v/>
      </c>
      <c r="F1999" s="19">
        <f>IF(OR(C1999="",D1999=""),"",IFERROR(INDEX('Qida bazası'!$E$2:$E$103,MATCH(C1999,'Qida bazası'!$A$2:$A$103,0))*D1999/100,"?"))</f>
        <v/>
      </c>
      <c r="G1999" s="19">
        <f>IF(OR(C1999="",D1999=""),"",IFERROR(INDEX('Qida bazası'!$F$2:$F$103,MATCH(C1999,'Qida bazası'!$A$2:$A$103,0))*D1999/100,"?"))</f>
        <v/>
      </c>
      <c r="H1999" s="19">
        <f>IF(OR(C1999="",D1999=""),"",IFERROR(INDEX('Qida bazası'!$G$2:$G$103,MATCH(C1999,'Qida bazası'!$A$2:$A$103,0))*D1999/100,"?"))</f>
        <v/>
      </c>
    </row>
    <row r="2000">
      <c r="A2000" s="21" t="n"/>
      <c r="E2000" s="18">
        <f>IF(OR(C2000="",D2000=""),"",IFERROR(INDEX('Qida bazası'!$D$2:$D$103,MATCH(C2000,'Qida bazası'!$A$2:$A$103,0))*D2000/100,"?"))</f>
        <v/>
      </c>
      <c r="F2000" s="19">
        <f>IF(OR(C2000="",D2000=""),"",IFERROR(INDEX('Qida bazası'!$E$2:$E$103,MATCH(C2000,'Qida bazası'!$A$2:$A$103,0))*D2000/100,"?"))</f>
        <v/>
      </c>
      <c r="G2000" s="19">
        <f>IF(OR(C2000="",D2000=""),"",IFERROR(INDEX('Qida bazası'!$F$2:$F$103,MATCH(C2000,'Qida bazası'!$A$2:$A$103,0))*D2000/100,"?"))</f>
        <v/>
      </c>
      <c r="H2000" s="19">
        <f>IF(OR(C2000="",D2000=""),"",IFERROR(INDEX('Qida bazası'!$G$2:$G$103,MATCH(C2000,'Qida bazası'!$A$2:$A$103,0))*D2000/100,"?"))</f>
        <v/>
      </c>
    </row>
    <row r="2001">
      <c r="A2001" s="21" t="n"/>
      <c r="E2001" s="18">
        <f>IF(OR(C2001="",D2001=""),"",IFERROR(INDEX('Qida bazası'!$D$2:$D$103,MATCH(C2001,'Qida bazası'!$A$2:$A$103,0))*D2001/100,"?"))</f>
        <v/>
      </c>
      <c r="F2001" s="19">
        <f>IF(OR(C2001="",D2001=""),"",IFERROR(INDEX('Qida bazası'!$E$2:$E$103,MATCH(C2001,'Qida bazası'!$A$2:$A$103,0))*D2001/100,"?"))</f>
        <v/>
      </c>
      <c r="G2001" s="19">
        <f>IF(OR(C2001="",D2001=""),"",IFERROR(INDEX('Qida bazası'!$F$2:$F$103,MATCH(C2001,'Qida bazası'!$A$2:$A$103,0))*D2001/100,"?"))</f>
        <v/>
      </c>
      <c r="H2001" s="19">
        <f>IF(OR(C2001="",D2001=""),"",IFERROR(INDEX('Qida bazası'!$G$2:$G$103,MATCH(C2001,'Qida bazası'!$A$2:$A$103,0))*D2001/100,"?"))</f>
        <v/>
      </c>
    </row>
  </sheetData>
  <dataValidations count="2">
    <dataValidation sqref="B2:B2001" showDropDown="0" showInputMessage="0" showErrorMessage="0" allowBlank="1" type="list">
      <formula1>"Səhər yeməyi,Qəlyanaltı 1,Nahar,Qəlyanaltı 2,Şam yeməyi"</formula1>
    </dataValidation>
    <dataValidation sqref="C2:C2001" showDropDown="0" showInputMessage="0" showErrorMessage="0" allowBlank="1" type="list">
      <formula1>='Qida bazası'!$A$2:$A$103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0" customWidth="1" min="4" max="4"/>
    <col width="11" customWidth="1" min="5" max="5"/>
    <col width="11" customWidth="1" min="6" max="6"/>
    <col width="11" customWidth="1" min="7" max="7"/>
    <col width="9" customWidth="1" min="8" max="8"/>
    <col width="11" customWidth="1" min="9" max="9"/>
    <col width="9" customWidth="1" min="10" max="10"/>
    <col width="11" customWidth="1" min="11" max="11"/>
    <col width="9" customWidth="1" min="12" max="12"/>
    <col width="9" customWidth="1" min="13" max="13"/>
    <col width="10" customWidth="1" min="14" max="14"/>
    <col width="13" customWidth="1" min="15" max="15"/>
  </cols>
  <sheetData>
    <row r="1">
      <c r="A1" s="13" t="inlineStr">
        <is>
          <t>Tarix</t>
        </is>
      </c>
      <c r="B1" s="13" t="inlineStr">
        <is>
          <t>Gün</t>
        </is>
      </c>
      <c r="C1" s="13" t="inlineStr">
        <is>
          <t>Tip</t>
        </is>
      </c>
      <c r="D1" s="13" t="inlineStr">
        <is>
          <t>Tennis, dəq</t>
        </is>
      </c>
      <c r="E1" s="13" t="inlineStr">
        <is>
          <t>Tennis növü</t>
        </is>
      </c>
      <c r="F1" s="13" t="inlineStr">
        <is>
          <t>Norma kkal</t>
        </is>
      </c>
      <c r="G1" s="13" t="inlineStr">
        <is>
          <t>Yeyilən kkal</t>
        </is>
      </c>
      <c r="H1" s="13" t="inlineStr">
        <is>
          <t>Fərq</t>
        </is>
      </c>
      <c r="I1" s="13" t="inlineStr">
        <is>
          <t>Status</t>
        </is>
      </c>
      <c r="J1" s="13" t="inlineStr">
        <is>
          <t>Protein</t>
        </is>
      </c>
      <c r="K1" s="13" t="inlineStr">
        <is>
          <t>Protein min</t>
        </is>
      </c>
      <c r="L1" s="13" t="inlineStr">
        <is>
          <t>Karb.</t>
        </is>
      </c>
      <c r="M1" s="13" t="inlineStr">
        <is>
          <t>Yağ</t>
        </is>
      </c>
      <c r="N1" s="13" t="inlineStr">
        <is>
          <t>Çəki, kq</t>
        </is>
      </c>
      <c r="O1" s="13" t="inlineStr">
        <is>
          <t>7 gün orta çəki</t>
        </is>
      </c>
    </row>
    <row r="2">
      <c r="A2" s="22" t="n">
        <v>46304</v>
      </c>
      <c r="B2" s="7" t="inlineStr">
        <is>
          <t>Cümə</t>
        </is>
      </c>
      <c r="C2" s="17" t="inlineStr">
        <is>
          <t>Zal</t>
        </is>
      </c>
      <c r="D2" s="8" t="n"/>
      <c r="E2" s="17" t="inlineStr">
        <is>
          <t>Tək</t>
        </is>
      </c>
      <c r="F2" s="11">
        <f>ROUND(((10*Profil!$B$4+6.25*Profil!$B$5-5*Profil!$B$6+5)*Profil!$B$7+Profil!$B$8+IF(C2="Zal",Profil!$B$9,0)+IF(N(D2)&gt;0,IF(E2="Cüt",5,7)*Profil!$B$4*D2/60,0))/10,0)*10</f>
        <v/>
      </c>
      <c r="G2" s="11">
        <f>IF(COUNTIF(Gündəlik!$A$2:$A$2001,A2)=0,"",SUMIFS(Gündəlik!$E$2:$E$2001,Gündəlik!$A$2:$A$2001,A2))</f>
        <v/>
      </c>
      <c r="H2" s="23">
        <f>IF(G2="","",G2-F2)</f>
        <v/>
      </c>
      <c r="I2" s="7">
        <f>IF(G2="","",IF(G2&lt;F2*0.9,"az",IF(G2&gt;F2*1.15,"çox","normada")))</f>
        <v/>
      </c>
      <c r="J2" s="18">
        <f>IF(G2="","",SUMIFS(Gündəlik!$F$2:$F$2001,Gündəlik!$A$2:$A$2001,A2))</f>
        <v/>
      </c>
      <c r="K2" s="18">
        <f>ROUND(Profil!$B$10*Profil!$B$4,0)</f>
        <v/>
      </c>
      <c r="L2" s="18">
        <f>IF(G2="","",SUMIFS(Gündəlik!$G$2:$G$2001,Gündəlik!$A$2:$A$2001,A2))</f>
        <v/>
      </c>
      <c r="M2" s="18">
        <f>IF(G2="","",SUMIFS(Gündəlik!$H$2:$H$2001,Gündəlik!$A$2:$A$2001,A2))</f>
        <v/>
      </c>
      <c r="N2" s="24" t="n"/>
      <c r="O2" s="25">
        <f>IF(COUNTIFS($A$2:$A$121,"&gt;="&amp;(A2-6),$A$2:$A$121,"&lt;="&amp;A2,$N$2:$N$121,"&gt;0")&lt;3,"",AVERAGEIFS($N$2:$N$121,$A$2:$A$121,"&gt;="&amp;(A2-6),$A$2:$A$121,"&lt;="&amp;A2,$N$2:$N$121,"&gt;0"))</f>
        <v/>
      </c>
    </row>
    <row r="3">
      <c r="A3" s="22" t="n">
        <v>46305</v>
      </c>
      <c r="B3" s="7" t="inlineStr">
        <is>
          <t>Şənbə</t>
        </is>
      </c>
      <c r="C3" s="17" t="inlineStr">
        <is>
          <t>İstirahət</t>
        </is>
      </c>
      <c r="D3" s="8" t="n"/>
      <c r="E3" s="17" t="inlineStr">
        <is>
          <t>Tək</t>
        </is>
      </c>
      <c r="F3" s="11">
        <f>ROUND(((10*Profil!$B$4+6.25*Profil!$B$5-5*Profil!$B$6+5)*Profil!$B$7+Profil!$B$8+IF(C3="Zal",Profil!$B$9,0)+IF(N(D3)&gt;0,IF(E3="Cüt",5,7)*Profil!$B$4*D3/60,0))/10,0)*10</f>
        <v/>
      </c>
      <c r="G3" s="11">
        <f>IF(COUNTIF(Gündəlik!$A$2:$A$2001,A3)=0,"",SUMIFS(Gündəlik!$E$2:$E$2001,Gündəlik!$A$2:$A$2001,A3))</f>
        <v/>
      </c>
      <c r="H3" s="23">
        <f>IF(G3="","",G3-F3)</f>
        <v/>
      </c>
      <c r="I3" s="7">
        <f>IF(G3="","",IF(G3&lt;F3*0.9,"az",IF(G3&gt;F3*1.15,"çox","normada")))</f>
        <v/>
      </c>
      <c r="J3" s="18">
        <f>IF(G3="","",SUMIFS(Gündəlik!$F$2:$F$2001,Gündəlik!$A$2:$A$2001,A3))</f>
        <v/>
      </c>
      <c r="K3" s="18">
        <f>ROUND(Profil!$B$10*Profil!$B$4,0)</f>
        <v/>
      </c>
      <c r="L3" s="18">
        <f>IF(G3="","",SUMIFS(Gündəlik!$G$2:$G$2001,Gündəlik!$A$2:$A$2001,A3))</f>
        <v/>
      </c>
      <c r="M3" s="18">
        <f>IF(G3="","",SUMIFS(Gündəlik!$H$2:$H$2001,Gündəlik!$A$2:$A$2001,A3))</f>
        <v/>
      </c>
      <c r="N3" s="24" t="n"/>
      <c r="O3" s="25">
        <f>IF(COUNTIFS($A$2:$A$121,"&gt;="&amp;(A3-6),$A$2:$A$121,"&lt;="&amp;A3,$N$2:$N$121,"&gt;0")&lt;3,"",AVERAGEIFS($N$2:$N$121,$A$2:$A$121,"&gt;="&amp;(A3-6),$A$2:$A$121,"&lt;="&amp;A3,$N$2:$N$121,"&gt;0"))</f>
        <v/>
      </c>
    </row>
    <row r="4">
      <c r="A4" s="22" t="n">
        <v>46306</v>
      </c>
      <c r="B4" s="7" t="inlineStr">
        <is>
          <t>Bazar</t>
        </is>
      </c>
      <c r="C4" s="17" t="inlineStr">
        <is>
          <t>İstirahət</t>
        </is>
      </c>
      <c r="D4" s="8" t="n"/>
      <c r="E4" s="17" t="inlineStr">
        <is>
          <t>Tək</t>
        </is>
      </c>
      <c r="F4" s="11">
        <f>ROUND(((10*Profil!$B$4+6.25*Profil!$B$5-5*Profil!$B$6+5)*Profil!$B$7+Profil!$B$8+IF(C4="Zal",Profil!$B$9,0)+IF(N(D4)&gt;0,IF(E4="Cüt",5,7)*Profil!$B$4*D4/60,0))/10,0)*10</f>
        <v/>
      </c>
      <c r="G4" s="11">
        <f>IF(COUNTIF(Gündəlik!$A$2:$A$2001,A4)=0,"",SUMIFS(Gündəlik!$E$2:$E$2001,Gündəlik!$A$2:$A$2001,A4))</f>
        <v/>
      </c>
      <c r="H4" s="23">
        <f>IF(G4="","",G4-F4)</f>
        <v/>
      </c>
      <c r="I4" s="7">
        <f>IF(G4="","",IF(G4&lt;F4*0.9,"az",IF(G4&gt;F4*1.15,"çox","normada")))</f>
        <v/>
      </c>
      <c r="J4" s="18">
        <f>IF(G4="","",SUMIFS(Gündəlik!$F$2:$F$2001,Gündəlik!$A$2:$A$2001,A4))</f>
        <v/>
      </c>
      <c r="K4" s="18">
        <f>ROUND(Profil!$B$10*Profil!$B$4,0)</f>
        <v/>
      </c>
      <c r="L4" s="18">
        <f>IF(G4="","",SUMIFS(Gündəlik!$G$2:$G$2001,Gündəlik!$A$2:$A$2001,A4))</f>
        <v/>
      </c>
      <c r="M4" s="18">
        <f>IF(G4="","",SUMIFS(Gündəlik!$H$2:$H$2001,Gündəlik!$A$2:$A$2001,A4))</f>
        <v/>
      </c>
      <c r="N4" s="24" t="n"/>
      <c r="O4" s="25">
        <f>IF(COUNTIFS($A$2:$A$121,"&gt;="&amp;(A4-6),$A$2:$A$121,"&lt;="&amp;A4,$N$2:$N$121,"&gt;0")&lt;3,"",AVERAGEIFS($N$2:$N$121,$A$2:$A$121,"&gt;="&amp;(A4-6),$A$2:$A$121,"&lt;="&amp;A4,$N$2:$N$121,"&gt;0"))</f>
        <v/>
      </c>
    </row>
    <row r="5">
      <c r="A5" s="22" t="n">
        <v>46307</v>
      </c>
      <c r="B5" s="7" t="inlineStr">
        <is>
          <t>Bazar ertəsi</t>
        </is>
      </c>
      <c r="C5" s="17" t="inlineStr">
        <is>
          <t>Zal</t>
        </is>
      </c>
      <c r="D5" s="8" t="n"/>
      <c r="E5" s="17" t="inlineStr">
        <is>
          <t>Tək</t>
        </is>
      </c>
      <c r="F5" s="11">
        <f>ROUND(((10*Profil!$B$4+6.25*Profil!$B$5-5*Profil!$B$6+5)*Profil!$B$7+Profil!$B$8+IF(C5="Zal",Profil!$B$9,0)+IF(N(D5)&gt;0,IF(E5="Cüt",5,7)*Profil!$B$4*D5/60,0))/10,0)*10</f>
        <v/>
      </c>
      <c r="G5" s="11">
        <f>IF(COUNTIF(Gündəlik!$A$2:$A$2001,A5)=0,"",SUMIFS(Gündəlik!$E$2:$E$2001,Gündəlik!$A$2:$A$2001,A5))</f>
        <v/>
      </c>
      <c r="H5" s="23">
        <f>IF(G5="","",G5-F5)</f>
        <v/>
      </c>
      <c r="I5" s="7">
        <f>IF(G5="","",IF(G5&lt;F5*0.9,"az",IF(G5&gt;F5*1.15,"çox","normada")))</f>
        <v/>
      </c>
      <c r="J5" s="18">
        <f>IF(G5="","",SUMIFS(Gündəlik!$F$2:$F$2001,Gündəlik!$A$2:$A$2001,A5))</f>
        <v/>
      </c>
      <c r="K5" s="18">
        <f>ROUND(Profil!$B$10*Profil!$B$4,0)</f>
        <v/>
      </c>
      <c r="L5" s="18">
        <f>IF(G5="","",SUMIFS(Gündəlik!$G$2:$G$2001,Gündəlik!$A$2:$A$2001,A5))</f>
        <v/>
      </c>
      <c r="M5" s="18">
        <f>IF(G5="","",SUMIFS(Gündəlik!$H$2:$H$2001,Gündəlik!$A$2:$A$2001,A5))</f>
        <v/>
      </c>
      <c r="N5" s="24" t="n"/>
      <c r="O5" s="25">
        <f>IF(COUNTIFS($A$2:$A$121,"&gt;="&amp;(A5-6),$A$2:$A$121,"&lt;="&amp;A5,$N$2:$N$121,"&gt;0")&lt;3,"",AVERAGEIFS($N$2:$N$121,$A$2:$A$121,"&gt;="&amp;(A5-6),$A$2:$A$121,"&lt;="&amp;A5,$N$2:$N$121,"&gt;0"))</f>
        <v/>
      </c>
    </row>
    <row r="6">
      <c r="A6" s="22" t="n">
        <v>46308</v>
      </c>
      <c r="B6" s="7" t="inlineStr">
        <is>
          <t>Çərşənbə axşamı</t>
        </is>
      </c>
      <c r="C6" s="17" t="inlineStr">
        <is>
          <t>İstirahət</t>
        </is>
      </c>
      <c r="D6" s="8" t="n"/>
      <c r="E6" s="17" t="inlineStr">
        <is>
          <t>Tək</t>
        </is>
      </c>
      <c r="F6" s="11">
        <f>ROUND(((10*Profil!$B$4+6.25*Profil!$B$5-5*Profil!$B$6+5)*Profil!$B$7+Profil!$B$8+IF(C6="Zal",Profil!$B$9,0)+IF(N(D6)&gt;0,IF(E6="Cüt",5,7)*Profil!$B$4*D6/60,0))/10,0)*10</f>
        <v/>
      </c>
      <c r="G6" s="11">
        <f>IF(COUNTIF(Gündəlik!$A$2:$A$2001,A6)=0,"",SUMIFS(Gündəlik!$E$2:$E$2001,Gündəlik!$A$2:$A$2001,A6))</f>
        <v/>
      </c>
      <c r="H6" s="23">
        <f>IF(G6="","",G6-F6)</f>
        <v/>
      </c>
      <c r="I6" s="7">
        <f>IF(G6="","",IF(G6&lt;F6*0.9,"az",IF(G6&gt;F6*1.15,"çox","normada")))</f>
        <v/>
      </c>
      <c r="J6" s="18">
        <f>IF(G6="","",SUMIFS(Gündəlik!$F$2:$F$2001,Gündəlik!$A$2:$A$2001,A6))</f>
        <v/>
      </c>
      <c r="K6" s="18">
        <f>ROUND(Profil!$B$10*Profil!$B$4,0)</f>
        <v/>
      </c>
      <c r="L6" s="18">
        <f>IF(G6="","",SUMIFS(Gündəlik!$G$2:$G$2001,Gündəlik!$A$2:$A$2001,A6))</f>
        <v/>
      </c>
      <c r="M6" s="18">
        <f>IF(G6="","",SUMIFS(Gündəlik!$H$2:$H$2001,Gündəlik!$A$2:$A$2001,A6))</f>
        <v/>
      </c>
      <c r="N6" s="24" t="n"/>
      <c r="O6" s="25">
        <f>IF(COUNTIFS($A$2:$A$121,"&gt;="&amp;(A6-6),$A$2:$A$121,"&lt;="&amp;A6,$N$2:$N$121,"&gt;0")&lt;3,"",AVERAGEIFS($N$2:$N$121,$A$2:$A$121,"&gt;="&amp;(A6-6),$A$2:$A$121,"&lt;="&amp;A6,$N$2:$N$121,"&gt;0"))</f>
        <v/>
      </c>
    </row>
    <row r="7">
      <c r="A7" s="22" t="n">
        <v>46309</v>
      </c>
      <c r="B7" s="7" t="inlineStr">
        <is>
          <t>Çərşənbə</t>
        </is>
      </c>
      <c r="C7" s="17" t="inlineStr">
        <is>
          <t>Zal</t>
        </is>
      </c>
      <c r="D7" s="8" t="n"/>
      <c r="E7" s="17" t="inlineStr">
        <is>
          <t>Tək</t>
        </is>
      </c>
      <c r="F7" s="11">
        <f>ROUND(((10*Profil!$B$4+6.25*Profil!$B$5-5*Profil!$B$6+5)*Profil!$B$7+Profil!$B$8+IF(C7="Zal",Profil!$B$9,0)+IF(N(D7)&gt;0,IF(E7="Cüt",5,7)*Profil!$B$4*D7/60,0))/10,0)*10</f>
        <v/>
      </c>
      <c r="G7" s="11">
        <f>IF(COUNTIF(Gündəlik!$A$2:$A$2001,A7)=0,"",SUMIFS(Gündəlik!$E$2:$E$2001,Gündəlik!$A$2:$A$2001,A7))</f>
        <v/>
      </c>
      <c r="H7" s="23">
        <f>IF(G7="","",G7-F7)</f>
        <v/>
      </c>
      <c r="I7" s="7">
        <f>IF(G7="","",IF(G7&lt;F7*0.9,"az",IF(G7&gt;F7*1.15,"çox","normada")))</f>
        <v/>
      </c>
      <c r="J7" s="18">
        <f>IF(G7="","",SUMIFS(Gündəlik!$F$2:$F$2001,Gündəlik!$A$2:$A$2001,A7))</f>
        <v/>
      </c>
      <c r="K7" s="18">
        <f>ROUND(Profil!$B$10*Profil!$B$4,0)</f>
        <v/>
      </c>
      <c r="L7" s="18">
        <f>IF(G7="","",SUMIFS(Gündəlik!$G$2:$G$2001,Gündəlik!$A$2:$A$2001,A7))</f>
        <v/>
      </c>
      <c r="M7" s="18">
        <f>IF(G7="","",SUMIFS(Gündəlik!$H$2:$H$2001,Gündəlik!$A$2:$A$2001,A7))</f>
        <v/>
      </c>
      <c r="N7" s="24" t="n"/>
      <c r="O7" s="25">
        <f>IF(COUNTIFS($A$2:$A$121,"&gt;="&amp;(A7-6),$A$2:$A$121,"&lt;="&amp;A7,$N$2:$N$121,"&gt;0")&lt;3,"",AVERAGEIFS($N$2:$N$121,$A$2:$A$121,"&gt;="&amp;(A7-6),$A$2:$A$121,"&lt;="&amp;A7,$N$2:$N$121,"&gt;0"))</f>
        <v/>
      </c>
    </row>
    <row r="8">
      <c r="A8" s="22" t="n">
        <v>46310</v>
      </c>
      <c r="B8" s="7" t="inlineStr">
        <is>
          <t>Cümə axşamı</t>
        </is>
      </c>
      <c r="C8" s="17" t="inlineStr">
        <is>
          <t>İstirahət</t>
        </is>
      </c>
      <c r="D8" s="8" t="n"/>
      <c r="E8" s="17" t="inlineStr">
        <is>
          <t>Tək</t>
        </is>
      </c>
      <c r="F8" s="11">
        <f>ROUND(((10*Profil!$B$4+6.25*Profil!$B$5-5*Profil!$B$6+5)*Profil!$B$7+Profil!$B$8+IF(C8="Zal",Profil!$B$9,0)+IF(N(D8)&gt;0,IF(E8="Cüt",5,7)*Profil!$B$4*D8/60,0))/10,0)*10</f>
        <v/>
      </c>
      <c r="G8" s="11">
        <f>IF(COUNTIF(Gündəlik!$A$2:$A$2001,A8)=0,"",SUMIFS(Gündəlik!$E$2:$E$2001,Gündəlik!$A$2:$A$2001,A8))</f>
        <v/>
      </c>
      <c r="H8" s="23">
        <f>IF(G8="","",G8-F8)</f>
        <v/>
      </c>
      <c r="I8" s="7">
        <f>IF(G8="","",IF(G8&lt;F8*0.9,"az",IF(G8&gt;F8*1.15,"çox","normada")))</f>
        <v/>
      </c>
      <c r="J8" s="18">
        <f>IF(G8="","",SUMIFS(Gündəlik!$F$2:$F$2001,Gündəlik!$A$2:$A$2001,A8))</f>
        <v/>
      </c>
      <c r="K8" s="18">
        <f>ROUND(Profil!$B$10*Profil!$B$4,0)</f>
        <v/>
      </c>
      <c r="L8" s="18">
        <f>IF(G8="","",SUMIFS(Gündəlik!$G$2:$G$2001,Gündəlik!$A$2:$A$2001,A8))</f>
        <v/>
      </c>
      <c r="M8" s="18">
        <f>IF(G8="","",SUMIFS(Gündəlik!$H$2:$H$2001,Gündəlik!$A$2:$A$2001,A8))</f>
        <v/>
      </c>
      <c r="N8" s="24" t="n"/>
      <c r="O8" s="25">
        <f>IF(COUNTIFS($A$2:$A$121,"&gt;="&amp;(A8-6),$A$2:$A$121,"&lt;="&amp;A8,$N$2:$N$121,"&gt;0")&lt;3,"",AVERAGEIFS($N$2:$N$121,$A$2:$A$121,"&gt;="&amp;(A8-6),$A$2:$A$121,"&lt;="&amp;A8,$N$2:$N$121,"&gt;0"))</f>
        <v/>
      </c>
    </row>
    <row r="9">
      <c r="A9" s="22" t="n">
        <v>46311</v>
      </c>
      <c r="B9" s="7" t="inlineStr">
        <is>
          <t>Cümə</t>
        </is>
      </c>
      <c r="C9" s="17" t="inlineStr">
        <is>
          <t>Zal</t>
        </is>
      </c>
      <c r="D9" s="8" t="n"/>
      <c r="E9" s="17" t="inlineStr">
        <is>
          <t>Tək</t>
        </is>
      </c>
      <c r="F9" s="11">
        <f>ROUND(((10*Profil!$B$4+6.25*Profil!$B$5-5*Profil!$B$6+5)*Profil!$B$7+Profil!$B$8+IF(C9="Zal",Profil!$B$9,0)+IF(N(D9)&gt;0,IF(E9="Cüt",5,7)*Profil!$B$4*D9/60,0))/10,0)*10</f>
        <v/>
      </c>
      <c r="G9" s="11">
        <f>IF(COUNTIF(Gündəlik!$A$2:$A$2001,A9)=0,"",SUMIFS(Gündəlik!$E$2:$E$2001,Gündəlik!$A$2:$A$2001,A9))</f>
        <v/>
      </c>
      <c r="H9" s="23">
        <f>IF(G9="","",G9-F9)</f>
        <v/>
      </c>
      <c r="I9" s="7">
        <f>IF(G9="","",IF(G9&lt;F9*0.9,"az",IF(G9&gt;F9*1.15,"çox","normada")))</f>
        <v/>
      </c>
      <c r="J9" s="18">
        <f>IF(G9="","",SUMIFS(Gündəlik!$F$2:$F$2001,Gündəlik!$A$2:$A$2001,A9))</f>
        <v/>
      </c>
      <c r="K9" s="18">
        <f>ROUND(Profil!$B$10*Profil!$B$4,0)</f>
        <v/>
      </c>
      <c r="L9" s="18">
        <f>IF(G9="","",SUMIFS(Gündəlik!$G$2:$G$2001,Gündəlik!$A$2:$A$2001,A9))</f>
        <v/>
      </c>
      <c r="M9" s="18">
        <f>IF(G9="","",SUMIFS(Gündəlik!$H$2:$H$2001,Gündəlik!$A$2:$A$2001,A9))</f>
        <v/>
      </c>
      <c r="N9" s="24" t="n"/>
      <c r="O9" s="25">
        <f>IF(COUNTIFS($A$2:$A$121,"&gt;="&amp;(A9-6),$A$2:$A$121,"&lt;="&amp;A9,$N$2:$N$121,"&gt;0")&lt;3,"",AVERAGEIFS($N$2:$N$121,$A$2:$A$121,"&gt;="&amp;(A9-6),$A$2:$A$121,"&lt;="&amp;A9,$N$2:$N$121,"&gt;0"))</f>
        <v/>
      </c>
    </row>
    <row r="10">
      <c r="A10" s="22" t="n">
        <v>46312</v>
      </c>
      <c r="B10" s="7" t="inlineStr">
        <is>
          <t>Şənbə</t>
        </is>
      </c>
      <c r="C10" s="17" t="inlineStr">
        <is>
          <t>İstirahət</t>
        </is>
      </c>
      <c r="D10" s="8" t="n"/>
      <c r="E10" s="17" t="inlineStr">
        <is>
          <t>Tək</t>
        </is>
      </c>
      <c r="F10" s="11">
        <f>ROUND(((10*Profil!$B$4+6.25*Profil!$B$5-5*Profil!$B$6+5)*Profil!$B$7+Profil!$B$8+IF(C10="Zal",Profil!$B$9,0)+IF(N(D10)&gt;0,IF(E10="Cüt",5,7)*Profil!$B$4*D10/60,0))/10,0)*10</f>
        <v/>
      </c>
      <c r="G10" s="11">
        <f>IF(COUNTIF(Gündəlik!$A$2:$A$2001,A10)=0,"",SUMIFS(Gündəlik!$E$2:$E$2001,Gündəlik!$A$2:$A$2001,A10))</f>
        <v/>
      </c>
      <c r="H10" s="23">
        <f>IF(G10="","",G10-F10)</f>
        <v/>
      </c>
      <c r="I10" s="7">
        <f>IF(G10="","",IF(G10&lt;F10*0.9,"az",IF(G10&gt;F10*1.15,"çox","normada")))</f>
        <v/>
      </c>
      <c r="J10" s="18">
        <f>IF(G10="","",SUMIFS(Gündəlik!$F$2:$F$2001,Gündəlik!$A$2:$A$2001,A10))</f>
        <v/>
      </c>
      <c r="K10" s="18">
        <f>ROUND(Profil!$B$10*Profil!$B$4,0)</f>
        <v/>
      </c>
      <c r="L10" s="18">
        <f>IF(G10="","",SUMIFS(Gündəlik!$G$2:$G$2001,Gündəlik!$A$2:$A$2001,A10))</f>
        <v/>
      </c>
      <c r="M10" s="18">
        <f>IF(G10="","",SUMIFS(Gündəlik!$H$2:$H$2001,Gündəlik!$A$2:$A$2001,A10))</f>
        <v/>
      </c>
      <c r="N10" s="24" t="n"/>
      <c r="O10" s="25">
        <f>IF(COUNTIFS($A$2:$A$121,"&gt;="&amp;(A10-6),$A$2:$A$121,"&lt;="&amp;A10,$N$2:$N$121,"&gt;0")&lt;3,"",AVERAGEIFS($N$2:$N$121,$A$2:$A$121,"&gt;="&amp;(A10-6),$A$2:$A$121,"&lt;="&amp;A10,$N$2:$N$121,"&gt;0"))</f>
        <v/>
      </c>
    </row>
    <row r="11">
      <c r="A11" s="22" t="n">
        <v>46313</v>
      </c>
      <c r="B11" s="7" t="inlineStr">
        <is>
          <t>Bazar</t>
        </is>
      </c>
      <c r="C11" s="17" t="inlineStr">
        <is>
          <t>İstirahət</t>
        </is>
      </c>
      <c r="D11" s="8" t="n"/>
      <c r="E11" s="17" t="inlineStr">
        <is>
          <t>Tək</t>
        </is>
      </c>
      <c r="F11" s="11">
        <f>ROUND(((10*Profil!$B$4+6.25*Profil!$B$5-5*Profil!$B$6+5)*Profil!$B$7+Profil!$B$8+IF(C11="Zal",Profil!$B$9,0)+IF(N(D11)&gt;0,IF(E11="Cüt",5,7)*Profil!$B$4*D11/60,0))/10,0)*10</f>
        <v/>
      </c>
      <c r="G11" s="11">
        <f>IF(COUNTIF(Gündəlik!$A$2:$A$2001,A11)=0,"",SUMIFS(Gündəlik!$E$2:$E$2001,Gündəlik!$A$2:$A$2001,A11))</f>
        <v/>
      </c>
      <c r="H11" s="23">
        <f>IF(G11="","",G11-F11)</f>
        <v/>
      </c>
      <c r="I11" s="7">
        <f>IF(G11="","",IF(G11&lt;F11*0.9,"az",IF(G11&gt;F11*1.15,"çox","normada")))</f>
        <v/>
      </c>
      <c r="J11" s="18">
        <f>IF(G11="","",SUMIFS(Gündəlik!$F$2:$F$2001,Gündəlik!$A$2:$A$2001,A11))</f>
        <v/>
      </c>
      <c r="K11" s="18">
        <f>ROUND(Profil!$B$10*Profil!$B$4,0)</f>
        <v/>
      </c>
      <c r="L11" s="18">
        <f>IF(G11="","",SUMIFS(Gündəlik!$G$2:$G$2001,Gündəlik!$A$2:$A$2001,A11))</f>
        <v/>
      </c>
      <c r="M11" s="18">
        <f>IF(G11="","",SUMIFS(Gündəlik!$H$2:$H$2001,Gündəlik!$A$2:$A$2001,A11))</f>
        <v/>
      </c>
      <c r="N11" s="24" t="n"/>
      <c r="O11" s="25">
        <f>IF(COUNTIFS($A$2:$A$121,"&gt;="&amp;(A11-6),$A$2:$A$121,"&lt;="&amp;A11,$N$2:$N$121,"&gt;0")&lt;3,"",AVERAGEIFS($N$2:$N$121,$A$2:$A$121,"&gt;="&amp;(A11-6),$A$2:$A$121,"&lt;="&amp;A11,$N$2:$N$121,"&gt;0"))</f>
        <v/>
      </c>
    </row>
    <row r="12">
      <c r="A12" s="22" t="n">
        <v>46314</v>
      </c>
      <c r="B12" s="7" t="inlineStr">
        <is>
          <t>Bazar ertəsi</t>
        </is>
      </c>
      <c r="C12" s="17" t="inlineStr">
        <is>
          <t>Zal</t>
        </is>
      </c>
      <c r="D12" s="8" t="n"/>
      <c r="E12" s="17" t="inlineStr">
        <is>
          <t>Tək</t>
        </is>
      </c>
      <c r="F12" s="11">
        <f>ROUND(((10*Profil!$B$4+6.25*Profil!$B$5-5*Profil!$B$6+5)*Profil!$B$7+Profil!$B$8+IF(C12="Zal",Profil!$B$9,0)+IF(N(D12)&gt;0,IF(E12="Cüt",5,7)*Profil!$B$4*D12/60,0))/10,0)*10</f>
        <v/>
      </c>
      <c r="G12" s="11">
        <f>IF(COUNTIF(Gündəlik!$A$2:$A$2001,A12)=0,"",SUMIFS(Gündəlik!$E$2:$E$2001,Gündəlik!$A$2:$A$2001,A12))</f>
        <v/>
      </c>
      <c r="H12" s="23">
        <f>IF(G12="","",G12-F12)</f>
        <v/>
      </c>
      <c r="I12" s="7">
        <f>IF(G12="","",IF(G12&lt;F12*0.9,"az",IF(G12&gt;F12*1.15,"çox","normada")))</f>
        <v/>
      </c>
      <c r="J12" s="18">
        <f>IF(G12="","",SUMIFS(Gündəlik!$F$2:$F$2001,Gündəlik!$A$2:$A$2001,A12))</f>
        <v/>
      </c>
      <c r="K12" s="18">
        <f>ROUND(Profil!$B$10*Profil!$B$4,0)</f>
        <v/>
      </c>
      <c r="L12" s="18">
        <f>IF(G12="","",SUMIFS(Gündəlik!$G$2:$G$2001,Gündəlik!$A$2:$A$2001,A12))</f>
        <v/>
      </c>
      <c r="M12" s="18">
        <f>IF(G12="","",SUMIFS(Gündəlik!$H$2:$H$2001,Gündəlik!$A$2:$A$2001,A12))</f>
        <v/>
      </c>
      <c r="N12" s="24" t="n"/>
      <c r="O12" s="25">
        <f>IF(COUNTIFS($A$2:$A$121,"&gt;="&amp;(A12-6),$A$2:$A$121,"&lt;="&amp;A12,$N$2:$N$121,"&gt;0")&lt;3,"",AVERAGEIFS($N$2:$N$121,$A$2:$A$121,"&gt;="&amp;(A12-6),$A$2:$A$121,"&lt;="&amp;A12,$N$2:$N$121,"&gt;0"))</f>
        <v/>
      </c>
    </row>
    <row r="13">
      <c r="A13" s="22" t="n">
        <v>46315</v>
      </c>
      <c r="B13" s="7" t="inlineStr">
        <is>
          <t>Çərşənbə axşamı</t>
        </is>
      </c>
      <c r="C13" s="17" t="inlineStr">
        <is>
          <t>İstirahət</t>
        </is>
      </c>
      <c r="D13" s="8" t="n"/>
      <c r="E13" s="17" t="inlineStr">
        <is>
          <t>Tək</t>
        </is>
      </c>
      <c r="F13" s="11">
        <f>ROUND(((10*Profil!$B$4+6.25*Profil!$B$5-5*Profil!$B$6+5)*Profil!$B$7+Profil!$B$8+IF(C13="Zal",Profil!$B$9,0)+IF(N(D13)&gt;0,IF(E13="Cüt",5,7)*Profil!$B$4*D13/60,0))/10,0)*10</f>
        <v/>
      </c>
      <c r="G13" s="11">
        <f>IF(COUNTIF(Gündəlik!$A$2:$A$2001,A13)=0,"",SUMIFS(Gündəlik!$E$2:$E$2001,Gündəlik!$A$2:$A$2001,A13))</f>
        <v/>
      </c>
      <c r="H13" s="23">
        <f>IF(G13="","",G13-F13)</f>
        <v/>
      </c>
      <c r="I13" s="7">
        <f>IF(G13="","",IF(G13&lt;F13*0.9,"az",IF(G13&gt;F13*1.15,"çox","normada")))</f>
        <v/>
      </c>
      <c r="J13" s="18">
        <f>IF(G13="","",SUMIFS(Gündəlik!$F$2:$F$2001,Gündəlik!$A$2:$A$2001,A13))</f>
        <v/>
      </c>
      <c r="K13" s="18">
        <f>ROUND(Profil!$B$10*Profil!$B$4,0)</f>
        <v/>
      </c>
      <c r="L13" s="18">
        <f>IF(G13="","",SUMIFS(Gündəlik!$G$2:$G$2001,Gündəlik!$A$2:$A$2001,A13))</f>
        <v/>
      </c>
      <c r="M13" s="18">
        <f>IF(G13="","",SUMIFS(Gündəlik!$H$2:$H$2001,Gündəlik!$A$2:$A$2001,A13))</f>
        <v/>
      </c>
      <c r="N13" s="24" t="n"/>
      <c r="O13" s="25">
        <f>IF(COUNTIFS($A$2:$A$121,"&gt;="&amp;(A13-6),$A$2:$A$121,"&lt;="&amp;A13,$N$2:$N$121,"&gt;0")&lt;3,"",AVERAGEIFS($N$2:$N$121,$A$2:$A$121,"&gt;="&amp;(A13-6),$A$2:$A$121,"&lt;="&amp;A13,$N$2:$N$121,"&gt;0"))</f>
        <v/>
      </c>
    </row>
    <row r="14">
      <c r="A14" s="22" t="n">
        <v>46316</v>
      </c>
      <c r="B14" s="7" t="inlineStr">
        <is>
          <t>Çərşənbə</t>
        </is>
      </c>
      <c r="C14" s="17" t="inlineStr">
        <is>
          <t>Zal</t>
        </is>
      </c>
      <c r="D14" s="8" t="n"/>
      <c r="E14" s="17" t="inlineStr">
        <is>
          <t>Tək</t>
        </is>
      </c>
      <c r="F14" s="11">
        <f>ROUND(((10*Profil!$B$4+6.25*Profil!$B$5-5*Profil!$B$6+5)*Profil!$B$7+Profil!$B$8+IF(C14="Zal",Profil!$B$9,0)+IF(N(D14)&gt;0,IF(E14="Cüt",5,7)*Profil!$B$4*D14/60,0))/10,0)*10</f>
        <v/>
      </c>
      <c r="G14" s="11">
        <f>IF(COUNTIF(Gündəlik!$A$2:$A$2001,A14)=0,"",SUMIFS(Gündəlik!$E$2:$E$2001,Gündəlik!$A$2:$A$2001,A14))</f>
        <v/>
      </c>
      <c r="H14" s="23">
        <f>IF(G14="","",G14-F14)</f>
        <v/>
      </c>
      <c r="I14" s="7">
        <f>IF(G14="","",IF(G14&lt;F14*0.9,"az",IF(G14&gt;F14*1.15,"çox","normada")))</f>
        <v/>
      </c>
      <c r="J14" s="18">
        <f>IF(G14="","",SUMIFS(Gündəlik!$F$2:$F$2001,Gündəlik!$A$2:$A$2001,A14))</f>
        <v/>
      </c>
      <c r="K14" s="18">
        <f>ROUND(Profil!$B$10*Profil!$B$4,0)</f>
        <v/>
      </c>
      <c r="L14" s="18">
        <f>IF(G14="","",SUMIFS(Gündəlik!$G$2:$G$2001,Gündəlik!$A$2:$A$2001,A14))</f>
        <v/>
      </c>
      <c r="M14" s="18">
        <f>IF(G14="","",SUMIFS(Gündəlik!$H$2:$H$2001,Gündəlik!$A$2:$A$2001,A14))</f>
        <v/>
      </c>
      <c r="N14" s="24" t="n"/>
      <c r="O14" s="25">
        <f>IF(COUNTIFS($A$2:$A$121,"&gt;="&amp;(A14-6),$A$2:$A$121,"&lt;="&amp;A14,$N$2:$N$121,"&gt;0")&lt;3,"",AVERAGEIFS($N$2:$N$121,$A$2:$A$121,"&gt;="&amp;(A14-6),$A$2:$A$121,"&lt;="&amp;A14,$N$2:$N$121,"&gt;0"))</f>
        <v/>
      </c>
    </row>
    <row r="15">
      <c r="A15" s="22" t="n">
        <v>46317</v>
      </c>
      <c r="B15" s="7" t="inlineStr">
        <is>
          <t>Cümə axşamı</t>
        </is>
      </c>
      <c r="C15" s="17" t="inlineStr">
        <is>
          <t>İstirahət</t>
        </is>
      </c>
      <c r="D15" s="8" t="n"/>
      <c r="E15" s="17" t="inlineStr">
        <is>
          <t>Tək</t>
        </is>
      </c>
      <c r="F15" s="11">
        <f>ROUND(((10*Profil!$B$4+6.25*Profil!$B$5-5*Profil!$B$6+5)*Profil!$B$7+Profil!$B$8+IF(C15="Zal",Profil!$B$9,0)+IF(N(D15)&gt;0,IF(E15="Cüt",5,7)*Profil!$B$4*D15/60,0))/10,0)*10</f>
        <v/>
      </c>
      <c r="G15" s="11">
        <f>IF(COUNTIF(Gündəlik!$A$2:$A$2001,A15)=0,"",SUMIFS(Gündəlik!$E$2:$E$2001,Gündəlik!$A$2:$A$2001,A15))</f>
        <v/>
      </c>
      <c r="H15" s="23">
        <f>IF(G15="","",G15-F15)</f>
        <v/>
      </c>
      <c r="I15" s="7">
        <f>IF(G15="","",IF(G15&lt;F15*0.9,"az",IF(G15&gt;F15*1.15,"çox","normada")))</f>
        <v/>
      </c>
      <c r="J15" s="18">
        <f>IF(G15="","",SUMIFS(Gündəlik!$F$2:$F$2001,Gündəlik!$A$2:$A$2001,A15))</f>
        <v/>
      </c>
      <c r="K15" s="18">
        <f>ROUND(Profil!$B$10*Profil!$B$4,0)</f>
        <v/>
      </c>
      <c r="L15" s="18">
        <f>IF(G15="","",SUMIFS(Gündəlik!$G$2:$G$2001,Gündəlik!$A$2:$A$2001,A15))</f>
        <v/>
      </c>
      <c r="M15" s="18">
        <f>IF(G15="","",SUMIFS(Gündəlik!$H$2:$H$2001,Gündəlik!$A$2:$A$2001,A15))</f>
        <v/>
      </c>
      <c r="N15" s="24" t="n"/>
      <c r="O15" s="25">
        <f>IF(COUNTIFS($A$2:$A$121,"&gt;="&amp;(A15-6),$A$2:$A$121,"&lt;="&amp;A15,$N$2:$N$121,"&gt;0")&lt;3,"",AVERAGEIFS($N$2:$N$121,$A$2:$A$121,"&gt;="&amp;(A15-6),$A$2:$A$121,"&lt;="&amp;A15,$N$2:$N$121,"&gt;0"))</f>
        <v/>
      </c>
    </row>
    <row r="16">
      <c r="A16" s="22" t="n">
        <v>46318</v>
      </c>
      <c r="B16" s="7" t="inlineStr">
        <is>
          <t>Cümə</t>
        </is>
      </c>
      <c r="C16" s="17" t="inlineStr">
        <is>
          <t>Zal</t>
        </is>
      </c>
      <c r="D16" s="8" t="n"/>
      <c r="E16" s="17" t="inlineStr">
        <is>
          <t>Tək</t>
        </is>
      </c>
      <c r="F16" s="11">
        <f>ROUND(((10*Profil!$B$4+6.25*Profil!$B$5-5*Profil!$B$6+5)*Profil!$B$7+Profil!$B$8+IF(C16="Zal",Profil!$B$9,0)+IF(N(D16)&gt;0,IF(E16="Cüt",5,7)*Profil!$B$4*D16/60,0))/10,0)*10</f>
        <v/>
      </c>
      <c r="G16" s="11">
        <f>IF(COUNTIF(Gündəlik!$A$2:$A$2001,A16)=0,"",SUMIFS(Gündəlik!$E$2:$E$2001,Gündəlik!$A$2:$A$2001,A16))</f>
        <v/>
      </c>
      <c r="H16" s="23">
        <f>IF(G16="","",G16-F16)</f>
        <v/>
      </c>
      <c r="I16" s="7">
        <f>IF(G16="","",IF(G16&lt;F16*0.9,"az",IF(G16&gt;F16*1.15,"çox","normada")))</f>
        <v/>
      </c>
      <c r="J16" s="18">
        <f>IF(G16="","",SUMIFS(Gündəlik!$F$2:$F$2001,Gündəlik!$A$2:$A$2001,A16))</f>
        <v/>
      </c>
      <c r="K16" s="18">
        <f>ROUND(Profil!$B$10*Profil!$B$4,0)</f>
        <v/>
      </c>
      <c r="L16" s="18">
        <f>IF(G16="","",SUMIFS(Gündəlik!$G$2:$G$2001,Gündəlik!$A$2:$A$2001,A16))</f>
        <v/>
      </c>
      <c r="M16" s="18">
        <f>IF(G16="","",SUMIFS(Gündəlik!$H$2:$H$2001,Gündəlik!$A$2:$A$2001,A16))</f>
        <v/>
      </c>
      <c r="N16" s="24" t="n"/>
      <c r="O16" s="25">
        <f>IF(COUNTIFS($A$2:$A$121,"&gt;="&amp;(A16-6),$A$2:$A$121,"&lt;="&amp;A16,$N$2:$N$121,"&gt;0")&lt;3,"",AVERAGEIFS($N$2:$N$121,$A$2:$A$121,"&gt;="&amp;(A16-6),$A$2:$A$121,"&lt;="&amp;A16,$N$2:$N$121,"&gt;0"))</f>
        <v/>
      </c>
    </row>
    <row r="17">
      <c r="A17" s="22" t="n">
        <v>46319</v>
      </c>
      <c r="B17" s="7" t="inlineStr">
        <is>
          <t>Şənbə</t>
        </is>
      </c>
      <c r="C17" s="17" t="inlineStr">
        <is>
          <t>İstirahət</t>
        </is>
      </c>
      <c r="D17" s="8" t="n"/>
      <c r="E17" s="17" t="inlineStr">
        <is>
          <t>Tək</t>
        </is>
      </c>
      <c r="F17" s="11">
        <f>ROUND(((10*Profil!$B$4+6.25*Profil!$B$5-5*Profil!$B$6+5)*Profil!$B$7+Profil!$B$8+IF(C17="Zal",Profil!$B$9,0)+IF(N(D17)&gt;0,IF(E17="Cüt",5,7)*Profil!$B$4*D17/60,0))/10,0)*10</f>
        <v/>
      </c>
      <c r="G17" s="11">
        <f>IF(COUNTIF(Gündəlik!$A$2:$A$2001,A17)=0,"",SUMIFS(Gündəlik!$E$2:$E$2001,Gündəlik!$A$2:$A$2001,A17))</f>
        <v/>
      </c>
      <c r="H17" s="23">
        <f>IF(G17="","",G17-F17)</f>
        <v/>
      </c>
      <c r="I17" s="7">
        <f>IF(G17="","",IF(G17&lt;F17*0.9,"az",IF(G17&gt;F17*1.15,"çox","normada")))</f>
        <v/>
      </c>
      <c r="J17" s="18">
        <f>IF(G17="","",SUMIFS(Gündəlik!$F$2:$F$2001,Gündəlik!$A$2:$A$2001,A17))</f>
        <v/>
      </c>
      <c r="K17" s="18">
        <f>ROUND(Profil!$B$10*Profil!$B$4,0)</f>
        <v/>
      </c>
      <c r="L17" s="18">
        <f>IF(G17="","",SUMIFS(Gündəlik!$G$2:$G$2001,Gündəlik!$A$2:$A$2001,A17))</f>
        <v/>
      </c>
      <c r="M17" s="18">
        <f>IF(G17="","",SUMIFS(Gündəlik!$H$2:$H$2001,Gündəlik!$A$2:$A$2001,A17))</f>
        <v/>
      </c>
      <c r="N17" s="24" t="n"/>
      <c r="O17" s="25">
        <f>IF(COUNTIFS($A$2:$A$121,"&gt;="&amp;(A17-6),$A$2:$A$121,"&lt;="&amp;A17,$N$2:$N$121,"&gt;0")&lt;3,"",AVERAGEIFS($N$2:$N$121,$A$2:$A$121,"&gt;="&amp;(A17-6),$A$2:$A$121,"&lt;="&amp;A17,$N$2:$N$121,"&gt;0"))</f>
        <v/>
      </c>
    </row>
    <row r="18">
      <c r="A18" s="22" t="n">
        <v>46320</v>
      </c>
      <c r="B18" s="7" t="inlineStr">
        <is>
          <t>Bazar</t>
        </is>
      </c>
      <c r="C18" s="17" t="inlineStr">
        <is>
          <t>İstirahət</t>
        </is>
      </c>
      <c r="D18" s="8" t="n"/>
      <c r="E18" s="17" t="inlineStr">
        <is>
          <t>Tək</t>
        </is>
      </c>
      <c r="F18" s="11">
        <f>ROUND(((10*Profil!$B$4+6.25*Profil!$B$5-5*Profil!$B$6+5)*Profil!$B$7+Profil!$B$8+IF(C18="Zal",Profil!$B$9,0)+IF(N(D18)&gt;0,IF(E18="Cüt",5,7)*Profil!$B$4*D18/60,0))/10,0)*10</f>
        <v/>
      </c>
      <c r="G18" s="11">
        <f>IF(COUNTIF(Gündəlik!$A$2:$A$2001,A18)=0,"",SUMIFS(Gündəlik!$E$2:$E$2001,Gündəlik!$A$2:$A$2001,A18))</f>
        <v/>
      </c>
      <c r="H18" s="23">
        <f>IF(G18="","",G18-F18)</f>
        <v/>
      </c>
      <c r="I18" s="7">
        <f>IF(G18="","",IF(G18&lt;F18*0.9,"az",IF(G18&gt;F18*1.15,"çox","normada")))</f>
        <v/>
      </c>
      <c r="J18" s="18">
        <f>IF(G18="","",SUMIFS(Gündəlik!$F$2:$F$2001,Gündəlik!$A$2:$A$2001,A18))</f>
        <v/>
      </c>
      <c r="K18" s="18">
        <f>ROUND(Profil!$B$10*Profil!$B$4,0)</f>
        <v/>
      </c>
      <c r="L18" s="18">
        <f>IF(G18="","",SUMIFS(Gündəlik!$G$2:$G$2001,Gündəlik!$A$2:$A$2001,A18))</f>
        <v/>
      </c>
      <c r="M18" s="18">
        <f>IF(G18="","",SUMIFS(Gündəlik!$H$2:$H$2001,Gündəlik!$A$2:$A$2001,A18))</f>
        <v/>
      </c>
      <c r="N18" s="24" t="n"/>
      <c r="O18" s="25">
        <f>IF(COUNTIFS($A$2:$A$121,"&gt;="&amp;(A18-6),$A$2:$A$121,"&lt;="&amp;A18,$N$2:$N$121,"&gt;0")&lt;3,"",AVERAGEIFS($N$2:$N$121,$A$2:$A$121,"&gt;="&amp;(A18-6),$A$2:$A$121,"&lt;="&amp;A18,$N$2:$N$121,"&gt;0"))</f>
        <v/>
      </c>
    </row>
    <row r="19">
      <c r="A19" s="22" t="n">
        <v>46321</v>
      </c>
      <c r="B19" s="7" t="inlineStr">
        <is>
          <t>Bazar ertəsi</t>
        </is>
      </c>
      <c r="C19" s="17" t="inlineStr">
        <is>
          <t>Zal</t>
        </is>
      </c>
      <c r="D19" s="8" t="n"/>
      <c r="E19" s="17" t="inlineStr">
        <is>
          <t>Tək</t>
        </is>
      </c>
      <c r="F19" s="11">
        <f>ROUND(((10*Profil!$B$4+6.25*Profil!$B$5-5*Profil!$B$6+5)*Profil!$B$7+Profil!$B$8+IF(C19="Zal",Profil!$B$9,0)+IF(N(D19)&gt;0,IF(E19="Cüt",5,7)*Profil!$B$4*D19/60,0))/10,0)*10</f>
        <v/>
      </c>
      <c r="G19" s="11">
        <f>IF(COUNTIF(Gündəlik!$A$2:$A$2001,A19)=0,"",SUMIFS(Gündəlik!$E$2:$E$2001,Gündəlik!$A$2:$A$2001,A19))</f>
        <v/>
      </c>
      <c r="H19" s="23">
        <f>IF(G19="","",G19-F19)</f>
        <v/>
      </c>
      <c r="I19" s="7">
        <f>IF(G19="","",IF(G19&lt;F19*0.9,"az",IF(G19&gt;F19*1.15,"çox","normada")))</f>
        <v/>
      </c>
      <c r="J19" s="18">
        <f>IF(G19="","",SUMIFS(Gündəlik!$F$2:$F$2001,Gündəlik!$A$2:$A$2001,A19))</f>
        <v/>
      </c>
      <c r="K19" s="18">
        <f>ROUND(Profil!$B$10*Profil!$B$4,0)</f>
        <v/>
      </c>
      <c r="L19" s="18">
        <f>IF(G19="","",SUMIFS(Gündəlik!$G$2:$G$2001,Gündəlik!$A$2:$A$2001,A19))</f>
        <v/>
      </c>
      <c r="M19" s="18">
        <f>IF(G19="","",SUMIFS(Gündəlik!$H$2:$H$2001,Gündəlik!$A$2:$A$2001,A19))</f>
        <v/>
      </c>
      <c r="N19" s="24" t="n"/>
      <c r="O19" s="25">
        <f>IF(COUNTIFS($A$2:$A$121,"&gt;="&amp;(A19-6),$A$2:$A$121,"&lt;="&amp;A19,$N$2:$N$121,"&gt;0")&lt;3,"",AVERAGEIFS($N$2:$N$121,$A$2:$A$121,"&gt;="&amp;(A19-6),$A$2:$A$121,"&lt;="&amp;A19,$N$2:$N$121,"&gt;0"))</f>
        <v/>
      </c>
    </row>
    <row r="20">
      <c r="A20" s="22" t="n">
        <v>46322</v>
      </c>
      <c r="B20" s="7" t="inlineStr">
        <is>
          <t>Çərşənbə axşamı</t>
        </is>
      </c>
      <c r="C20" s="17" t="inlineStr">
        <is>
          <t>İstirahət</t>
        </is>
      </c>
      <c r="D20" s="8" t="n"/>
      <c r="E20" s="17" t="inlineStr">
        <is>
          <t>Tək</t>
        </is>
      </c>
      <c r="F20" s="11">
        <f>ROUND(((10*Profil!$B$4+6.25*Profil!$B$5-5*Profil!$B$6+5)*Profil!$B$7+Profil!$B$8+IF(C20="Zal",Profil!$B$9,0)+IF(N(D20)&gt;0,IF(E20="Cüt",5,7)*Profil!$B$4*D20/60,0))/10,0)*10</f>
        <v/>
      </c>
      <c r="G20" s="11">
        <f>IF(COUNTIF(Gündəlik!$A$2:$A$2001,A20)=0,"",SUMIFS(Gündəlik!$E$2:$E$2001,Gündəlik!$A$2:$A$2001,A20))</f>
        <v/>
      </c>
      <c r="H20" s="23">
        <f>IF(G20="","",G20-F20)</f>
        <v/>
      </c>
      <c r="I20" s="7">
        <f>IF(G20="","",IF(G20&lt;F20*0.9,"az",IF(G20&gt;F20*1.15,"çox","normada")))</f>
        <v/>
      </c>
      <c r="J20" s="18">
        <f>IF(G20="","",SUMIFS(Gündəlik!$F$2:$F$2001,Gündəlik!$A$2:$A$2001,A20))</f>
        <v/>
      </c>
      <c r="K20" s="18">
        <f>ROUND(Profil!$B$10*Profil!$B$4,0)</f>
        <v/>
      </c>
      <c r="L20" s="18">
        <f>IF(G20="","",SUMIFS(Gündəlik!$G$2:$G$2001,Gündəlik!$A$2:$A$2001,A20))</f>
        <v/>
      </c>
      <c r="M20" s="18">
        <f>IF(G20="","",SUMIFS(Gündəlik!$H$2:$H$2001,Gündəlik!$A$2:$A$2001,A20))</f>
        <v/>
      </c>
      <c r="N20" s="24" t="n"/>
      <c r="O20" s="25">
        <f>IF(COUNTIFS($A$2:$A$121,"&gt;="&amp;(A20-6),$A$2:$A$121,"&lt;="&amp;A20,$N$2:$N$121,"&gt;0")&lt;3,"",AVERAGEIFS($N$2:$N$121,$A$2:$A$121,"&gt;="&amp;(A20-6),$A$2:$A$121,"&lt;="&amp;A20,$N$2:$N$121,"&gt;0"))</f>
        <v/>
      </c>
    </row>
    <row r="21">
      <c r="A21" s="22" t="n">
        <v>46323</v>
      </c>
      <c r="B21" s="7" t="inlineStr">
        <is>
          <t>Çərşənbə</t>
        </is>
      </c>
      <c r="C21" s="17" t="inlineStr">
        <is>
          <t>Zal</t>
        </is>
      </c>
      <c r="D21" s="8" t="n"/>
      <c r="E21" s="17" t="inlineStr">
        <is>
          <t>Tək</t>
        </is>
      </c>
      <c r="F21" s="11">
        <f>ROUND(((10*Profil!$B$4+6.25*Profil!$B$5-5*Profil!$B$6+5)*Profil!$B$7+Profil!$B$8+IF(C21="Zal",Profil!$B$9,0)+IF(N(D21)&gt;0,IF(E21="Cüt",5,7)*Profil!$B$4*D21/60,0))/10,0)*10</f>
        <v/>
      </c>
      <c r="G21" s="11">
        <f>IF(COUNTIF(Gündəlik!$A$2:$A$2001,A21)=0,"",SUMIFS(Gündəlik!$E$2:$E$2001,Gündəlik!$A$2:$A$2001,A21))</f>
        <v/>
      </c>
      <c r="H21" s="23">
        <f>IF(G21="","",G21-F21)</f>
        <v/>
      </c>
      <c r="I21" s="7">
        <f>IF(G21="","",IF(G21&lt;F21*0.9,"az",IF(G21&gt;F21*1.15,"çox","normada")))</f>
        <v/>
      </c>
      <c r="J21" s="18">
        <f>IF(G21="","",SUMIFS(Gündəlik!$F$2:$F$2001,Gündəlik!$A$2:$A$2001,A21))</f>
        <v/>
      </c>
      <c r="K21" s="18">
        <f>ROUND(Profil!$B$10*Profil!$B$4,0)</f>
        <v/>
      </c>
      <c r="L21" s="18">
        <f>IF(G21="","",SUMIFS(Gündəlik!$G$2:$G$2001,Gündəlik!$A$2:$A$2001,A21))</f>
        <v/>
      </c>
      <c r="M21" s="18">
        <f>IF(G21="","",SUMIFS(Gündəlik!$H$2:$H$2001,Gündəlik!$A$2:$A$2001,A21))</f>
        <v/>
      </c>
      <c r="N21" s="24" t="n"/>
      <c r="O21" s="25">
        <f>IF(COUNTIFS($A$2:$A$121,"&gt;="&amp;(A21-6),$A$2:$A$121,"&lt;="&amp;A21,$N$2:$N$121,"&gt;0")&lt;3,"",AVERAGEIFS($N$2:$N$121,$A$2:$A$121,"&gt;="&amp;(A21-6),$A$2:$A$121,"&lt;="&amp;A21,$N$2:$N$121,"&gt;0"))</f>
        <v/>
      </c>
    </row>
    <row r="22">
      <c r="A22" s="22" t="n">
        <v>46324</v>
      </c>
      <c r="B22" s="7" t="inlineStr">
        <is>
          <t>Cümə axşamı</t>
        </is>
      </c>
      <c r="C22" s="17" t="inlineStr">
        <is>
          <t>İstirahət</t>
        </is>
      </c>
      <c r="D22" s="8" t="n"/>
      <c r="E22" s="17" t="inlineStr">
        <is>
          <t>Tək</t>
        </is>
      </c>
      <c r="F22" s="11">
        <f>ROUND(((10*Profil!$B$4+6.25*Profil!$B$5-5*Profil!$B$6+5)*Profil!$B$7+Profil!$B$8+IF(C22="Zal",Profil!$B$9,0)+IF(N(D22)&gt;0,IF(E22="Cüt",5,7)*Profil!$B$4*D22/60,0))/10,0)*10</f>
        <v/>
      </c>
      <c r="G22" s="11">
        <f>IF(COUNTIF(Gündəlik!$A$2:$A$2001,A22)=0,"",SUMIFS(Gündəlik!$E$2:$E$2001,Gündəlik!$A$2:$A$2001,A22))</f>
        <v/>
      </c>
      <c r="H22" s="23">
        <f>IF(G22="","",G22-F22)</f>
        <v/>
      </c>
      <c r="I22" s="7">
        <f>IF(G22="","",IF(G22&lt;F22*0.9,"az",IF(G22&gt;F22*1.15,"çox","normada")))</f>
        <v/>
      </c>
      <c r="J22" s="18">
        <f>IF(G22="","",SUMIFS(Gündəlik!$F$2:$F$2001,Gündəlik!$A$2:$A$2001,A22))</f>
        <v/>
      </c>
      <c r="K22" s="18">
        <f>ROUND(Profil!$B$10*Profil!$B$4,0)</f>
        <v/>
      </c>
      <c r="L22" s="18">
        <f>IF(G22="","",SUMIFS(Gündəlik!$G$2:$G$2001,Gündəlik!$A$2:$A$2001,A22))</f>
        <v/>
      </c>
      <c r="M22" s="18">
        <f>IF(G22="","",SUMIFS(Gündəlik!$H$2:$H$2001,Gündəlik!$A$2:$A$2001,A22))</f>
        <v/>
      </c>
      <c r="N22" s="24" t="n"/>
      <c r="O22" s="25">
        <f>IF(COUNTIFS($A$2:$A$121,"&gt;="&amp;(A22-6),$A$2:$A$121,"&lt;="&amp;A22,$N$2:$N$121,"&gt;0")&lt;3,"",AVERAGEIFS($N$2:$N$121,$A$2:$A$121,"&gt;="&amp;(A22-6),$A$2:$A$121,"&lt;="&amp;A22,$N$2:$N$121,"&gt;0"))</f>
        <v/>
      </c>
    </row>
    <row r="23">
      <c r="A23" s="22" t="n">
        <v>46325</v>
      </c>
      <c r="B23" s="7" t="inlineStr">
        <is>
          <t>Cümə</t>
        </is>
      </c>
      <c r="C23" s="17" t="inlineStr">
        <is>
          <t>Zal</t>
        </is>
      </c>
      <c r="D23" s="8" t="n"/>
      <c r="E23" s="17" t="inlineStr">
        <is>
          <t>Tək</t>
        </is>
      </c>
      <c r="F23" s="11">
        <f>ROUND(((10*Profil!$B$4+6.25*Profil!$B$5-5*Profil!$B$6+5)*Profil!$B$7+Profil!$B$8+IF(C23="Zal",Profil!$B$9,0)+IF(N(D23)&gt;0,IF(E23="Cüt",5,7)*Profil!$B$4*D23/60,0))/10,0)*10</f>
        <v/>
      </c>
      <c r="G23" s="11">
        <f>IF(COUNTIF(Gündəlik!$A$2:$A$2001,A23)=0,"",SUMIFS(Gündəlik!$E$2:$E$2001,Gündəlik!$A$2:$A$2001,A23))</f>
        <v/>
      </c>
      <c r="H23" s="23">
        <f>IF(G23="","",G23-F23)</f>
        <v/>
      </c>
      <c r="I23" s="7">
        <f>IF(G23="","",IF(G23&lt;F23*0.9,"az",IF(G23&gt;F23*1.15,"çox","normada")))</f>
        <v/>
      </c>
      <c r="J23" s="18">
        <f>IF(G23="","",SUMIFS(Gündəlik!$F$2:$F$2001,Gündəlik!$A$2:$A$2001,A23))</f>
        <v/>
      </c>
      <c r="K23" s="18">
        <f>ROUND(Profil!$B$10*Profil!$B$4,0)</f>
        <v/>
      </c>
      <c r="L23" s="18">
        <f>IF(G23="","",SUMIFS(Gündəlik!$G$2:$G$2001,Gündəlik!$A$2:$A$2001,A23))</f>
        <v/>
      </c>
      <c r="M23" s="18">
        <f>IF(G23="","",SUMIFS(Gündəlik!$H$2:$H$2001,Gündəlik!$A$2:$A$2001,A23))</f>
        <v/>
      </c>
      <c r="N23" s="24" t="n"/>
      <c r="O23" s="25">
        <f>IF(COUNTIFS($A$2:$A$121,"&gt;="&amp;(A23-6),$A$2:$A$121,"&lt;="&amp;A23,$N$2:$N$121,"&gt;0")&lt;3,"",AVERAGEIFS($N$2:$N$121,$A$2:$A$121,"&gt;="&amp;(A23-6),$A$2:$A$121,"&lt;="&amp;A23,$N$2:$N$121,"&gt;0"))</f>
        <v/>
      </c>
    </row>
    <row r="24">
      <c r="A24" s="22" t="n">
        <v>46326</v>
      </c>
      <c r="B24" s="7" t="inlineStr">
        <is>
          <t>Şənbə</t>
        </is>
      </c>
      <c r="C24" s="17" t="inlineStr">
        <is>
          <t>İstirahət</t>
        </is>
      </c>
      <c r="D24" s="8" t="n"/>
      <c r="E24" s="17" t="inlineStr">
        <is>
          <t>Tək</t>
        </is>
      </c>
      <c r="F24" s="11">
        <f>ROUND(((10*Profil!$B$4+6.25*Profil!$B$5-5*Profil!$B$6+5)*Profil!$B$7+Profil!$B$8+IF(C24="Zal",Profil!$B$9,0)+IF(N(D24)&gt;0,IF(E24="Cüt",5,7)*Profil!$B$4*D24/60,0))/10,0)*10</f>
        <v/>
      </c>
      <c r="G24" s="11">
        <f>IF(COUNTIF(Gündəlik!$A$2:$A$2001,A24)=0,"",SUMIFS(Gündəlik!$E$2:$E$2001,Gündəlik!$A$2:$A$2001,A24))</f>
        <v/>
      </c>
      <c r="H24" s="23">
        <f>IF(G24="","",G24-F24)</f>
        <v/>
      </c>
      <c r="I24" s="7">
        <f>IF(G24="","",IF(G24&lt;F24*0.9,"az",IF(G24&gt;F24*1.15,"çox","normada")))</f>
        <v/>
      </c>
      <c r="J24" s="18">
        <f>IF(G24="","",SUMIFS(Gündəlik!$F$2:$F$2001,Gündəlik!$A$2:$A$2001,A24))</f>
        <v/>
      </c>
      <c r="K24" s="18">
        <f>ROUND(Profil!$B$10*Profil!$B$4,0)</f>
        <v/>
      </c>
      <c r="L24" s="18">
        <f>IF(G24="","",SUMIFS(Gündəlik!$G$2:$G$2001,Gündəlik!$A$2:$A$2001,A24))</f>
        <v/>
      </c>
      <c r="M24" s="18">
        <f>IF(G24="","",SUMIFS(Gündəlik!$H$2:$H$2001,Gündəlik!$A$2:$A$2001,A24))</f>
        <v/>
      </c>
      <c r="N24" s="24" t="n"/>
      <c r="O24" s="25">
        <f>IF(COUNTIFS($A$2:$A$121,"&gt;="&amp;(A24-6),$A$2:$A$121,"&lt;="&amp;A24,$N$2:$N$121,"&gt;0")&lt;3,"",AVERAGEIFS($N$2:$N$121,$A$2:$A$121,"&gt;="&amp;(A24-6),$A$2:$A$121,"&lt;="&amp;A24,$N$2:$N$121,"&gt;0"))</f>
        <v/>
      </c>
    </row>
    <row r="25">
      <c r="A25" s="22" t="n">
        <v>46327</v>
      </c>
      <c r="B25" s="7" t="inlineStr">
        <is>
          <t>Bazar</t>
        </is>
      </c>
      <c r="C25" s="17" t="inlineStr">
        <is>
          <t>İstirahət</t>
        </is>
      </c>
      <c r="D25" s="8" t="n"/>
      <c r="E25" s="17" t="inlineStr">
        <is>
          <t>Tək</t>
        </is>
      </c>
      <c r="F25" s="11">
        <f>ROUND(((10*Profil!$B$4+6.25*Profil!$B$5-5*Profil!$B$6+5)*Profil!$B$7+Profil!$B$8+IF(C25="Zal",Profil!$B$9,0)+IF(N(D25)&gt;0,IF(E25="Cüt",5,7)*Profil!$B$4*D25/60,0))/10,0)*10</f>
        <v/>
      </c>
      <c r="G25" s="11">
        <f>IF(COUNTIF(Gündəlik!$A$2:$A$2001,A25)=0,"",SUMIFS(Gündəlik!$E$2:$E$2001,Gündəlik!$A$2:$A$2001,A25))</f>
        <v/>
      </c>
      <c r="H25" s="23">
        <f>IF(G25="","",G25-F25)</f>
        <v/>
      </c>
      <c r="I25" s="7">
        <f>IF(G25="","",IF(G25&lt;F25*0.9,"az",IF(G25&gt;F25*1.15,"çox","normada")))</f>
        <v/>
      </c>
      <c r="J25" s="18">
        <f>IF(G25="","",SUMIFS(Gündəlik!$F$2:$F$2001,Gündəlik!$A$2:$A$2001,A25))</f>
        <v/>
      </c>
      <c r="K25" s="18">
        <f>ROUND(Profil!$B$10*Profil!$B$4,0)</f>
        <v/>
      </c>
      <c r="L25" s="18">
        <f>IF(G25="","",SUMIFS(Gündəlik!$G$2:$G$2001,Gündəlik!$A$2:$A$2001,A25))</f>
        <v/>
      </c>
      <c r="M25" s="18">
        <f>IF(G25="","",SUMIFS(Gündəlik!$H$2:$H$2001,Gündəlik!$A$2:$A$2001,A25))</f>
        <v/>
      </c>
      <c r="N25" s="24" t="n"/>
      <c r="O25" s="25">
        <f>IF(COUNTIFS($A$2:$A$121,"&gt;="&amp;(A25-6),$A$2:$A$121,"&lt;="&amp;A25,$N$2:$N$121,"&gt;0")&lt;3,"",AVERAGEIFS($N$2:$N$121,$A$2:$A$121,"&gt;="&amp;(A25-6),$A$2:$A$121,"&lt;="&amp;A25,$N$2:$N$121,"&gt;0"))</f>
        <v/>
      </c>
    </row>
    <row r="26">
      <c r="A26" s="22" t="n">
        <v>46328</v>
      </c>
      <c r="B26" s="7" t="inlineStr">
        <is>
          <t>Bazar ertəsi</t>
        </is>
      </c>
      <c r="C26" s="17" t="inlineStr">
        <is>
          <t>Zal</t>
        </is>
      </c>
      <c r="D26" s="8" t="n"/>
      <c r="E26" s="17" t="inlineStr">
        <is>
          <t>Tək</t>
        </is>
      </c>
      <c r="F26" s="11">
        <f>ROUND(((10*Profil!$B$4+6.25*Profil!$B$5-5*Profil!$B$6+5)*Profil!$B$7+Profil!$B$8+IF(C26="Zal",Profil!$B$9,0)+IF(N(D26)&gt;0,IF(E26="Cüt",5,7)*Profil!$B$4*D26/60,0))/10,0)*10</f>
        <v/>
      </c>
      <c r="G26" s="11">
        <f>IF(COUNTIF(Gündəlik!$A$2:$A$2001,A26)=0,"",SUMIFS(Gündəlik!$E$2:$E$2001,Gündəlik!$A$2:$A$2001,A26))</f>
        <v/>
      </c>
      <c r="H26" s="23">
        <f>IF(G26="","",G26-F26)</f>
        <v/>
      </c>
      <c r="I26" s="7">
        <f>IF(G26="","",IF(G26&lt;F26*0.9,"az",IF(G26&gt;F26*1.15,"çox","normada")))</f>
        <v/>
      </c>
      <c r="J26" s="18">
        <f>IF(G26="","",SUMIFS(Gündəlik!$F$2:$F$2001,Gündəlik!$A$2:$A$2001,A26))</f>
        <v/>
      </c>
      <c r="K26" s="18">
        <f>ROUND(Profil!$B$10*Profil!$B$4,0)</f>
        <v/>
      </c>
      <c r="L26" s="18">
        <f>IF(G26="","",SUMIFS(Gündəlik!$G$2:$G$2001,Gündəlik!$A$2:$A$2001,A26))</f>
        <v/>
      </c>
      <c r="M26" s="18">
        <f>IF(G26="","",SUMIFS(Gündəlik!$H$2:$H$2001,Gündəlik!$A$2:$A$2001,A26))</f>
        <v/>
      </c>
      <c r="N26" s="24" t="n"/>
      <c r="O26" s="25">
        <f>IF(COUNTIFS($A$2:$A$121,"&gt;="&amp;(A26-6),$A$2:$A$121,"&lt;="&amp;A26,$N$2:$N$121,"&gt;0")&lt;3,"",AVERAGEIFS($N$2:$N$121,$A$2:$A$121,"&gt;="&amp;(A26-6),$A$2:$A$121,"&lt;="&amp;A26,$N$2:$N$121,"&gt;0"))</f>
        <v/>
      </c>
    </row>
    <row r="27">
      <c r="A27" s="22" t="n">
        <v>46329</v>
      </c>
      <c r="B27" s="7" t="inlineStr">
        <is>
          <t>Çərşənbə axşamı</t>
        </is>
      </c>
      <c r="C27" s="17" t="inlineStr">
        <is>
          <t>İstirahət</t>
        </is>
      </c>
      <c r="D27" s="8" t="n"/>
      <c r="E27" s="17" t="inlineStr">
        <is>
          <t>Tək</t>
        </is>
      </c>
      <c r="F27" s="11">
        <f>ROUND(((10*Profil!$B$4+6.25*Profil!$B$5-5*Profil!$B$6+5)*Profil!$B$7+Profil!$B$8+IF(C27="Zal",Profil!$B$9,0)+IF(N(D27)&gt;0,IF(E27="Cüt",5,7)*Profil!$B$4*D27/60,0))/10,0)*10</f>
        <v/>
      </c>
      <c r="G27" s="11">
        <f>IF(COUNTIF(Gündəlik!$A$2:$A$2001,A27)=0,"",SUMIFS(Gündəlik!$E$2:$E$2001,Gündəlik!$A$2:$A$2001,A27))</f>
        <v/>
      </c>
      <c r="H27" s="23">
        <f>IF(G27="","",G27-F27)</f>
        <v/>
      </c>
      <c r="I27" s="7">
        <f>IF(G27="","",IF(G27&lt;F27*0.9,"az",IF(G27&gt;F27*1.15,"çox","normada")))</f>
        <v/>
      </c>
      <c r="J27" s="18">
        <f>IF(G27="","",SUMIFS(Gündəlik!$F$2:$F$2001,Gündəlik!$A$2:$A$2001,A27))</f>
        <v/>
      </c>
      <c r="K27" s="18">
        <f>ROUND(Profil!$B$10*Profil!$B$4,0)</f>
        <v/>
      </c>
      <c r="L27" s="18">
        <f>IF(G27="","",SUMIFS(Gündəlik!$G$2:$G$2001,Gündəlik!$A$2:$A$2001,A27))</f>
        <v/>
      </c>
      <c r="M27" s="18">
        <f>IF(G27="","",SUMIFS(Gündəlik!$H$2:$H$2001,Gündəlik!$A$2:$A$2001,A27))</f>
        <v/>
      </c>
      <c r="N27" s="24" t="n"/>
      <c r="O27" s="25">
        <f>IF(COUNTIFS($A$2:$A$121,"&gt;="&amp;(A27-6),$A$2:$A$121,"&lt;="&amp;A27,$N$2:$N$121,"&gt;0")&lt;3,"",AVERAGEIFS($N$2:$N$121,$A$2:$A$121,"&gt;="&amp;(A27-6),$A$2:$A$121,"&lt;="&amp;A27,$N$2:$N$121,"&gt;0"))</f>
        <v/>
      </c>
    </row>
    <row r="28">
      <c r="A28" s="22" t="n">
        <v>46330</v>
      </c>
      <c r="B28" s="7" t="inlineStr">
        <is>
          <t>Çərşənbə</t>
        </is>
      </c>
      <c r="C28" s="17" t="inlineStr">
        <is>
          <t>Zal</t>
        </is>
      </c>
      <c r="D28" s="8" t="n"/>
      <c r="E28" s="17" t="inlineStr">
        <is>
          <t>Tək</t>
        </is>
      </c>
      <c r="F28" s="11">
        <f>ROUND(((10*Profil!$B$4+6.25*Profil!$B$5-5*Profil!$B$6+5)*Profil!$B$7+Profil!$B$8+IF(C28="Zal",Profil!$B$9,0)+IF(N(D28)&gt;0,IF(E28="Cüt",5,7)*Profil!$B$4*D28/60,0))/10,0)*10</f>
        <v/>
      </c>
      <c r="G28" s="11">
        <f>IF(COUNTIF(Gündəlik!$A$2:$A$2001,A28)=0,"",SUMIFS(Gündəlik!$E$2:$E$2001,Gündəlik!$A$2:$A$2001,A28))</f>
        <v/>
      </c>
      <c r="H28" s="23">
        <f>IF(G28="","",G28-F28)</f>
        <v/>
      </c>
      <c r="I28" s="7">
        <f>IF(G28="","",IF(G28&lt;F28*0.9,"az",IF(G28&gt;F28*1.15,"çox","normada")))</f>
        <v/>
      </c>
      <c r="J28" s="18">
        <f>IF(G28="","",SUMIFS(Gündəlik!$F$2:$F$2001,Gündəlik!$A$2:$A$2001,A28))</f>
        <v/>
      </c>
      <c r="K28" s="18">
        <f>ROUND(Profil!$B$10*Profil!$B$4,0)</f>
        <v/>
      </c>
      <c r="L28" s="18">
        <f>IF(G28="","",SUMIFS(Gündəlik!$G$2:$G$2001,Gündəlik!$A$2:$A$2001,A28))</f>
        <v/>
      </c>
      <c r="M28" s="18">
        <f>IF(G28="","",SUMIFS(Gündəlik!$H$2:$H$2001,Gündəlik!$A$2:$A$2001,A28))</f>
        <v/>
      </c>
      <c r="N28" s="24" t="n"/>
      <c r="O28" s="25">
        <f>IF(COUNTIFS($A$2:$A$121,"&gt;="&amp;(A28-6),$A$2:$A$121,"&lt;="&amp;A28,$N$2:$N$121,"&gt;0")&lt;3,"",AVERAGEIFS($N$2:$N$121,$A$2:$A$121,"&gt;="&amp;(A28-6),$A$2:$A$121,"&lt;="&amp;A28,$N$2:$N$121,"&gt;0"))</f>
        <v/>
      </c>
    </row>
    <row r="29">
      <c r="A29" s="22" t="n">
        <v>46331</v>
      </c>
      <c r="B29" s="7" t="inlineStr">
        <is>
          <t>Cümə axşamı</t>
        </is>
      </c>
      <c r="C29" s="17" t="inlineStr">
        <is>
          <t>İstirahət</t>
        </is>
      </c>
      <c r="D29" s="8" t="n"/>
      <c r="E29" s="17" t="inlineStr">
        <is>
          <t>Tək</t>
        </is>
      </c>
      <c r="F29" s="11">
        <f>ROUND(((10*Profil!$B$4+6.25*Profil!$B$5-5*Profil!$B$6+5)*Profil!$B$7+Profil!$B$8+IF(C29="Zal",Profil!$B$9,0)+IF(N(D29)&gt;0,IF(E29="Cüt",5,7)*Profil!$B$4*D29/60,0))/10,0)*10</f>
        <v/>
      </c>
      <c r="G29" s="11">
        <f>IF(COUNTIF(Gündəlik!$A$2:$A$2001,A29)=0,"",SUMIFS(Gündəlik!$E$2:$E$2001,Gündəlik!$A$2:$A$2001,A29))</f>
        <v/>
      </c>
      <c r="H29" s="23">
        <f>IF(G29="","",G29-F29)</f>
        <v/>
      </c>
      <c r="I29" s="7">
        <f>IF(G29="","",IF(G29&lt;F29*0.9,"az",IF(G29&gt;F29*1.15,"çox","normada")))</f>
        <v/>
      </c>
      <c r="J29" s="18">
        <f>IF(G29="","",SUMIFS(Gündəlik!$F$2:$F$2001,Gündəlik!$A$2:$A$2001,A29))</f>
        <v/>
      </c>
      <c r="K29" s="18">
        <f>ROUND(Profil!$B$10*Profil!$B$4,0)</f>
        <v/>
      </c>
      <c r="L29" s="18">
        <f>IF(G29="","",SUMIFS(Gündəlik!$G$2:$G$2001,Gündəlik!$A$2:$A$2001,A29))</f>
        <v/>
      </c>
      <c r="M29" s="18">
        <f>IF(G29="","",SUMIFS(Gündəlik!$H$2:$H$2001,Gündəlik!$A$2:$A$2001,A29))</f>
        <v/>
      </c>
      <c r="N29" s="24" t="n"/>
      <c r="O29" s="25">
        <f>IF(COUNTIFS($A$2:$A$121,"&gt;="&amp;(A29-6),$A$2:$A$121,"&lt;="&amp;A29,$N$2:$N$121,"&gt;0")&lt;3,"",AVERAGEIFS($N$2:$N$121,$A$2:$A$121,"&gt;="&amp;(A29-6),$A$2:$A$121,"&lt;="&amp;A29,$N$2:$N$121,"&gt;0"))</f>
        <v/>
      </c>
    </row>
    <row r="30">
      <c r="A30" s="22" t="n">
        <v>46332</v>
      </c>
      <c r="B30" s="7" t="inlineStr">
        <is>
          <t>Cümə</t>
        </is>
      </c>
      <c r="C30" s="17" t="inlineStr">
        <is>
          <t>Zal</t>
        </is>
      </c>
      <c r="D30" s="8" t="n"/>
      <c r="E30" s="17" t="inlineStr">
        <is>
          <t>Tək</t>
        </is>
      </c>
      <c r="F30" s="11">
        <f>ROUND(((10*Profil!$B$4+6.25*Profil!$B$5-5*Profil!$B$6+5)*Profil!$B$7+Profil!$B$8+IF(C30="Zal",Profil!$B$9,0)+IF(N(D30)&gt;0,IF(E30="Cüt",5,7)*Profil!$B$4*D30/60,0))/10,0)*10</f>
        <v/>
      </c>
      <c r="G30" s="11">
        <f>IF(COUNTIF(Gündəlik!$A$2:$A$2001,A30)=0,"",SUMIFS(Gündəlik!$E$2:$E$2001,Gündəlik!$A$2:$A$2001,A30))</f>
        <v/>
      </c>
      <c r="H30" s="23">
        <f>IF(G30="","",G30-F30)</f>
        <v/>
      </c>
      <c r="I30" s="7">
        <f>IF(G30="","",IF(G30&lt;F30*0.9,"az",IF(G30&gt;F30*1.15,"çox","normada")))</f>
        <v/>
      </c>
      <c r="J30" s="18">
        <f>IF(G30="","",SUMIFS(Gündəlik!$F$2:$F$2001,Gündəlik!$A$2:$A$2001,A30))</f>
        <v/>
      </c>
      <c r="K30" s="18">
        <f>ROUND(Profil!$B$10*Profil!$B$4,0)</f>
        <v/>
      </c>
      <c r="L30" s="18">
        <f>IF(G30="","",SUMIFS(Gündəlik!$G$2:$G$2001,Gündəlik!$A$2:$A$2001,A30))</f>
        <v/>
      </c>
      <c r="M30" s="18">
        <f>IF(G30="","",SUMIFS(Gündəlik!$H$2:$H$2001,Gündəlik!$A$2:$A$2001,A30))</f>
        <v/>
      </c>
      <c r="N30" s="24" t="n"/>
      <c r="O30" s="25">
        <f>IF(COUNTIFS($A$2:$A$121,"&gt;="&amp;(A30-6),$A$2:$A$121,"&lt;="&amp;A30,$N$2:$N$121,"&gt;0")&lt;3,"",AVERAGEIFS($N$2:$N$121,$A$2:$A$121,"&gt;="&amp;(A30-6),$A$2:$A$121,"&lt;="&amp;A30,$N$2:$N$121,"&gt;0"))</f>
        <v/>
      </c>
    </row>
    <row r="31">
      <c r="A31" s="22" t="n">
        <v>46333</v>
      </c>
      <c r="B31" s="7" t="inlineStr">
        <is>
          <t>Şənbə</t>
        </is>
      </c>
      <c r="C31" s="17" t="inlineStr">
        <is>
          <t>İstirahət</t>
        </is>
      </c>
      <c r="D31" s="8" t="n"/>
      <c r="E31" s="17" t="inlineStr">
        <is>
          <t>Tək</t>
        </is>
      </c>
      <c r="F31" s="11">
        <f>ROUND(((10*Profil!$B$4+6.25*Profil!$B$5-5*Profil!$B$6+5)*Profil!$B$7+Profil!$B$8+IF(C31="Zal",Profil!$B$9,0)+IF(N(D31)&gt;0,IF(E31="Cüt",5,7)*Profil!$B$4*D31/60,0))/10,0)*10</f>
        <v/>
      </c>
      <c r="G31" s="11">
        <f>IF(COUNTIF(Gündəlik!$A$2:$A$2001,A31)=0,"",SUMIFS(Gündəlik!$E$2:$E$2001,Gündəlik!$A$2:$A$2001,A31))</f>
        <v/>
      </c>
      <c r="H31" s="23">
        <f>IF(G31="","",G31-F31)</f>
        <v/>
      </c>
      <c r="I31" s="7">
        <f>IF(G31="","",IF(G31&lt;F31*0.9,"az",IF(G31&gt;F31*1.15,"çox","normada")))</f>
        <v/>
      </c>
      <c r="J31" s="18">
        <f>IF(G31="","",SUMIFS(Gündəlik!$F$2:$F$2001,Gündəlik!$A$2:$A$2001,A31))</f>
        <v/>
      </c>
      <c r="K31" s="18">
        <f>ROUND(Profil!$B$10*Profil!$B$4,0)</f>
        <v/>
      </c>
      <c r="L31" s="18">
        <f>IF(G31="","",SUMIFS(Gündəlik!$G$2:$G$2001,Gündəlik!$A$2:$A$2001,A31))</f>
        <v/>
      </c>
      <c r="M31" s="18">
        <f>IF(G31="","",SUMIFS(Gündəlik!$H$2:$H$2001,Gündəlik!$A$2:$A$2001,A31))</f>
        <v/>
      </c>
      <c r="N31" s="24" t="n"/>
      <c r="O31" s="25">
        <f>IF(COUNTIFS($A$2:$A$121,"&gt;="&amp;(A31-6),$A$2:$A$121,"&lt;="&amp;A31,$N$2:$N$121,"&gt;0")&lt;3,"",AVERAGEIFS($N$2:$N$121,$A$2:$A$121,"&gt;="&amp;(A31-6),$A$2:$A$121,"&lt;="&amp;A31,$N$2:$N$121,"&gt;0"))</f>
        <v/>
      </c>
    </row>
    <row r="32">
      <c r="A32" s="22" t="n">
        <v>46334</v>
      </c>
      <c r="B32" s="7" t="inlineStr">
        <is>
          <t>Bazar</t>
        </is>
      </c>
      <c r="C32" s="17" t="inlineStr">
        <is>
          <t>İstirahət</t>
        </is>
      </c>
      <c r="D32" s="8" t="n"/>
      <c r="E32" s="17" t="inlineStr">
        <is>
          <t>Tək</t>
        </is>
      </c>
      <c r="F32" s="11">
        <f>ROUND(((10*Profil!$B$4+6.25*Profil!$B$5-5*Profil!$B$6+5)*Profil!$B$7+Profil!$B$8+IF(C32="Zal",Profil!$B$9,0)+IF(N(D32)&gt;0,IF(E32="Cüt",5,7)*Profil!$B$4*D32/60,0))/10,0)*10</f>
        <v/>
      </c>
      <c r="G32" s="11">
        <f>IF(COUNTIF(Gündəlik!$A$2:$A$2001,A32)=0,"",SUMIFS(Gündəlik!$E$2:$E$2001,Gündəlik!$A$2:$A$2001,A32))</f>
        <v/>
      </c>
      <c r="H32" s="23">
        <f>IF(G32="","",G32-F32)</f>
        <v/>
      </c>
      <c r="I32" s="7">
        <f>IF(G32="","",IF(G32&lt;F32*0.9,"az",IF(G32&gt;F32*1.15,"çox","normada")))</f>
        <v/>
      </c>
      <c r="J32" s="18">
        <f>IF(G32="","",SUMIFS(Gündəlik!$F$2:$F$2001,Gündəlik!$A$2:$A$2001,A32))</f>
        <v/>
      </c>
      <c r="K32" s="18">
        <f>ROUND(Profil!$B$10*Profil!$B$4,0)</f>
        <v/>
      </c>
      <c r="L32" s="18">
        <f>IF(G32="","",SUMIFS(Gündəlik!$G$2:$G$2001,Gündəlik!$A$2:$A$2001,A32))</f>
        <v/>
      </c>
      <c r="M32" s="18">
        <f>IF(G32="","",SUMIFS(Gündəlik!$H$2:$H$2001,Gündəlik!$A$2:$A$2001,A32))</f>
        <v/>
      </c>
      <c r="N32" s="24" t="n"/>
      <c r="O32" s="25">
        <f>IF(COUNTIFS($A$2:$A$121,"&gt;="&amp;(A32-6),$A$2:$A$121,"&lt;="&amp;A32,$N$2:$N$121,"&gt;0")&lt;3,"",AVERAGEIFS($N$2:$N$121,$A$2:$A$121,"&gt;="&amp;(A32-6),$A$2:$A$121,"&lt;="&amp;A32,$N$2:$N$121,"&gt;0"))</f>
        <v/>
      </c>
    </row>
    <row r="33">
      <c r="A33" s="22" t="n">
        <v>46335</v>
      </c>
      <c r="B33" s="7" t="inlineStr">
        <is>
          <t>Bazar ertəsi</t>
        </is>
      </c>
      <c r="C33" s="17" t="inlineStr">
        <is>
          <t>Zal</t>
        </is>
      </c>
      <c r="D33" s="8" t="n"/>
      <c r="E33" s="17" t="inlineStr">
        <is>
          <t>Tək</t>
        </is>
      </c>
      <c r="F33" s="11">
        <f>ROUND(((10*Profil!$B$4+6.25*Profil!$B$5-5*Profil!$B$6+5)*Profil!$B$7+Profil!$B$8+IF(C33="Zal",Profil!$B$9,0)+IF(N(D33)&gt;0,IF(E33="Cüt",5,7)*Profil!$B$4*D33/60,0))/10,0)*10</f>
        <v/>
      </c>
      <c r="G33" s="11">
        <f>IF(COUNTIF(Gündəlik!$A$2:$A$2001,A33)=0,"",SUMIFS(Gündəlik!$E$2:$E$2001,Gündəlik!$A$2:$A$2001,A33))</f>
        <v/>
      </c>
      <c r="H33" s="23">
        <f>IF(G33="","",G33-F33)</f>
        <v/>
      </c>
      <c r="I33" s="7">
        <f>IF(G33="","",IF(G33&lt;F33*0.9,"az",IF(G33&gt;F33*1.15,"çox","normada")))</f>
        <v/>
      </c>
      <c r="J33" s="18">
        <f>IF(G33="","",SUMIFS(Gündəlik!$F$2:$F$2001,Gündəlik!$A$2:$A$2001,A33))</f>
        <v/>
      </c>
      <c r="K33" s="18">
        <f>ROUND(Profil!$B$10*Profil!$B$4,0)</f>
        <v/>
      </c>
      <c r="L33" s="18">
        <f>IF(G33="","",SUMIFS(Gündəlik!$G$2:$G$2001,Gündəlik!$A$2:$A$2001,A33))</f>
        <v/>
      </c>
      <c r="M33" s="18">
        <f>IF(G33="","",SUMIFS(Gündəlik!$H$2:$H$2001,Gündəlik!$A$2:$A$2001,A33))</f>
        <v/>
      </c>
      <c r="N33" s="24" t="n"/>
      <c r="O33" s="25">
        <f>IF(COUNTIFS($A$2:$A$121,"&gt;="&amp;(A33-6),$A$2:$A$121,"&lt;="&amp;A33,$N$2:$N$121,"&gt;0")&lt;3,"",AVERAGEIFS($N$2:$N$121,$A$2:$A$121,"&gt;="&amp;(A33-6),$A$2:$A$121,"&lt;="&amp;A33,$N$2:$N$121,"&gt;0"))</f>
        <v/>
      </c>
    </row>
    <row r="34">
      <c r="A34" s="22" t="n">
        <v>46336</v>
      </c>
      <c r="B34" s="7" t="inlineStr">
        <is>
          <t>Çərşənbə axşamı</t>
        </is>
      </c>
      <c r="C34" s="17" t="inlineStr">
        <is>
          <t>İstirahət</t>
        </is>
      </c>
      <c r="D34" s="8" t="n"/>
      <c r="E34" s="17" t="inlineStr">
        <is>
          <t>Tək</t>
        </is>
      </c>
      <c r="F34" s="11">
        <f>ROUND(((10*Profil!$B$4+6.25*Profil!$B$5-5*Profil!$B$6+5)*Profil!$B$7+Profil!$B$8+IF(C34="Zal",Profil!$B$9,0)+IF(N(D34)&gt;0,IF(E34="Cüt",5,7)*Profil!$B$4*D34/60,0))/10,0)*10</f>
        <v/>
      </c>
      <c r="G34" s="11">
        <f>IF(COUNTIF(Gündəlik!$A$2:$A$2001,A34)=0,"",SUMIFS(Gündəlik!$E$2:$E$2001,Gündəlik!$A$2:$A$2001,A34))</f>
        <v/>
      </c>
      <c r="H34" s="23">
        <f>IF(G34="","",G34-F34)</f>
        <v/>
      </c>
      <c r="I34" s="7">
        <f>IF(G34="","",IF(G34&lt;F34*0.9,"az",IF(G34&gt;F34*1.15,"çox","normada")))</f>
        <v/>
      </c>
      <c r="J34" s="18">
        <f>IF(G34="","",SUMIFS(Gündəlik!$F$2:$F$2001,Gündəlik!$A$2:$A$2001,A34))</f>
        <v/>
      </c>
      <c r="K34" s="18">
        <f>ROUND(Profil!$B$10*Profil!$B$4,0)</f>
        <v/>
      </c>
      <c r="L34" s="18">
        <f>IF(G34="","",SUMIFS(Gündəlik!$G$2:$G$2001,Gündəlik!$A$2:$A$2001,A34))</f>
        <v/>
      </c>
      <c r="M34" s="18">
        <f>IF(G34="","",SUMIFS(Gündəlik!$H$2:$H$2001,Gündəlik!$A$2:$A$2001,A34))</f>
        <v/>
      </c>
      <c r="N34" s="24" t="n"/>
      <c r="O34" s="25">
        <f>IF(COUNTIFS($A$2:$A$121,"&gt;="&amp;(A34-6),$A$2:$A$121,"&lt;="&amp;A34,$N$2:$N$121,"&gt;0")&lt;3,"",AVERAGEIFS($N$2:$N$121,$A$2:$A$121,"&gt;="&amp;(A34-6),$A$2:$A$121,"&lt;="&amp;A34,$N$2:$N$121,"&gt;0"))</f>
        <v/>
      </c>
    </row>
    <row r="35">
      <c r="A35" s="22" t="n">
        <v>46337</v>
      </c>
      <c r="B35" s="7" t="inlineStr">
        <is>
          <t>Çərşənbə</t>
        </is>
      </c>
      <c r="C35" s="17" t="inlineStr">
        <is>
          <t>Zal</t>
        </is>
      </c>
      <c r="D35" s="8" t="n"/>
      <c r="E35" s="17" t="inlineStr">
        <is>
          <t>Tək</t>
        </is>
      </c>
      <c r="F35" s="11">
        <f>ROUND(((10*Profil!$B$4+6.25*Profil!$B$5-5*Profil!$B$6+5)*Profil!$B$7+Profil!$B$8+IF(C35="Zal",Profil!$B$9,0)+IF(N(D35)&gt;0,IF(E35="Cüt",5,7)*Profil!$B$4*D35/60,0))/10,0)*10</f>
        <v/>
      </c>
      <c r="G35" s="11">
        <f>IF(COUNTIF(Gündəlik!$A$2:$A$2001,A35)=0,"",SUMIFS(Gündəlik!$E$2:$E$2001,Gündəlik!$A$2:$A$2001,A35))</f>
        <v/>
      </c>
      <c r="H35" s="23">
        <f>IF(G35="","",G35-F35)</f>
        <v/>
      </c>
      <c r="I35" s="7">
        <f>IF(G35="","",IF(G35&lt;F35*0.9,"az",IF(G35&gt;F35*1.15,"çox","normada")))</f>
        <v/>
      </c>
      <c r="J35" s="18">
        <f>IF(G35="","",SUMIFS(Gündəlik!$F$2:$F$2001,Gündəlik!$A$2:$A$2001,A35))</f>
        <v/>
      </c>
      <c r="K35" s="18">
        <f>ROUND(Profil!$B$10*Profil!$B$4,0)</f>
        <v/>
      </c>
      <c r="L35" s="18">
        <f>IF(G35="","",SUMIFS(Gündəlik!$G$2:$G$2001,Gündəlik!$A$2:$A$2001,A35))</f>
        <v/>
      </c>
      <c r="M35" s="18">
        <f>IF(G35="","",SUMIFS(Gündəlik!$H$2:$H$2001,Gündəlik!$A$2:$A$2001,A35))</f>
        <v/>
      </c>
      <c r="N35" s="24" t="n"/>
      <c r="O35" s="25">
        <f>IF(COUNTIFS($A$2:$A$121,"&gt;="&amp;(A35-6),$A$2:$A$121,"&lt;="&amp;A35,$N$2:$N$121,"&gt;0")&lt;3,"",AVERAGEIFS($N$2:$N$121,$A$2:$A$121,"&gt;="&amp;(A35-6),$A$2:$A$121,"&lt;="&amp;A35,$N$2:$N$121,"&gt;0"))</f>
        <v/>
      </c>
    </row>
    <row r="36">
      <c r="A36" s="22" t="n">
        <v>46338</v>
      </c>
      <c r="B36" s="7" t="inlineStr">
        <is>
          <t>Cümə axşamı</t>
        </is>
      </c>
      <c r="C36" s="17" t="inlineStr">
        <is>
          <t>İstirahət</t>
        </is>
      </c>
      <c r="D36" s="8" t="n"/>
      <c r="E36" s="17" t="inlineStr">
        <is>
          <t>Tək</t>
        </is>
      </c>
      <c r="F36" s="11">
        <f>ROUND(((10*Profil!$B$4+6.25*Profil!$B$5-5*Profil!$B$6+5)*Profil!$B$7+Profil!$B$8+IF(C36="Zal",Profil!$B$9,0)+IF(N(D36)&gt;0,IF(E36="Cüt",5,7)*Profil!$B$4*D36/60,0))/10,0)*10</f>
        <v/>
      </c>
      <c r="G36" s="11">
        <f>IF(COUNTIF(Gündəlik!$A$2:$A$2001,A36)=0,"",SUMIFS(Gündəlik!$E$2:$E$2001,Gündəlik!$A$2:$A$2001,A36))</f>
        <v/>
      </c>
      <c r="H36" s="23">
        <f>IF(G36="","",G36-F36)</f>
        <v/>
      </c>
      <c r="I36" s="7">
        <f>IF(G36="","",IF(G36&lt;F36*0.9,"az",IF(G36&gt;F36*1.15,"çox","normada")))</f>
        <v/>
      </c>
      <c r="J36" s="18">
        <f>IF(G36="","",SUMIFS(Gündəlik!$F$2:$F$2001,Gündəlik!$A$2:$A$2001,A36))</f>
        <v/>
      </c>
      <c r="K36" s="18">
        <f>ROUND(Profil!$B$10*Profil!$B$4,0)</f>
        <v/>
      </c>
      <c r="L36" s="18">
        <f>IF(G36="","",SUMIFS(Gündəlik!$G$2:$G$2001,Gündəlik!$A$2:$A$2001,A36))</f>
        <v/>
      </c>
      <c r="M36" s="18">
        <f>IF(G36="","",SUMIFS(Gündəlik!$H$2:$H$2001,Gündəlik!$A$2:$A$2001,A36))</f>
        <v/>
      </c>
      <c r="N36" s="24" t="n"/>
      <c r="O36" s="25">
        <f>IF(COUNTIFS($A$2:$A$121,"&gt;="&amp;(A36-6),$A$2:$A$121,"&lt;="&amp;A36,$N$2:$N$121,"&gt;0")&lt;3,"",AVERAGEIFS($N$2:$N$121,$A$2:$A$121,"&gt;="&amp;(A36-6),$A$2:$A$121,"&lt;="&amp;A36,$N$2:$N$121,"&gt;0"))</f>
        <v/>
      </c>
    </row>
    <row r="37">
      <c r="A37" s="22" t="n">
        <v>46339</v>
      </c>
      <c r="B37" s="7" t="inlineStr">
        <is>
          <t>Cümə</t>
        </is>
      </c>
      <c r="C37" s="17" t="inlineStr">
        <is>
          <t>Zal</t>
        </is>
      </c>
      <c r="D37" s="8" t="n"/>
      <c r="E37" s="17" t="inlineStr">
        <is>
          <t>Tək</t>
        </is>
      </c>
      <c r="F37" s="11">
        <f>ROUND(((10*Profil!$B$4+6.25*Profil!$B$5-5*Profil!$B$6+5)*Profil!$B$7+Profil!$B$8+IF(C37="Zal",Profil!$B$9,0)+IF(N(D37)&gt;0,IF(E37="Cüt",5,7)*Profil!$B$4*D37/60,0))/10,0)*10</f>
        <v/>
      </c>
      <c r="G37" s="11">
        <f>IF(COUNTIF(Gündəlik!$A$2:$A$2001,A37)=0,"",SUMIFS(Gündəlik!$E$2:$E$2001,Gündəlik!$A$2:$A$2001,A37))</f>
        <v/>
      </c>
      <c r="H37" s="23">
        <f>IF(G37="","",G37-F37)</f>
        <v/>
      </c>
      <c r="I37" s="7">
        <f>IF(G37="","",IF(G37&lt;F37*0.9,"az",IF(G37&gt;F37*1.15,"çox","normada")))</f>
        <v/>
      </c>
      <c r="J37" s="18">
        <f>IF(G37="","",SUMIFS(Gündəlik!$F$2:$F$2001,Gündəlik!$A$2:$A$2001,A37))</f>
        <v/>
      </c>
      <c r="K37" s="18">
        <f>ROUND(Profil!$B$10*Profil!$B$4,0)</f>
        <v/>
      </c>
      <c r="L37" s="18">
        <f>IF(G37="","",SUMIFS(Gündəlik!$G$2:$G$2001,Gündəlik!$A$2:$A$2001,A37))</f>
        <v/>
      </c>
      <c r="M37" s="18">
        <f>IF(G37="","",SUMIFS(Gündəlik!$H$2:$H$2001,Gündəlik!$A$2:$A$2001,A37))</f>
        <v/>
      </c>
      <c r="N37" s="24" t="n"/>
      <c r="O37" s="25">
        <f>IF(COUNTIFS($A$2:$A$121,"&gt;="&amp;(A37-6),$A$2:$A$121,"&lt;="&amp;A37,$N$2:$N$121,"&gt;0")&lt;3,"",AVERAGEIFS($N$2:$N$121,$A$2:$A$121,"&gt;="&amp;(A37-6),$A$2:$A$121,"&lt;="&amp;A37,$N$2:$N$121,"&gt;0"))</f>
        <v/>
      </c>
    </row>
    <row r="38">
      <c r="A38" s="22" t="n">
        <v>46340</v>
      </c>
      <c r="B38" s="7" t="inlineStr">
        <is>
          <t>Şənbə</t>
        </is>
      </c>
      <c r="C38" s="17" t="inlineStr">
        <is>
          <t>İstirahət</t>
        </is>
      </c>
      <c r="D38" s="8" t="n"/>
      <c r="E38" s="17" t="inlineStr">
        <is>
          <t>Tək</t>
        </is>
      </c>
      <c r="F38" s="11">
        <f>ROUND(((10*Profil!$B$4+6.25*Profil!$B$5-5*Profil!$B$6+5)*Profil!$B$7+Profil!$B$8+IF(C38="Zal",Profil!$B$9,0)+IF(N(D38)&gt;0,IF(E38="Cüt",5,7)*Profil!$B$4*D38/60,0))/10,0)*10</f>
        <v/>
      </c>
      <c r="G38" s="11">
        <f>IF(COUNTIF(Gündəlik!$A$2:$A$2001,A38)=0,"",SUMIFS(Gündəlik!$E$2:$E$2001,Gündəlik!$A$2:$A$2001,A38))</f>
        <v/>
      </c>
      <c r="H38" s="23">
        <f>IF(G38="","",G38-F38)</f>
        <v/>
      </c>
      <c r="I38" s="7">
        <f>IF(G38="","",IF(G38&lt;F38*0.9,"az",IF(G38&gt;F38*1.15,"çox","normada")))</f>
        <v/>
      </c>
      <c r="J38" s="18">
        <f>IF(G38="","",SUMIFS(Gündəlik!$F$2:$F$2001,Gündəlik!$A$2:$A$2001,A38))</f>
        <v/>
      </c>
      <c r="K38" s="18">
        <f>ROUND(Profil!$B$10*Profil!$B$4,0)</f>
        <v/>
      </c>
      <c r="L38" s="18">
        <f>IF(G38="","",SUMIFS(Gündəlik!$G$2:$G$2001,Gündəlik!$A$2:$A$2001,A38))</f>
        <v/>
      </c>
      <c r="M38" s="18">
        <f>IF(G38="","",SUMIFS(Gündəlik!$H$2:$H$2001,Gündəlik!$A$2:$A$2001,A38))</f>
        <v/>
      </c>
      <c r="N38" s="24" t="n"/>
      <c r="O38" s="25">
        <f>IF(COUNTIFS($A$2:$A$121,"&gt;="&amp;(A38-6),$A$2:$A$121,"&lt;="&amp;A38,$N$2:$N$121,"&gt;0")&lt;3,"",AVERAGEIFS($N$2:$N$121,$A$2:$A$121,"&gt;="&amp;(A38-6),$A$2:$A$121,"&lt;="&amp;A38,$N$2:$N$121,"&gt;0"))</f>
        <v/>
      </c>
    </row>
    <row r="39">
      <c r="A39" s="22" t="n">
        <v>46341</v>
      </c>
      <c r="B39" s="7" t="inlineStr">
        <is>
          <t>Bazar</t>
        </is>
      </c>
      <c r="C39" s="17" t="inlineStr">
        <is>
          <t>İstirahət</t>
        </is>
      </c>
      <c r="D39" s="8" t="n"/>
      <c r="E39" s="17" t="inlineStr">
        <is>
          <t>Tək</t>
        </is>
      </c>
      <c r="F39" s="11">
        <f>ROUND(((10*Profil!$B$4+6.25*Profil!$B$5-5*Profil!$B$6+5)*Profil!$B$7+Profil!$B$8+IF(C39="Zal",Profil!$B$9,0)+IF(N(D39)&gt;0,IF(E39="Cüt",5,7)*Profil!$B$4*D39/60,0))/10,0)*10</f>
        <v/>
      </c>
      <c r="G39" s="11">
        <f>IF(COUNTIF(Gündəlik!$A$2:$A$2001,A39)=0,"",SUMIFS(Gündəlik!$E$2:$E$2001,Gündəlik!$A$2:$A$2001,A39))</f>
        <v/>
      </c>
      <c r="H39" s="23">
        <f>IF(G39="","",G39-F39)</f>
        <v/>
      </c>
      <c r="I39" s="7">
        <f>IF(G39="","",IF(G39&lt;F39*0.9,"az",IF(G39&gt;F39*1.15,"çox","normada")))</f>
        <v/>
      </c>
      <c r="J39" s="18">
        <f>IF(G39="","",SUMIFS(Gündəlik!$F$2:$F$2001,Gündəlik!$A$2:$A$2001,A39))</f>
        <v/>
      </c>
      <c r="K39" s="18">
        <f>ROUND(Profil!$B$10*Profil!$B$4,0)</f>
        <v/>
      </c>
      <c r="L39" s="18">
        <f>IF(G39="","",SUMIFS(Gündəlik!$G$2:$G$2001,Gündəlik!$A$2:$A$2001,A39))</f>
        <v/>
      </c>
      <c r="M39" s="18">
        <f>IF(G39="","",SUMIFS(Gündəlik!$H$2:$H$2001,Gündəlik!$A$2:$A$2001,A39))</f>
        <v/>
      </c>
      <c r="N39" s="24" t="n"/>
      <c r="O39" s="25">
        <f>IF(COUNTIFS($A$2:$A$121,"&gt;="&amp;(A39-6),$A$2:$A$121,"&lt;="&amp;A39,$N$2:$N$121,"&gt;0")&lt;3,"",AVERAGEIFS($N$2:$N$121,$A$2:$A$121,"&gt;="&amp;(A39-6),$A$2:$A$121,"&lt;="&amp;A39,$N$2:$N$121,"&gt;0"))</f>
        <v/>
      </c>
    </row>
    <row r="40">
      <c r="A40" s="22" t="n">
        <v>46342</v>
      </c>
      <c r="B40" s="7" t="inlineStr">
        <is>
          <t>Bazar ertəsi</t>
        </is>
      </c>
      <c r="C40" s="17" t="inlineStr">
        <is>
          <t>Zal</t>
        </is>
      </c>
      <c r="D40" s="8" t="n"/>
      <c r="E40" s="17" t="inlineStr">
        <is>
          <t>Tək</t>
        </is>
      </c>
      <c r="F40" s="11">
        <f>ROUND(((10*Profil!$B$4+6.25*Profil!$B$5-5*Profil!$B$6+5)*Profil!$B$7+Profil!$B$8+IF(C40="Zal",Profil!$B$9,0)+IF(N(D40)&gt;0,IF(E40="Cüt",5,7)*Profil!$B$4*D40/60,0))/10,0)*10</f>
        <v/>
      </c>
      <c r="G40" s="11">
        <f>IF(COUNTIF(Gündəlik!$A$2:$A$2001,A40)=0,"",SUMIFS(Gündəlik!$E$2:$E$2001,Gündəlik!$A$2:$A$2001,A40))</f>
        <v/>
      </c>
      <c r="H40" s="23">
        <f>IF(G40="","",G40-F40)</f>
        <v/>
      </c>
      <c r="I40" s="7">
        <f>IF(G40="","",IF(G40&lt;F40*0.9,"az",IF(G40&gt;F40*1.15,"çox","normada")))</f>
        <v/>
      </c>
      <c r="J40" s="18">
        <f>IF(G40="","",SUMIFS(Gündəlik!$F$2:$F$2001,Gündəlik!$A$2:$A$2001,A40))</f>
        <v/>
      </c>
      <c r="K40" s="18">
        <f>ROUND(Profil!$B$10*Profil!$B$4,0)</f>
        <v/>
      </c>
      <c r="L40" s="18">
        <f>IF(G40="","",SUMIFS(Gündəlik!$G$2:$G$2001,Gündəlik!$A$2:$A$2001,A40))</f>
        <v/>
      </c>
      <c r="M40" s="18">
        <f>IF(G40="","",SUMIFS(Gündəlik!$H$2:$H$2001,Gündəlik!$A$2:$A$2001,A40))</f>
        <v/>
      </c>
      <c r="N40" s="24" t="n"/>
      <c r="O40" s="25">
        <f>IF(COUNTIFS($A$2:$A$121,"&gt;="&amp;(A40-6),$A$2:$A$121,"&lt;="&amp;A40,$N$2:$N$121,"&gt;0")&lt;3,"",AVERAGEIFS($N$2:$N$121,$A$2:$A$121,"&gt;="&amp;(A40-6),$A$2:$A$121,"&lt;="&amp;A40,$N$2:$N$121,"&gt;0"))</f>
        <v/>
      </c>
    </row>
    <row r="41">
      <c r="A41" s="22" t="n">
        <v>46343</v>
      </c>
      <c r="B41" s="7" t="inlineStr">
        <is>
          <t>Çərşənbə axşamı</t>
        </is>
      </c>
      <c r="C41" s="17" t="inlineStr">
        <is>
          <t>İstirahət</t>
        </is>
      </c>
      <c r="D41" s="8" t="n"/>
      <c r="E41" s="17" t="inlineStr">
        <is>
          <t>Tək</t>
        </is>
      </c>
      <c r="F41" s="11">
        <f>ROUND(((10*Profil!$B$4+6.25*Profil!$B$5-5*Profil!$B$6+5)*Profil!$B$7+Profil!$B$8+IF(C41="Zal",Profil!$B$9,0)+IF(N(D41)&gt;0,IF(E41="Cüt",5,7)*Profil!$B$4*D41/60,0))/10,0)*10</f>
        <v/>
      </c>
      <c r="G41" s="11">
        <f>IF(COUNTIF(Gündəlik!$A$2:$A$2001,A41)=0,"",SUMIFS(Gündəlik!$E$2:$E$2001,Gündəlik!$A$2:$A$2001,A41))</f>
        <v/>
      </c>
      <c r="H41" s="23">
        <f>IF(G41="","",G41-F41)</f>
        <v/>
      </c>
      <c r="I41" s="7">
        <f>IF(G41="","",IF(G41&lt;F41*0.9,"az",IF(G41&gt;F41*1.15,"çox","normada")))</f>
        <v/>
      </c>
      <c r="J41" s="18">
        <f>IF(G41="","",SUMIFS(Gündəlik!$F$2:$F$2001,Gündəlik!$A$2:$A$2001,A41))</f>
        <v/>
      </c>
      <c r="K41" s="18">
        <f>ROUND(Profil!$B$10*Profil!$B$4,0)</f>
        <v/>
      </c>
      <c r="L41" s="18">
        <f>IF(G41="","",SUMIFS(Gündəlik!$G$2:$G$2001,Gündəlik!$A$2:$A$2001,A41))</f>
        <v/>
      </c>
      <c r="M41" s="18">
        <f>IF(G41="","",SUMIFS(Gündəlik!$H$2:$H$2001,Gündəlik!$A$2:$A$2001,A41))</f>
        <v/>
      </c>
      <c r="N41" s="24" t="n"/>
      <c r="O41" s="25">
        <f>IF(COUNTIFS($A$2:$A$121,"&gt;="&amp;(A41-6),$A$2:$A$121,"&lt;="&amp;A41,$N$2:$N$121,"&gt;0")&lt;3,"",AVERAGEIFS($N$2:$N$121,$A$2:$A$121,"&gt;="&amp;(A41-6),$A$2:$A$121,"&lt;="&amp;A41,$N$2:$N$121,"&gt;0"))</f>
        <v/>
      </c>
    </row>
    <row r="42">
      <c r="A42" s="22" t="n">
        <v>46344</v>
      </c>
      <c r="B42" s="7" t="inlineStr">
        <is>
          <t>Çərşənbə</t>
        </is>
      </c>
      <c r="C42" s="17" t="inlineStr">
        <is>
          <t>Zal</t>
        </is>
      </c>
      <c r="D42" s="8" t="n"/>
      <c r="E42" s="17" t="inlineStr">
        <is>
          <t>Tək</t>
        </is>
      </c>
      <c r="F42" s="11">
        <f>ROUND(((10*Profil!$B$4+6.25*Profil!$B$5-5*Profil!$B$6+5)*Profil!$B$7+Profil!$B$8+IF(C42="Zal",Profil!$B$9,0)+IF(N(D42)&gt;0,IF(E42="Cüt",5,7)*Profil!$B$4*D42/60,0))/10,0)*10</f>
        <v/>
      </c>
      <c r="G42" s="11">
        <f>IF(COUNTIF(Gündəlik!$A$2:$A$2001,A42)=0,"",SUMIFS(Gündəlik!$E$2:$E$2001,Gündəlik!$A$2:$A$2001,A42))</f>
        <v/>
      </c>
      <c r="H42" s="23">
        <f>IF(G42="","",G42-F42)</f>
        <v/>
      </c>
      <c r="I42" s="7">
        <f>IF(G42="","",IF(G42&lt;F42*0.9,"az",IF(G42&gt;F42*1.15,"çox","normada")))</f>
        <v/>
      </c>
      <c r="J42" s="18">
        <f>IF(G42="","",SUMIFS(Gündəlik!$F$2:$F$2001,Gündəlik!$A$2:$A$2001,A42))</f>
        <v/>
      </c>
      <c r="K42" s="18">
        <f>ROUND(Profil!$B$10*Profil!$B$4,0)</f>
        <v/>
      </c>
      <c r="L42" s="18">
        <f>IF(G42="","",SUMIFS(Gündəlik!$G$2:$G$2001,Gündəlik!$A$2:$A$2001,A42))</f>
        <v/>
      </c>
      <c r="M42" s="18">
        <f>IF(G42="","",SUMIFS(Gündəlik!$H$2:$H$2001,Gündəlik!$A$2:$A$2001,A42))</f>
        <v/>
      </c>
      <c r="N42" s="24" t="n"/>
      <c r="O42" s="25">
        <f>IF(COUNTIFS($A$2:$A$121,"&gt;="&amp;(A42-6),$A$2:$A$121,"&lt;="&amp;A42,$N$2:$N$121,"&gt;0")&lt;3,"",AVERAGEIFS($N$2:$N$121,$A$2:$A$121,"&gt;="&amp;(A42-6),$A$2:$A$121,"&lt;="&amp;A42,$N$2:$N$121,"&gt;0"))</f>
        <v/>
      </c>
    </row>
    <row r="43">
      <c r="A43" s="22" t="n">
        <v>46345</v>
      </c>
      <c r="B43" s="7" t="inlineStr">
        <is>
          <t>Cümə axşamı</t>
        </is>
      </c>
      <c r="C43" s="17" t="inlineStr">
        <is>
          <t>İstirahət</t>
        </is>
      </c>
      <c r="D43" s="8" t="n"/>
      <c r="E43" s="17" t="inlineStr">
        <is>
          <t>Tək</t>
        </is>
      </c>
      <c r="F43" s="11">
        <f>ROUND(((10*Profil!$B$4+6.25*Profil!$B$5-5*Profil!$B$6+5)*Profil!$B$7+Profil!$B$8+IF(C43="Zal",Profil!$B$9,0)+IF(N(D43)&gt;0,IF(E43="Cüt",5,7)*Profil!$B$4*D43/60,0))/10,0)*10</f>
        <v/>
      </c>
      <c r="G43" s="11">
        <f>IF(COUNTIF(Gündəlik!$A$2:$A$2001,A43)=0,"",SUMIFS(Gündəlik!$E$2:$E$2001,Gündəlik!$A$2:$A$2001,A43))</f>
        <v/>
      </c>
      <c r="H43" s="23">
        <f>IF(G43="","",G43-F43)</f>
        <v/>
      </c>
      <c r="I43" s="7">
        <f>IF(G43="","",IF(G43&lt;F43*0.9,"az",IF(G43&gt;F43*1.15,"çox","normada")))</f>
        <v/>
      </c>
      <c r="J43" s="18">
        <f>IF(G43="","",SUMIFS(Gündəlik!$F$2:$F$2001,Gündəlik!$A$2:$A$2001,A43))</f>
        <v/>
      </c>
      <c r="K43" s="18">
        <f>ROUND(Profil!$B$10*Profil!$B$4,0)</f>
        <v/>
      </c>
      <c r="L43" s="18">
        <f>IF(G43="","",SUMIFS(Gündəlik!$G$2:$G$2001,Gündəlik!$A$2:$A$2001,A43))</f>
        <v/>
      </c>
      <c r="M43" s="18">
        <f>IF(G43="","",SUMIFS(Gündəlik!$H$2:$H$2001,Gündəlik!$A$2:$A$2001,A43))</f>
        <v/>
      </c>
      <c r="N43" s="24" t="n"/>
      <c r="O43" s="25">
        <f>IF(COUNTIFS($A$2:$A$121,"&gt;="&amp;(A43-6),$A$2:$A$121,"&lt;="&amp;A43,$N$2:$N$121,"&gt;0")&lt;3,"",AVERAGEIFS($N$2:$N$121,$A$2:$A$121,"&gt;="&amp;(A43-6),$A$2:$A$121,"&lt;="&amp;A43,$N$2:$N$121,"&gt;0"))</f>
        <v/>
      </c>
    </row>
    <row r="44">
      <c r="A44" s="22" t="n">
        <v>46346</v>
      </c>
      <c r="B44" s="7" t="inlineStr">
        <is>
          <t>Cümə</t>
        </is>
      </c>
      <c r="C44" s="17" t="inlineStr">
        <is>
          <t>Zal</t>
        </is>
      </c>
      <c r="D44" s="8" t="n"/>
      <c r="E44" s="17" t="inlineStr">
        <is>
          <t>Tək</t>
        </is>
      </c>
      <c r="F44" s="11">
        <f>ROUND(((10*Profil!$B$4+6.25*Profil!$B$5-5*Profil!$B$6+5)*Profil!$B$7+Profil!$B$8+IF(C44="Zal",Profil!$B$9,0)+IF(N(D44)&gt;0,IF(E44="Cüt",5,7)*Profil!$B$4*D44/60,0))/10,0)*10</f>
        <v/>
      </c>
      <c r="G44" s="11">
        <f>IF(COUNTIF(Gündəlik!$A$2:$A$2001,A44)=0,"",SUMIFS(Gündəlik!$E$2:$E$2001,Gündəlik!$A$2:$A$2001,A44))</f>
        <v/>
      </c>
      <c r="H44" s="23">
        <f>IF(G44="","",G44-F44)</f>
        <v/>
      </c>
      <c r="I44" s="7">
        <f>IF(G44="","",IF(G44&lt;F44*0.9,"az",IF(G44&gt;F44*1.15,"çox","normada")))</f>
        <v/>
      </c>
      <c r="J44" s="18">
        <f>IF(G44="","",SUMIFS(Gündəlik!$F$2:$F$2001,Gündəlik!$A$2:$A$2001,A44))</f>
        <v/>
      </c>
      <c r="K44" s="18">
        <f>ROUND(Profil!$B$10*Profil!$B$4,0)</f>
        <v/>
      </c>
      <c r="L44" s="18">
        <f>IF(G44="","",SUMIFS(Gündəlik!$G$2:$G$2001,Gündəlik!$A$2:$A$2001,A44))</f>
        <v/>
      </c>
      <c r="M44" s="18">
        <f>IF(G44="","",SUMIFS(Gündəlik!$H$2:$H$2001,Gündəlik!$A$2:$A$2001,A44))</f>
        <v/>
      </c>
      <c r="N44" s="24" t="n"/>
      <c r="O44" s="25">
        <f>IF(COUNTIFS($A$2:$A$121,"&gt;="&amp;(A44-6),$A$2:$A$121,"&lt;="&amp;A44,$N$2:$N$121,"&gt;0")&lt;3,"",AVERAGEIFS($N$2:$N$121,$A$2:$A$121,"&gt;="&amp;(A44-6),$A$2:$A$121,"&lt;="&amp;A44,$N$2:$N$121,"&gt;0"))</f>
        <v/>
      </c>
    </row>
    <row r="45">
      <c r="A45" s="22" t="n">
        <v>46347</v>
      </c>
      <c r="B45" s="7" t="inlineStr">
        <is>
          <t>Şənbə</t>
        </is>
      </c>
      <c r="C45" s="17" t="inlineStr">
        <is>
          <t>İstirahət</t>
        </is>
      </c>
      <c r="D45" s="8" t="n"/>
      <c r="E45" s="17" t="inlineStr">
        <is>
          <t>Tək</t>
        </is>
      </c>
      <c r="F45" s="11">
        <f>ROUND(((10*Profil!$B$4+6.25*Profil!$B$5-5*Profil!$B$6+5)*Profil!$B$7+Profil!$B$8+IF(C45="Zal",Profil!$B$9,0)+IF(N(D45)&gt;0,IF(E45="Cüt",5,7)*Profil!$B$4*D45/60,0))/10,0)*10</f>
        <v/>
      </c>
      <c r="G45" s="11">
        <f>IF(COUNTIF(Gündəlik!$A$2:$A$2001,A45)=0,"",SUMIFS(Gündəlik!$E$2:$E$2001,Gündəlik!$A$2:$A$2001,A45))</f>
        <v/>
      </c>
      <c r="H45" s="23">
        <f>IF(G45="","",G45-F45)</f>
        <v/>
      </c>
      <c r="I45" s="7">
        <f>IF(G45="","",IF(G45&lt;F45*0.9,"az",IF(G45&gt;F45*1.15,"çox","normada")))</f>
        <v/>
      </c>
      <c r="J45" s="18">
        <f>IF(G45="","",SUMIFS(Gündəlik!$F$2:$F$2001,Gündəlik!$A$2:$A$2001,A45))</f>
        <v/>
      </c>
      <c r="K45" s="18">
        <f>ROUND(Profil!$B$10*Profil!$B$4,0)</f>
        <v/>
      </c>
      <c r="L45" s="18">
        <f>IF(G45="","",SUMIFS(Gündəlik!$G$2:$G$2001,Gündəlik!$A$2:$A$2001,A45))</f>
        <v/>
      </c>
      <c r="M45" s="18">
        <f>IF(G45="","",SUMIFS(Gündəlik!$H$2:$H$2001,Gündəlik!$A$2:$A$2001,A45))</f>
        <v/>
      </c>
      <c r="N45" s="24" t="n"/>
      <c r="O45" s="25">
        <f>IF(COUNTIFS($A$2:$A$121,"&gt;="&amp;(A45-6),$A$2:$A$121,"&lt;="&amp;A45,$N$2:$N$121,"&gt;0")&lt;3,"",AVERAGEIFS($N$2:$N$121,$A$2:$A$121,"&gt;="&amp;(A45-6),$A$2:$A$121,"&lt;="&amp;A45,$N$2:$N$121,"&gt;0"))</f>
        <v/>
      </c>
    </row>
    <row r="46">
      <c r="A46" s="22" t="n">
        <v>46348</v>
      </c>
      <c r="B46" s="7" t="inlineStr">
        <is>
          <t>Bazar</t>
        </is>
      </c>
      <c r="C46" s="17" t="inlineStr">
        <is>
          <t>İstirahət</t>
        </is>
      </c>
      <c r="D46" s="8" t="n"/>
      <c r="E46" s="17" t="inlineStr">
        <is>
          <t>Tək</t>
        </is>
      </c>
      <c r="F46" s="11">
        <f>ROUND(((10*Profil!$B$4+6.25*Profil!$B$5-5*Profil!$B$6+5)*Profil!$B$7+Profil!$B$8+IF(C46="Zal",Profil!$B$9,0)+IF(N(D46)&gt;0,IF(E46="Cüt",5,7)*Profil!$B$4*D46/60,0))/10,0)*10</f>
        <v/>
      </c>
      <c r="G46" s="11">
        <f>IF(COUNTIF(Gündəlik!$A$2:$A$2001,A46)=0,"",SUMIFS(Gündəlik!$E$2:$E$2001,Gündəlik!$A$2:$A$2001,A46))</f>
        <v/>
      </c>
      <c r="H46" s="23">
        <f>IF(G46="","",G46-F46)</f>
        <v/>
      </c>
      <c r="I46" s="7">
        <f>IF(G46="","",IF(G46&lt;F46*0.9,"az",IF(G46&gt;F46*1.15,"çox","normada")))</f>
        <v/>
      </c>
      <c r="J46" s="18">
        <f>IF(G46="","",SUMIFS(Gündəlik!$F$2:$F$2001,Gündəlik!$A$2:$A$2001,A46))</f>
        <v/>
      </c>
      <c r="K46" s="18">
        <f>ROUND(Profil!$B$10*Profil!$B$4,0)</f>
        <v/>
      </c>
      <c r="L46" s="18">
        <f>IF(G46="","",SUMIFS(Gündəlik!$G$2:$G$2001,Gündəlik!$A$2:$A$2001,A46))</f>
        <v/>
      </c>
      <c r="M46" s="18">
        <f>IF(G46="","",SUMIFS(Gündəlik!$H$2:$H$2001,Gündəlik!$A$2:$A$2001,A46))</f>
        <v/>
      </c>
      <c r="N46" s="24" t="n"/>
      <c r="O46" s="25">
        <f>IF(COUNTIFS($A$2:$A$121,"&gt;="&amp;(A46-6),$A$2:$A$121,"&lt;="&amp;A46,$N$2:$N$121,"&gt;0")&lt;3,"",AVERAGEIFS($N$2:$N$121,$A$2:$A$121,"&gt;="&amp;(A46-6),$A$2:$A$121,"&lt;="&amp;A46,$N$2:$N$121,"&gt;0"))</f>
        <v/>
      </c>
    </row>
    <row r="47">
      <c r="A47" s="22" t="n">
        <v>46349</v>
      </c>
      <c r="B47" s="7" t="inlineStr">
        <is>
          <t>Bazar ertəsi</t>
        </is>
      </c>
      <c r="C47" s="17" t="inlineStr">
        <is>
          <t>Zal</t>
        </is>
      </c>
      <c r="D47" s="8" t="n"/>
      <c r="E47" s="17" t="inlineStr">
        <is>
          <t>Tək</t>
        </is>
      </c>
      <c r="F47" s="11">
        <f>ROUND(((10*Profil!$B$4+6.25*Profil!$B$5-5*Profil!$B$6+5)*Profil!$B$7+Profil!$B$8+IF(C47="Zal",Profil!$B$9,0)+IF(N(D47)&gt;0,IF(E47="Cüt",5,7)*Profil!$B$4*D47/60,0))/10,0)*10</f>
        <v/>
      </c>
      <c r="G47" s="11">
        <f>IF(COUNTIF(Gündəlik!$A$2:$A$2001,A47)=0,"",SUMIFS(Gündəlik!$E$2:$E$2001,Gündəlik!$A$2:$A$2001,A47))</f>
        <v/>
      </c>
      <c r="H47" s="23">
        <f>IF(G47="","",G47-F47)</f>
        <v/>
      </c>
      <c r="I47" s="7">
        <f>IF(G47="","",IF(G47&lt;F47*0.9,"az",IF(G47&gt;F47*1.15,"çox","normada")))</f>
        <v/>
      </c>
      <c r="J47" s="18">
        <f>IF(G47="","",SUMIFS(Gündəlik!$F$2:$F$2001,Gündəlik!$A$2:$A$2001,A47))</f>
        <v/>
      </c>
      <c r="K47" s="18">
        <f>ROUND(Profil!$B$10*Profil!$B$4,0)</f>
        <v/>
      </c>
      <c r="L47" s="18">
        <f>IF(G47="","",SUMIFS(Gündəlik!$G$2:$G$2001,Gündəlik!$A$2:$A$2001,A47))</f>
        <v/>
      </c>
      <c r="M47" s="18">
        <f>IF(G47="","",SUMIFS(Gündəlik!$H$2:$H$2001,Gündəlik!$A$2:$A$2001,A47))</f>
        <v/>
      </c>
      <c r="N47" s="24" t="n"/>
      <c r="O47" s="25">
        <f>IF(COUNTIFS($A$2:$A$121,"&gt;="&amp;(A47-6),$A$2:$A$121,"&lt;="&amp;A47,$N$2:$N$121,"&gt;0")&lt;3,"",AVERAGEIFS($N$2:$N$121,$A$2:$A$121,"&gt;="&amp;(A47-6),$A$2:$A$121,"&lt;="&amp;A47,$N$2:$N$121,"&gt;0"))</f>
        <v/>
      </c>
    </row>
    <row r="48">
      <c r="A48" s="22" t="n">
        <v>46350</v>
      </c>
      <c r="B48" s="7" t="inlineStr">
        <is>
          <t>Çərşənbə axşamı</t>
        </is>
      </c>
      <c r="C48" s="17" t="inlineStr">
        <is>
          <t>İstirahət</t>
        </is>
      </c>
      <c r="D48" s="8" t="n"/>
      <c r="E48" s="17" t="inlineStr">
        <is>
          <t>Tək</t>
        </is>
      </c>
      <c r="F48" s="11">
        <f>ROUND(((10*Profil!$B$4+6.25*Profil!$B$5-5*Profil!$B$6+5)*Profil!$B$7+Profil!$B$8+IF(C48="Zal",Profil!$B$9,0)+IF(N(D48)&gt;0,IF(E48="Cüt",5,7)*Profil!$B$4*D48/60,0))/10,0)*10</f>
        <v/>
      </c>
      <c r="G48" s="11">
        <f>IF(COUNTIF(Gündəlik!$A$2:$A$2001,A48)=0,"",SUMIFS(Gündəlik!$E$2:$E$2001,Gündəlik!$A$2:$A$2001,A48))</f>
        <v/>
      </c>
      <c r="H48" s="23">
        <f>IF(G48="","",G48-F48)</f>
        <v/>
      </c>
      <c r="I48" s="7">
        <f>IF(G48="","",IF(G48&lt;F48*0.9,"az",IF(G48&gt;F48*1.15,"çox","normada")))</f>
        <v/>
      </c>
      <c r="J48" s="18">
        <f>IF(G48="","",SUMIFS(Gündəlik!$F$2:$F$2001,Gündəlik!$A$2:$A$2001,A48))</f>
        <v/>
      </c>
      <c r="K48" s="18">
        <f>ROUND(Profil!$B$10*Profil!$B$4,0)</f>
        <v/>
      </c>
      <c r="L48" s="18">
        <f>IF(G48="","",SUMIFS(Gündəlik!$G$2:$G$2001,Gündəlik!$A$2:$A$2001,A48))</f>
        <v/>
      </c>
      <c r="M48" s="18">
        <f>IF(G48="","",SUMIFS(Gündəlik!$H$2:$H$2001,Gündəlik!$A$2:$A$2001,A48))</f>
        <v/>
      </c>
      <c r="N48" s="24" t="n"/>
      <c r="O48" s="25">
        <f>IF(COUNTIFS($A$2:$A$121,"&gt;="&amp;(A48-6),$A$2:$A$121,"&lt;="&amp;A48,$N$2:$N$121,"&gt;0")&lt;3,"",AVERAGEIFS($N$2:$N$121,$A$2:$A$121,"&gt;="&amp;(A48-6),$A$2:$A$121,"&lt;="&amp;A48,$N$2:$N$121,"&gt;0"))</f>
        <v/>
      </c>
    </row>
    <row r="49">
      <c r="A49" s="22" t="n">
        <v>46351</v>
      </c>
      <c r="B49" s="7" t="inlineStr">
        <is>
          <t>Çərşənbə</t>
        </is>
      </c>
      <c r="C49" s="17" t="inlineStr">
        <is>
          <t>Zal</t>
        </is>
      </c>
      <c r="D49" s="8" t="n"/>
      <c r="E49" s="17" t="inlineStr">
        <is>
          <t>Tək</t>
        </is>
      </c>
      <c r="F49" s="11">
        <f>ROUND(((10*Profil!$B$4+6.25*Profil!$B$5-5*Profil!$B$6+5)*Profil!$B$7+Profil!$B$8+IF(C49="Zal",Profil!$B$9,0)+IF(N(D49)&gt;0,IF(E49="Cüt",5,7)*Profil!$B$4*D49/60,0))/10,0)*10</f>
        <v/>
      </c>
      <c r="G49" s="11">
        <f>IF(COUNTIF(Gündəlik!$A$2:$A$2001,A49)=0,"",SUMIFS(Gündəlik!$E$2:$E$2001,Gündəlik!$A$2:$A$2001,A49))</f>
        <v/>
      </c>
      <c r="H49" s="23">
        <f>IF(G49="","",G49-F49)</f>
        <v/>
      </c>
      <c r="I49" s="7">
        <f>IF(G49="","",IF(G49&lt;F49*0.9,"az",IF(G49&gt;F49*1.15,"çox","normada")))</f>
        <v/>
      </c>
      <c r="J49" s="18">
        <f>IF(G49="","",SUMIFS(Gündəlik!$F$2:$F$2001,Gündəlik!$A$2:$A$2001,A49))</f>
        <v/>
      </c>
      <c r="K49" s="18">
        <f>ROUND(Profil!$B$10*Profil!$B$4,0)</f>
        <v/>
      </c>
      <c r="L49" s="18">
        <f>IF(G49="","",SUMIFS(Gündəlik!$G$2:$G$2001,Gündəlik!$A$2:$A$2001,A49))</f>
        <v/>
      </c>
      <c r="M49" s="18">
        <f>IF(G49="","",SUMIFS(Gündəlik!$H$2:$H$2001,Gündəlik!$A$2:$A$2001,A49))</f>
        <v/>
      </c>
      <c r="N49" s="24" t="n"/>
      <c r="O49" s="25">
        <f>IF(COUNTIFS($A$2:$A$121,"&gt;="&amp;(A49-6),$A$2:$A$121,"&lt;="&amp;A49,$N$2:$N$121,"&gt;0")&lt;3,"",AVERAGEIFS($N$2:$N$121,$A$2:$A$121,"&gt;="&amp;(A49-6),$A$2:$A$121,"&lt;="&amp;A49,$N$2:$N$121,"&gt;0"))</f>
        <v/>
      </c>
    </row>
    <row r="50">
      <c r="A50" s="22" t="n">
        <v>46352</v>
      </c>
      <c r="B50" s="7" t="inlineStr">
        <is>
          <t>Cümə axşamı</t>
        </is>
      </c>
      <c r="C50" s="17" t="inlineStr">
        <is>
          <t>İstirahət</t>
        </is>
      </c>
      <c r="D50" s="8" t="n"/>
      <c r="E50" s="17" t="inlineStr">
        <is>
          <t>Tək</t>
        </is>
      </c>
      <c r="F50" s="11">
        <f>ROUND(((10*Profil!$B$4+6.25*Profil!$B$5-5*Profil!$B$6+5)*Profil!$B$7+Profil!$B$8+IF(C50="Zal",Profil!$B$9,0)+IF(N(D50)&gt;0,IF(E50="Cüt",5,7)*Profil!$B$4*D50/60,0))/10,0)*10</f>
        <v/>
      </c>
      <c r="G50" s="11">
        <f>IF(COUNTIF(Gündəlik!$A$2:$A$2001,A50)=0,"",SUMIFS(Gündəlik!$E$2:$E$2001,Gündəlik!$A$2:$A$2001,A50))</f>
        <v/>
      </c>
      <c r="H50" s="23">
        <f>IF(G50="","",G50-F50)</f>
        <v/>
      </c>
      <c r="I50" s="7">
        <f>IF(G50="","",IF(G50&lt;F50*0.9,"az",IF(G50&gt;F50*1.15,"çox","normada")))</f>
        <v/>
      </c>
      <c r="J50" s="18">
        <f>IF(G50="","",SUMIFS(Gündəlik!$F$2:$F$2001,Gündəlik!$A$2:$A$2001,A50))</f>
        <v/>
      </c>
      <c r="K50" s="18">
        <f>ROUND(Profil!$B$10*Profil!$B$4,0)</f>
        <v/>
      </c>
      <c r="L50" s="18">
        <f>IF(G50="","",SUMIFS(Gündəlik!$G$2:$G$2001,Gündəlik!$A$2:$A$2001,A50))</f>
        <v/>
      </c>
      <c r="M50" s="18">
        <f>IF(G50="","",SUMIFS(Gündəlik!$H$2:$H$2001,Gündəlik!$A$2:$A$2001,A50))</f>
        <v/>
      </c>
      <c r="N50" s="24" t="n"/>
      <c r="O50" s="25">
        <f>IF(COUNTIFS($A$2:$A$121,"&gt;="&amp;(A50-6),$A$2:$A$121,"&lt;="&amp;A50,$N$2:$N$121,"&gt;0")&lt;3,"",AVERAGEIFS($N$2:$N$121,$A$2:$A$121,"&gt;="&amp;(A50-6),$A$2:$A$121,"&lt;="&amp;A50,$N$2:$N$121,"&gt;0"))</f>
        <v/>
      </c>
    </row>
    <row r="51">
      <c r="A51" s="22" t="n">
        <v>46353</v>
      </c>
      <c r="B51" s="7" t="inlineStr">
        <is>
          <t>Cümə</t>
        </is>
      </c>
      <c r="C51" s="17" t="inlineStr">
        <is>
          <t>Zal</t>
        </is>
      </c>
      <c r="D51" s="8" t="n"/>
      <c r="E51" s="17" t="inlineStr">
        <is>
          <t>Tək</t>
        </is>
      </c>
      <c r="F51" s="11">
        <f>ROUND(((10*Profil!$B$4+6.25*Profil!$B$5-5*Profil!$B$6+5)*Profil!$B$7+Profil!$B$8+IF(C51="Zal",Profil!$B$9,0)+IF(N(D51)&gt;0,IF(E51="Cüt",5,7)*Profil!$B$4*D51/60,0))/10,0)*10</f>
        <v/>
      </c>
      <c r="G51" s="11">
        <f>IF(COUNTIF(Gündəlik!$A$2:$A$2001,A51)=0,"",SUMIFS(Gündəlik!$E$2:$E$2001,Gündəlik!$A$2:$A$2001,A51))</f>
        <v/>
      </c>
      <c r="H51" s="23">
        <f>IF(G51="","",G51-F51)</f>
        <v/>
      </c>
      <c r="I51" s="7">
        <f>IF(G51="","",IF(G51&lt;F51*0.9,"az",IF(G51&gt;F51*1.15,"çox","normada")))</f>
        <v/>
      </c>
      <c r="J51" s="18">
        <f>IF(G51="","",SUMIFS(Gündəlik!$F$2:$F$2001,Gündəlik!$A$2:$A$2001,A51))</f>
        <v/>
      </c>
      <c r="K51" s="18">
        <f>ROUND(Profil!$B$10*Profil!$B$4,0)</f>
        <v/>
      </c>
      <c r="L51" s="18">
        <f>IF(G51="","",SUMIFS(Gündəlik!$G$2:$G$2001,Gündəlik!$A$2:$A$2001,A51))</f>
        <v/>
      </c>
      <c r="M51" s="18">
        <f>IF(G51="","",SUMIFS(Gündəlik!$H$2:$H$2001,Gündəlik!$A$2:$A$2001,A51))</f>
        <v/>
      </c>
      <c r="N51" s="24" t="n"/>
      <c r="O51" s="25">
        <f>IF(COUNTIFS($A$2:$A$121,"&gt;="&amp;(A51-6),$A$2:$A$121,"&lt;="&amp;A51,$N$2:$N$121,"&gt;0")&lt;3,"",AVERAGEIFS($N$2:$N$121,$A$2:$A$121,"&gt;="&amp;(A51-6),$A$2:$A$121,"&lt;="&amp;A51,$N$2:$N$121,"&gt;0"))</f>
        <v/>
      </c>
    </row>
    <row r="52">
      <c r="A52" s="22" t="n">
        <v>46354</v>
      </c>
      <c r="B52" s="7" t="inlineStr">
        <is>
          <t>Şənbə</t>
        </is>
      </c>
      <c r="C52" s="17" t="inlineStr">
        <is>
          <t>İstirahət</t>
        </is>
      </c>
      <c r="D52" s="8" t="n"/>
      <c r="E52" s="17" t="inlineStr">
        <is>
          <t>Tək</t>
        </is>
      </c>
      <c r="F52" s="11">
        <f>ROUND(((10*Profil!$B$4+6.25*Profil!$B$5-5*Profil!$B$6+5)*Profil!$B$7+Profil!$B$8+IF(C52="Zal",Profil!$B$9,0)+IF(N(D52)&gt;0,IF(E52="Cüt",5,7)*Profil!$B$4*D52/60,0))/10,0)*10</f>
        <v/>
      </c>
      <c r="G52" s="11">
        <f>IF(COUNTIF(Gündəlik!$A$2:$A$2001,A52)=0,"",SUMIFS(Gündəlik!$E$2:$E$2001,Gündəlik!$A$2:$A$2001,A52))</f>
        <v/>
      </c>
      <c r="H52" s="23">
        <f>IF(G52="","",G52-F52)</f>
        <v/>
      </c>
      <c r="I52" s="7">
        <f>IF(G52="","",IF(G52&lt;F52*0.9,"az",IF(G52&gt;F52*1.15,"çox","normada")))</f>
        <v/>
      </c>
      <c r="J52" s="18">
        <f>IF(G52="","",SUMIFS(Gündəlik!$F$2:$F$2001,Gündəlik!$A$2:$A$2001,A52))</f>
        <v/>
      </c>
      <c r="K52" s="18">
        <f>ROUND(Profil!$B$10*Profil!$B$4,0)</f>
        <v/>
      </c>
      <c r="L52" s="18">
        <f>IF(G52="","",SUMIFS(Gündəlik!$G$2:$G$2001,Gündəlik!$A$2:$A$2001,A52))</f>
        <v/>
      </c>
      <c r="M52" s="18">
        <f>IF(G52="","",SUMIFS(Gündəlik!$H$2:$H$2001,Gündəlik!$A$2:$A$2001,A52))</f>
        <v/>
      </c>
      <c r="N52" s="24" t="n"/>
      <c r="O52" s="25">
        <f>IF(COUNTIFS($A$2:$A$121,"&gt;="&amp;(A52-6),$A$2:$A$121,"&lt;="&amp;A52,$N$2:$N$121,"&gt;0")&lt;3,"",AVERAGEIFS($N$2:$N$121,$A$2:$A$121,"&gt;="&amp;(A52-6),$A$2:$A$121,"&lt;="&amp;A52,$N$2:$N$121,"&gt;0"))</f>
        <v/>
      </c>
    </row>
    <row r="53">
      <c r="A53" s="22" t="n">
        <v>46355</v>
      </c>
      <c r="B53" s="7" t="inlineStr">
        <is>
          <t>Bazar</t>
        </is>
      </c>
      <c r="C53" s="17" t="inlineStr">
        <is>
          <t>İstirahət</t>
        </is>
      </c>
      <c r="D53" s="8" t="n"/>
      <c r="E53" s="17" t="inlineStr">
        <is>
          <t>Tək</t>
        </is>
      </c>
      <c r="F53" s="11">
        <f>ROUND(((10*Profil!$B$4+6.25*Profil!$B$5-5*Profil!$B$6+5)*Profil!$B$7+Profil!$B$8+IF(C53="Zal",Profil!$B$9,0)+IF(N(D53)&gt;0,IF(E53="Cüt",5,7)*Profil!$B$4*D53/60,0))/10,0)*10</f>
        <v/>
      </c>
      <c r="G53" s="11">
        <f>IF(COUNTIF(Gündəlik!$A$2:$A$2001,A53)=0,"",SUMIFS(Gündəlik!$E$2:$E$2001,Gündəlik!$A$2:$A$2001,A53))</f>
        <v/>
      </c>
      <c r="H53" s="23">
        <f>IF(G53="","",G53-F53)</f>
        <v/>
      </c>
      <c r="I53" s="7">
        <f>IF(G53="","",IF(G53&lt;F53*0.9,"az",IF(G53&gt;F53*1.15,"çox","normada")))</f>
        <v/>
      </c>
      <c r="J53" s="18">
        <f>IF(G53="","",SUMIFS(Gündəlik!$F$2:$F$2001,Gündəlik!$A$2:$A$2001,A53))</f>
        <v/>
      </c>
      <c r="K53" s="18">
        <f>ROUND(Profil!$B$10*Profil!$B$4,0)</f>
        <v/>
      </c>
      <c r="L53" s="18">
        <f>IF(G53="","",SUMIFS(Gündəlik!$G$2:$G$2001,Gündəlik!$A$2:$A$2001,A53))</f>
        <v/>
      </c>
      <c r="M53" s="18">
        <f>IF(G53="","",SUMIFS(Gündəlik!$H$2:$H$2001,Gündəlik!$A$2:$A$2001,A53))</f>
        <v/>
      </c>
      <c r="N53" s="24" t="n"/>
      <c r="O53" s="25">
        <f>IF(COUNTIFS($A$2:$A$121,"&gt;="&amp;(A53-6),$A$2:$A$121,"&lt;="&amp;A53,$N$2:$N$121,"&gt;0")&lt;3,"",AVERAGEIFS($N$2:$N$121,$A$2:$A$121,"&gt;="&amp;(A53-6),$A$2:$A$121,"&lt;="&amp;A53,$N$2:$N$121,"&gt;0"))</f>
        <v/>
      </c>
    </row>
    <row r="54">
      <c r="A54" s="22" t="n">
        <v>46356</v>
      </c>
      <c r="B54" s="7" t="inlineStr">
        <is>
          <t>Bazar ertəsi</t>
        </is>
      </c>
      <c r="C54" s="17" t="inlineStr">
        <is>
          <t>Zal</t>
        </is>
      </c>
      <c r="D54" s="8" t="n"/>
      <c r="E54" s="17" t="inlineStr">
        <is>
          <t>Tək</t>
        </is>
      </c>
      <c r="F54" s="11">
        <f>ROUND(((10*Profil!$B$4+6.25*Profil!$B$5-5*Profil!$B$6+5)*Profil!$B$7+Profil!$B$8+IF(C54="Zal",Profil!$B$9,0)+IF(N(D54)&gt;0,IF(E54="Cüt",5,7)*Profil!$B$4*D54/60,0))/10,0)*10</f>
        <v/>
      </c>
      <c r="G54" s="11">
        <f>IF(COUNTIF(Gündəlik!$A$2:$A$2001,A54)=0,"",SUMIFS(Gündəlik!$E$2:$E$2001,Gündəlik!$A$2:$A$2001,A54))</f>
        <v/>
      </c>
      <c r="H54" s="23">
        <f>IF(G54="","",G54-F54)</f>
        <v/>
      </c>
      <c r="I54" s="7">
        <f>IF(G54="","",IF(G54&lt;F54*0.9,"az",IF(G54&gt;F54*1.15,"çox","normada")))</f>
        <v/>
      </c>
      <c r="J54" s="18">
        <f>IF(G54="","",SUMIFS(Gündəlik!$F$2:$F$2001,Gündəlik!$A$2:$A$2001,A54))</f>
        <v/>
      </c>
      <c r="K54" s="18">
        <f>ROUND(Profil!$B$10*Profil!$B$4,0)</f>
        <v/>
      </c>
      <c r="L54" s="18">
        <f>IF(G54="","",SUMIFS(Gündəlik!$G$2:$G$2001,Gündəlik!$A$2:$A$2001,A54))</f>
        <v/>
      </c>
      <c r="M54" s="18">
        <f>IF(G54="","",SUMIFS(Gündəlik!$H$2:$H$2001,Gündəlik!$A$2:$A$2001,A54))</f>
        <v/>
      </c>
      <c r="N54" s="24" t="n"/>
      <c r="O54" s="25">
        <f>IF(COUNTIFS($A$2:$A$121,"&gt;="&amp;(A54-6),$A$2:$A$121,"&lt;="&amp;A54,$N$2:$N$121,"&gt;0")&lt;3,"",AVERAGEIFS($N$2:$N$121,$A$2:$A$121,"&gt;="&amp;(A54-6),$A$2:$A$121,"&lt;="&amp;A54,$N$2:$N$121,"&gt;0"))</f>
        <v/>
      </c>
    </row>
    <row r="55">
      <c r="A55" s="22" t="n">
        <v>46357</v>
      </c>
      <c r="B55" s="7" t="inlineStr">
        <is>
          <t>Çərşənbə axşamı</t>
        </is>
      </c>
      <c r="C55" s="17" t="inlineStr">
        <is>
          <t>İstirahət</t>
        </is>
      </c>
      <c r="D55" s="8" t="n"/>
      <c r="E55" s="17" t="inlineStr">
        <is>
          <t>Tək</t>
        </is>
      </c>
      <c r="F55" s="11">
        <f>ROUND(((10*Profil!$B$4+6.25*Profil!$B$5-5*Profil!$B$6+5)*Profil!$B$7+Profil!$B$8+IF(C55="Zal",Profil!$B$9,0)+IF(N(D55)&gt;0,IF(E55="Cüt",5,7)*Profil!$B$4*D55/60,0))/10,0)*10</f>
        <v/>
      </c>
      <c r="G55" s="11">
        <f>IF(COUNTIF(Gündəlik!$A$2:$A$2001,A55)=0,"",SUMIFS(Gündəlik!$E$2:$E$2001,Gündəlik!$A$2:$A$2001,A55))</f>
        <v/>
      </c>
      <c r="H55" s="23">
        <f>IF(G55="","",G55-F55)</f>
        <v/>
      </c>
      <c r="I55" s="7">
        <f>IF(G55="","",IF(G55&lt;F55*0.9,"az",IF(G55&gt;F55*1.15,"çox","normada")))</f>
        <v/>
      </c>
      <c r="J55" s="18">
        <f>IF(G55="","",SUMIFS(Gündəlik!$F$2:$F$2001,Gündəlik!$A$2:$A$2001,A55))</f>
        <v/>
      </c>
      <c r="K55" s="18">
        <f>ROUND(Profil!$B$10*Profil!$B$4,0)</f>
        <v/>
      </c>
      <c r="L55" s="18">
        <f>IF(G55="","",SUMIFS(Gündəlik!$G$2:$G$2001,Gündəlik!$A$2:$A$2001,A55))</f>
        <v/>
      </c>
      <c r="M55" s="18">
        <f>IF(G55="","",SUMIFS(Gündəlik!$H$2:$H$2001,Gündəlik!$A$2:$A$2001,A55))</f>
        <v/>
      </c>
      <c r="N55" s="24" t="n"/>
      <c r="O55" s="25">
        <f>IF(COUNTIFS($A$2:$A$121,"&gt;="&amp;(A55-6),$A$2:$A$121,"&lt;="&amp;A55,$N$2:$N$121,"&gt;0")&lt;3,"",AVERAGEIFS($N$2:$N$121,$A$2:$A$121,"&gt;="&amp;(A55-6),$A$2:$A$121,"&lt;="&amp;A55,$N$2:$N$121,"&gt;0"))</f>
        <v/>
      </c>
    </row>
    <row r="56">
      <c r="A56" s="22" t="n">
        <v>46358</v>
      </c>
      <c r="B56" s="7" t="inlineStr">
        <is>
          <t>Çərşənbə</t>
        </is>
      </c>
      <c r="C56" s="17" t="inlineStr">
        <is>
          <t>Zal</t>
        </is>
      </c>
      <c r="D56" s="8" t="n"/>
      <c r="E56" s="17" t="inlineStr">
        <is>
          <t>Tək</t>
        </is>
      </c>
      <c r="F56" s="11">
        <f>ROUND(((10*Profil!$B$4+6.25*Profil!$B$5-5*Profil!$B$6+5)*Profil!$B$7+Profil!$B$8+IF(C56="Zal",Profil!$B$9,0)+IF(N(D56)&gt;0,IF(E56="Cüt",5,7)*Profil!$B$4*D56/60,0))/10,0)*10</f>
        <v/>
      </c>
      <c r="G56" s="11">
        <f>IF(COUNTIF(Gündəlik!$A$2:$A$2001,A56)=0,"",SUMIFS(Gündəlik!$E$2:$E$2001,Gündəlik!$A$2:$A$2001,A56))</f>
        <v/>
      </c>
      <c r="H56" s="23">
        <f>IF(G56="","",G56-F56)</f>
        <v/>
      </c>
      <c r="I56" s="7">
        <f>IF(G56="","",IF(G56&lt;F56*0.9,"az",IF(G56&gt;F56*1.15,"çox","normada")))</f>
        <v/>
      </c>
      <c r="J56" s="18">
        <f>IF(G56="","",SUMIFS(Gündəlik!$F$2:$F$2001,Gündəlik!$A$2:$A$2001,A56))</f>
        <v/>
      </c>
      <c r="K56" s="18">
        <f>ROUND(Profil!$B$10*Profil!$B$4,0)</f>
        <v/>
      </c>
      <c r="L56" s="18">
        <f>IF(G56="","",SUMIFS(Gündəlik!$G$2:$G$2001,Gündəlik!$A$2:$A$2001,A56))</f>
        <v/>
      </c>
      <c r="M56" s="18">
        <f>IF(G56="","",SUMIFS(Gündəlik!$H$2:$H$2001,Gündəlik!$A$2:$A$2001,A56))</f>
        <v/>
      </c>
      <c r="N56" s="24" t="n"/>
      <c r="O56" s="25">
        <f>IF(COUNTIFS($A$2:$A$121,"&gt;="&amp;(A56-6),$A$2:$A$121,"&lt;="&amp;A56,$N$2:$N$121,"&gt;0")&lt;3,"",AVERAGEIFS($N$2:$N$121,$A$2:$A$121,"&gt;="&amp;(A56-6),$A$2:$A$121,"&lt;="&amp;A56,$N$2:$N$121,"&gt;0"))</f>
        <v/>
      </c>
    </row>
    <row r="57">
      <c r="A57" s="22" t="n">
        <v>46359</v>
      </c>
      <c r="B57" s="7" t="inlineStr">
        <is>
          <t>Cümə axşamı</t>
        </is>
      </c>
      <c r="C57" s="17" t="inlineStr">
        <is>
          <t>İstirahət</t>
        </is>
      </c>
      <c r="D57" s="8" t="n"/>
      <c r="E57" s="17" t="inlineStr">
        <is>
          <t>Tək</t>
        </is>
      </c>
      <c r="F57" s="11">
        <f>ROUND(((10*Profil!$B$4+6.25*Profil!$B$5-5*Profil!$B$6+5)*Profil!$B$7+Profil!$B$8+IF(C57="Zal",Profil!$B$9,0)+IF(N(D57)&gt;0,IF(E57="Cüt",5,7)*Profil!$B$4*D57/60,0))/10,0)*10</f>
        <v/>
      </c>
      <c r="G57" s="11">
        <f>IF(COUNTIF(Gündəlik!$A$2:$A$2001,A57)=0,"",SUMIFS(Gündəlik!$E$2:$E$2001,Gündəlik!$A$2:$A$2001,A57))</f>
        <v/>
      </c>
      <c r="H57" s="23">
        <f>IF(G57="","",G57-F57)</f>
        <v/>
      </c>
      <c r="I57" s="7">
        <f>IF(G57="","",IF(G57&lt;F57*0.9,"az",IF(G57&gt;F57*1.15,"çox","normada")))</f>
        <v/>
      </c>
      <c r="J57" s="18">
        <f>IF(G57="","",SUMIFS(Gündəlik!$F$2:$F$2001,Gündəlik!$A$2:$A$2001,A57))</f>
        <v/>
      </c>
      <c r="K57" s="18">
        <f>ROUND(Profil!$B$10*Profil!$B$4,0)</f>
        <v/>
      </c>
      <c r="L57" s="18">
        <f>IF(G57="","",SUMIFS(Gündəlik!$G$2:$G$2001,Gündəlik!$A$2:$A$2001,A57))</f>
        <v/>
      </c>
      <c r="M57" s="18">
        <f>IF(G57="","",SUMIFS(Gündəlik!$H$2:$H$2001,Gündəlik!$A$2:$A$2001,A57))</f>
        <v/>
      </c>
      <c r="N57" s="24" t="n"/>
      <c r="O57" s="25">
        <f>IF(COUNTIFS($A$2:$A$121,"&gt;="&amp;(A57-6),$A$2:$A$121,"&lt;="&amp;A57,$N$2:$N$121,"&gt;0")&lt;3,"",AVERAGEIFS($N$2:$N$121,$A$2:$A$121,"&gt;="&amp;(A57-6),$A$2:$A$121,"&lt;="&amp;A57,$N$2:$N$121,"&gt;0"))</f>
        <v/>
      </c>
    </row>
    <row r="58">
      <c r="A58" s="22" t="n">
        <v>46360</v>
      </c>
      <c r="B58" s="7" t="inlineStr">
        <is>
          <t>Cümə</t>
        </is>
      </c>
      <c r="C58" s="17" t="inlineStr">
        <is>
          <t>Zal</t>
        </is>
      </c>
      <c r="D58" s="8" t="n"/>
      <c r="E58" s="17" t="inlineStr">
        <is>
          <t>Tək</t>
        </is>
      </c>
      <c r="F58" s="11">
        <f>ROUND(((10*Profil!$B$4+6.25*Profil!$B$5-5*Profil!$B$6+5)*Profil!$B$7+Profil!$B$8+IF(C58="Zal",Profil!$B$9,0)+IF(N(D58)&gt;0,IF(E58="Cüt",5,7)*Profil!$B$4*D58/60,0))/10,0)*10</f>
        <v/>
      </c>
      <c r="G58" s="11">
        <f>IF(COUNTIF(Gündəlik!$A$2:$A$2001,A58)=0,"",SUMIFS(Gündəlik!$E$2:$E$2001,Gündəlik!$A$2:$A$2001,A58))</f>
        <v/>
      </c>
      <c r="H58" s="23">
        <f>IF(G58="","",G58-F58)</f>
        <v/>
      </c>
      <c r="I58" s="7">
        <f>IF(G58="","",IF(G58&lt;F58*0.9,"az",IF(G58&gt;F58*1.15,"çox","normada")))</f>
        <v/>
      </c>
      <c r="J58" s="18">
        <f>IF(G58="","",SUMIFS(Gündəlik!$F$2:$F$2001,Gündəlik!$A$2:$A$2001,A58))</f>
        <v/>
      </c>
      <c r="K58" s="18">
        <f>ROUND(Profil!$B$10*Profil!$B$4,0)</f>
        <v/>
      </c>
      <c r="L58" s="18">
        <f>IF(G58="","",SUMIFS(Gündəlik!$G$2:$G$2001,Gündəlik!$A$2:$A$2001,A58))</f>
        <v/>
      </c>
      <c r="M58" s="18">
        <f>IF(G58="","",SUMIFS(Gündəlik!$H$2:$H$2001,Gündəlik!$A$2:$A$2001,A58))</f>
        <v/>
      </c>
      <c r="N58" s="24" t="n"/>
      <c r="O58" s="25">
        <f>IF(COUNTIFS($A$2:$A$121,"&gt;="&amp;(A58-6),$A$2:$A$121,"&lt;="&amp;A58,$N$2:$N$121,"&gt;0")&lt;3,"",AVERAGEIFS($N$2:$N$121,$A$2:$A$121,"&gt;="&amp;(A58-6),$A$2:$A$121,"&lt;="&amp;A58,$N$2:$N$121,"&gt;0"))</f>
        <v/>
      </c>
    </row>
    <row r="59">
      <c r="A59" s="22" t="n">
        <v>46361</v>
      </c>
      <c r="B59" s="7" t="inlineStr">
        <is>
          <t>Şənbə</t>
        </is>
      </c>
      <c r="C59" s="17" t="inlineStr">
        <is>
          <t>İstirahət</t>
        </is>
      </c>
      <c r="D59" s="8" t="n"/>
      <c r="E59" s="17" t="inlineStr">
        <is>
          <t>Tək</t>
        </is>
      </c>
      <c r="F59" s="11">
        <f>ROUND(((10*Profil!$B$4+6.25*Profil!$B$5-5*Profil!$B$6+5)*Profil!$B$7+Profil!$B$8+IF(C59="Zal",Profil!$B$9,0)+IF(N(D59)&gt;0,IF(E59="Cüt",5,7)*Profil!$B$4*D59/60,0))/10,0)*10</f>
        <v/>
      </c>
      <c r="G59" s="11">
        <f>IF(COUNTIF(Gündəlik!$A$2:$A$2001,A59)=0,"",SUMIFS(Gündəlik!$E$2:$E$2001,Gündəlik!$A$2:$A$2001,A59))</f>
        <v/>
      </c>
      <c r="H59" s="23">
        <f>IF(G59="","",G59-F59)</f>
        <v/>
      </c>
      <c r="I59" s="7">
        <f>IF(G59="","",IF(G59&lt;F59*0.9,"az",IF(G59&gt;F59*1.15,"çox","normada")))</f>
        <v/>
      </c>
      <c r="J59" s="18">
        <f>IF(G59="","",SUMIFS(Gündəlik!$F$2:$F$2001,Gündəlik!$A$2:$A$2001,A59))</f>
        <v/>
      </c>
      <c r="K59" s="18">
        <f>ROUND(Profil!$B$10*Profil!$B$4,0)</f>
        <v/>
      </c>
      <c r="L59" s="18">
        <f>IF(G59="","",SUMIFS(Gündəlik!$G$2:$G$2001,Gündəlik!$A$2:$A$2001,A59))</f>
        <v/>
      </c>
      <c r="M59" s="18">
        <f>IF(G59="","",SUMIFS(Gündəlik!$H$2:$H$2001,Gündəlik!$A$2:$A$2001,A59))</f>
        <v/>
      </c>
      <c r="N59" s="24" t="n"/>
      <c r="O59" s="25">
        <f>IF(COUNTIFS($A$2:$A$121,"&gt;="&amp;(A59-6),$A$2:$A$121,"&lt;="&amp;A59,$N$2:$N$121,"&gt;0")&lt;3,"",AVERAGEIFS($N$2:$N$121,$A$2:$A$121,"&gt;="&amp;(A59-6),$A$2:$A$121,"&lt;="&amp;A59,$N$2:$N$121,"&gt;0"))</f>
        <v/>
      </c>
    </row>
    <row r="60">
      <c r="A60" s="22" t="n">
        <v>46362</v>
      </c>
      <c r="B60" s="7" t="inlineStr">
        <is>
          <t>Bazar</t>
        </is>
      </c>
      <c r="C60" s="17" t="inlineStr">
        <is>
          <t>İstirahət</t>
        </is>
      </c>
      <c r="D60" s="8" t="n"/>
      <c r="E60" s="17" t="inlineStr">
        <is>
          <t>Tək</t>
        </is>
      </c>
      <c r="F60" s="11">
        <f>ROUND(((10*Profil!$B$4+6.25*Profil!$B$5-5*Profil!$B$6+5)*Profil!$B$7+Profil!$B$8+IF(C60="Zal",Profil!$B$9,0)+IF(N(D60)&gt;0,IF(E60="Cüt",5,7)*Profil!$B$4*D60/60,0))/10,0)*10</f>
        <v/>
      </c>
      <c r="G60" s="11">
        <f>IF(COUNTIF(Gündəlik!$A$2:$A$2001,A60)=0,"",SUMIFS(Gündəlik!$E$2:$E$2001,Gündəlik!$A$2:$A$2001,A60))</f>
        <v/>
      </c>
      <c r="H60" s="23">
        <f>IF(G60="","",G60-F60)</f>
        <v/>
      </c>
      <c r="I60" s="7">
        <f>IF(G60="","",IF(G60&lt;F60*0.9,"az",IF(G60&gt;F60*1.15,"çox","normada")))</f>
        <v/>
      </c>
      <c r="J60" s="18">
        <f>IF(G60="","",SUMIFS(Gündəlik!$F$2:$F$2001,Gündəlik!$A$2:$A$2001,A60))</f>
        <v/>
      </c>
      <c r="K60" s="18">
        <f>ROUND(Profil!$B$10*Profil!$B$4,0)</f>
        <v/>
      </c>
      <c r="L60" s="18">
        <f>IF(G60="","",SUMIFS(Gündəlik!$G$2:$G$2001,Gündəlik!$A$2:$A$2001,A60))</f>
        <v/>
      </c>
      <c r="M60" s="18">
        <f>IF(G60="","",SUMIFS(Gündəlik!$H$2:$H$2001,Gündəlik!$A$2:$A$2001,A60))</f>
        <v/>
      </c>
      <c r="N60" s="24" t="n"/>
      <c r="O60" s="25">
        <f>IF(COUNTIFS($A$2:$A$121,"&gt;="&amp;(A60-6),$A$2:$A$121,"&lt;="&amp;A60,$N$2:$N$121,"&gt;0")&lt;3,"",AVERAGEIFS($N$2:$N$121,$A$2:$A$121,"&gt;="&amp;(A60-6),$A$2:$A$121,"&lt;="&amp;A60,$N$2:$N$121,"&gt;0"))</f>
        <v/>
      </c>
    </row>
    <row r="61">
      <c r="A61" s="22" t="n">
        <v>46363</v>
      </c>
      <c r="B61" s="7" t="inlineStr">
        <is>
          <t>Bazar ertəsi</t>
        </is>
      </c>
      <c r="C61" s="17" t="inlineStr">
        <is>
          <t>Zal</t>
        </is>
      </c>
      <c r="D61" s="8" t="n"/>
      <c r="E61" s="17" t="inlineStr">
        <is>
          <t>Tək</t>
        </is>
      </c>
      <c r="F61" s="11">
        <f>ROUND(((10*Profil!$B$4+6.25*Profil!$B$5-5*Profil!$B$6+5)*Profil!$B$7+Profil!$B$8+IF(C61="Zal",Profil!$B$9,0)+IF(N(D61)&gt;0,IF(E61="Cüt",5,7)*Profil!$B$4*D61/60,0))/10,0)*10</f>
        <v/>
      </c>
      <c r="G61" s="11">
        <f>IF(COUNTIF(Gündəlik!$A$2:$A$2001,A61)=0,"",SUMIFS(Gündəlik!$E$2:$E$2001,Gündəlik!$A$2:$A$2001,A61))</f>
        <v/>
      </c>
      <c r="H61" s="23">
        <f>IF(G61="","",G61-F61)</f>
        <v/>
      </c>
      <c r="I61" s="7">
        <f>IF(G61="","",IF(G61&lt;F61*0.9,"az",IF(G61&gt;F61*1.15,"çox","normada")))</f>
        <v/>
      </c>
      <c r="J61" s="18">
        <f>IF(G61="","",SUMIFS(Gündəlik!$F$2:$F$2001,Gündəlik!$A$2:$A$2001,A61))</f>
        <v/>
      </c>
      <c r="K61" s="18">
        <f>ROUND(Profil!$B$10*Profil!$B$4,0)</f>
        <v/>
      </c>
      <c r="L61" s="18">
        <f>IF(G61="","",SUMIFS(Gündəlik!$G$2:$G$2001,Gündəlik!$A$2:$A$2001,A61))</f>
        <v/>
      </c>
      <c r="M61" s="18">
        <f>IF(G61="","",SUMIFS(Gündəlik!$H$2:$H$2001,Gündəlik!$A$2:$A$2001,A61))</f>
        <v/>
      </c>
      <c r="N61" s="24" t="n"/>
      <c r="O61" s="25">
        <f>IF(COUNTIFS($A$2:$A$121,"&gt;="&amp;(A61-6),$A$2:$A$121,"&lt;="&amp;A61,$N$2:$N$121,"&gt;0")&lt;3,"",AVERAGEIFS($N$2:$N$121,$A$2:$A$121,"&gt;="&amp;(A61-6),$A$2:$A$121,"&lt;="&amp;A61,$N$2:$N$121,"&gt;0"))</f>
        <v/>
      </c>
    </row>
    <row r="62">
      <c r="A62" s="22" t="n">
        <v>46364</v>
      </c>
      <c r="B62" s="7" t="inlineStr">
        <is>
          <t>Çərşənbə axşamı</t>
        </is>
      </c>
      <c r="C62" s="17" t="inlineStr">
        <is>
          <t>İstirahət</t>
        </is>
      </c>
      <c r="D62" s="8" t="n"/>
      <c r="E62" s="17" t="inlineStr">
        <is>
          <t>Tək</t>
        </is>
      </c>
      <c r="F62" s="11">
        <f>ROUND(((10*Profil!$B$4+6.25*Profil!$B$5-5*Profil!$B$6+5)*Profil!$B$7+Profil!$B$8+IF(C62="Zal",Profil!$B$9,0)+IF(N(D62)&gt;0,IF(E62="Cüt",5,7)*Profil!$B$4*D62/60,0))/10,0)*10</f>
        <v/>
      </c>
      <c r="G62" s="11">
        <f>IF(COUNTIF(Gündəlik!$A$2:$A$2001,A62)=0,"",SUMIFS(Gündəlik!$E$2:$E$2001,Gündəlik!$A$2:$A$2001,A62))</f>
        <v/>
      </c>
      <c r="H62" s="23">
        <f>IF(G62="","",G62-F62)</f>
        <v/>
      </c>
      <c r="I62" s="7">
        <f>IF(G62="","",IF(G62&lt;F62*0.9,"az",IF(G62&gt;F62*1.15,"çox","normada")))</f>
        <v/>
      </c>
      <c r="J62" s="18">
        <f>IF(G62="","",SUMIFS(Gündəlik!$F$2:$F$2001,Gündəlik!$A$2:$A$2001,A62))</f>
        <v/>
      </c>
      <c r="K62" s="18">
        <f>ROUND(Profil!$B$10*Profil!$B$4,0)</f>
        <v/>
      </c>
      <c r="L62" s="18">
        <f>IF(G62="","",SUMIFS(Gündəlik!$G$2:$G$2001,Gündəlik!$A$2:$A$2001,A62))</f>
        <v/>
      </c>
      <c r="M62" s="18">
        <f>IF(G62="","",SUMIFS(Gündəlik!$H$2:$H$2001,Gündəlik!$A$2:$A$2001,A62))</f>
        <v/>
      </c>
      <c r="N62" s="24" t="n"/>
      <c r="O62" s="25">
        <f>IF(COUNTIFS($A$2:$A$121,"&gt;="&amp;(A62-6),$A$2:$A$121,"&lt;="&amp;A62,$N$2:$N$121,"&gt;0")&lt;3,"",AVERAGEIFS($N$2:$N$121,$A$2:$A$121,"&gt;="&amp;(A62-6),$A$2:$A$121,"&lt;="&amp;A62,$N$2:$N$121,"&gt;0"))</f>
        <v/>
      </c>
    </row>
    <row r="63">
      <c r="A63" s="22" t="n">
        <v>46365</v>
      </c>
      <c r="B63" s="7" t="inlineStr">
        <is>
          <t>Çərşənbə</t>
        </is>
      </c>
      <c r="C63" s="17" t="inlineStr">
        <is>
          <t>Zal</t>
        </is>
      </c>
      <c r="D63" s="8" t="n"/>
      <c r="E63" s="17" t="inlineStr">
        <is>
          <t>Tək</t>
        </is>
      </c>
      <c r="F63" s="11">
        <f>ROUND(((10*Profil!$B$4+6.25*Profil!$B$5-5*Profil!$B$6+5)*Profil!$B$7+Profil!$B$8+IF(C63="Zal",Profil!$B$9,0)+IF(N(D63)&gt;0,IF(E63="Cüt",5,7)*Profil!$B$4*D63/60,0))/10,0)*10</f>
        <v/>
      </c>
      <c r="G63" s="11">
        <f>IF(COUNTIF(Gündəlik!$A$2:$A$2001,A63)=0,"",SUMIFS(Gündəlik!$E$2:$E$2001,Gündəlik!$A$2:$A$2001,A63))</f>
        <v/>
      </c>
      <c r="H63" s="23">
        <f>IF(G63="","",G63-F63)</f>
        <v/>
      </c>
      <c r="I63" s="7">
        <f>IF(G63="","",IF(G63&lt;F63*0.9,"az",IF(G63&gt;F63*1.15,"çox","normada")))</f>
        <v/>
      </c>
      <c r="J63" s="18">
        <f>IF(G63="","",SUMIFS(Gündəlik!$F$2:$F$2001,Gündəlik!$A$2:$A$2001,A63))</f>
        <v/>
      </c>
      <c r="K63" s="18">
        <f>ROUND(Profil!$B$10*Profil!$B$4,0)</f>
        <v/>
      </c>
      <c r="L63" s="18">
        <f>IF(G63="","",SUMIFS(Gündəlik!$G$2:$G$2001,Gündəlik!$A$2:$A$2001,A63))</f>
        <v/>
      </c>
      <c r="M63" s="18">
        <f>IF(G63="","",SUMIFS(Gündəlik!$H$2:$H$2001,Gündəlik!$A$2:$A$2001,A63))</f>
        <v/>
      </c>
      <c r="N63" s="24" t="n"/>
      <c r="O63" s="25">
        <f>IF(COUNTIFS($A$2:$A$121,"&gt;="&amp;(A63-6),$A$2:$A$121,"&lt;="&amp;A63,$N$2:$N$121,"&gt;0")&lt;3,"",AVERAGEIFS($N$2:$N$121,$A$2:$A$121,"&gt;="&amp;(A63-6),$A$2:$A$121,"&lt;="&amp;A63,$N$2:$N$121,"&gt;0"))</f>
        <v/>
      </c>
    </row>
    <row r="64">
      <c r="A64" s="22" t="n">
        <v>46366</v>
      </c>
      <c r="B64" s="7" t="inlineStr">
        <is>
          <t>Cümə axşamı</t>
        </is>
      </c>
      <c r="C64" s="17" t="inlineStr">
        <is>
          <t>İstirahət</t>
        </is>
      </c>
      <c r="D64" s="8" t="n"/>
      <c r="E64" s="17" t="inlineStr">
        <is>
          <t>Tək</t>
        </is>
      </c>
      <c r="F64" s="11">
        <f>ROUND(((10*Profil!$B$4+6.25*Profil!$B$5-5*Profil!$B$6+5)*Profil!$B$7+Profil!$B$8+IF(C64="Zal",Profil!$B$9,0)+IF(N(D64)&gt;0,IF(E64="Cüt",5,7)*Profil!$B$4*D64/60,0))/10,0)*10</f>
        <v/>
      </c>
      <c r="G64" s="11">
        <f>IF(COUNTIF(Gündəlik!$A$2:$A$2001,A64)=0,"",SUMIFS(Gündəlik!$E$2:$E$2001,Gündəlik!$A$2:$A$2001,A64))</f>
        <v/>
      </c>
      <c r="H64" s="23">
        <f>IF(G64="","",G64-F64)</f>
        <v/>
      </c>
      <c r="I64" s="7">
        <f>IF(G64="","",IF(G64&lt;F64*0.9,"az",IF(G64&gt;F64*1.15,"çox","normada")))</f>
        <v/>
      </c>
      <c r="J64" s="18">
        <f>IF(G64="","",SUMIFS(Gündəlik!$F$2:$F$2001,Gündəlik!$A$2:$A$2001,A64))</f>
        <v/>
      </c>
      <c r="K64" s="18">
        <f>ROUND(Profil!$B$10*Profil!$B$4,0)</f>
        <v/>
      </c>
      <c r="L64" s="18">
        <f>IF(G64="","",SUMIFS(Gündəlik!$G$2:$G$2001,Gündəlik!$A$2:$A$2001,A64))</f>
        <v/>
      </c>
      <c r="M64" s="18">
        <f>IF(G64="","",SUMIFS(Gündəlik!$H$2:$H$2001,Gündəlik!$A$2:$A$2001,A64))</f>
        <v/>
      </c>
      <c r="N64" s="24" t="n"/>
      <c r="O64" s="25">
        <f>IF(COUNTIFS($A$2:$A$121,"&gt;="&amp;(A64-6),$A$2:$A$121,"&lt;="&amp;A64,$N$2:$N$121,"&gt;0")&lt;3,"",AVERAGEIFS($N$2:$N$121,$A$2:$A$121,"&gt;="&amp;(A64-6),$A$2:$A$121,"&lt;="&amp;A64,$N$2:$N$121,"&gt;0"))</f>
        <v/>
      </c>
    </row>
    <row r="65">
      <c r="A65" s="22" t="n">
        <v>46367</v>
      </c>
      <c r="B65" s="7" t="inlineStr">
        <is>
          <t>Cümə</t>
        </is>
      </c>
      <c r="C65" s="17" t="inlineStr">
        <is>
          <t>Zal</t>
        </is>
      </c>
      <c r="D65" s="8" t="n"/>
      <c r="E65" s="17" t="inlineStr">
        <is>
          <t>Tək</t>
        </is>
      </c>
      <c r="F65" s="11">
        <f>ROUND(((10*Profil!$B$4+6.25*Profil!$B$5-5*Profil!$B$6+5)*Profil!$B$7+Profil!$B$8+IF(C65="Zal",Profil!$B$9,0)+IF(N(D65)&gt;0,IF(E65="Cüt",5,7)*Profil!$B$4*D65/60,0))/10,0)*10</f>
        <v/>
      </c>
      <c r="G65" s="11">
        <f>IF(COUNTIF(Gündəlik!$A$2:$A$2001,A65)=0,"",SUMIFS(Gündəlik!$E$2:$E$2001,Gündəlik!$A$2:$A$2001,A65))</f>
        <v/>
      </c>
      <c r="H65" s="23">
        <f>IF(G65="","",G65-F65)</f>
        <v/>
      </c>
      <c r="I65" s="7">
        <f>IF(G65="","",IF(G65&lt;F65*0.9,"az",IF(G65&gt;F65*1.15,"çox","normada")))</f>
        <v/>
      </c>
      <c r="J65" s="18">
        <f>IF(G65="","",SUMIFS(Gündəlik!$F$2:$F$2001,Gündəlik!$A$2:$A$2001,A65))</f>
        <v/>
      </c>
      <c r="K65" s="18">
        <f>ROUND(Profil!$B$10*Profil!$B$4,0)</f>
        <v/>
      </c>
      <c r="L65" s="18">
        <f>IF(G65="","",SUMIFS(Gündəlik!$G$2:$G$2001,Gündəlik!$A$2:$A$2001,A65))</f>
        <v/>
      </c>
      <c r="M65" s="18">
        <f>IF(G65="","",SUMIFS(Gündəlik!$H$2:$H$2001,Gündəlik!$A$2:$A$2001,A65))</f>
        <v/>
      </c>
      <c r="N65" s="24" t="n"/>
      <c r="O65" s="25">
        <f>IF(COUNTIFS($A$2:$A$121,"&gt;="&amp;(A65-6),$A$2:$A$121,"&lt;="&amp;A65,$N$2:$N$121,"&gt;0")&lt;3,"",AVERAGEIFS($N$2:$N$121,$A$2:$A$121,"&gt;="&amp;(A65-6),$A$2:$A$121,"&lt;="&amp;A65,$N$2:$N$121,"&gt;0"))</f>
        <v/>
      </c>
    </row>
    <row r="66">
      <c r="A66" s="22" t="n">
        <v>46368</v>
      </c>
      <c r="B66" s="7" t="inlineStr">
        <is>
          <t>Şənbə</t>
        </is>
      </c>
      <c r="C66" s="17" t="inlineStr">
        <is>
          <t>İstirahət</t>
        </is>
      </c>
      <c r="D66" s="8" t="n"/>
      <c r="E66" s="17" t="inlineStr">
        <is>
          <t>Tək</t>
        </is>
      </c>
      <c r="F66" s="11">
        <f>ROUND(((10*Profil!$B$4+6.25*Profil!$B$5-5*Profil!$B$6+5)*Profil!$B$7+Profil!$B$8+IF(C66="Zal",Profil!$B$9,0)+IF(N(D66)&gt;0,IF(E66="Cüt",5,7)*Profil!$B$4*D66/60,0))/10,0)*10</f>
        <v/>
      </c>
      <c r="G66" s="11">
        <f>IF(COUNTIF(Gündəlik!$A$2:$A$2001,A66)=0,"",SUMIFS(Gündəlik!$E$2:$E$2001,Gündəlik!$A$2:$A$2001,A66))</f>
        <v/>
      </c>
      <c r="H66" s="23">
        <f>IF(G66="","",G66-F66)</f>
        <v/>
      </c>
      <c r="I66" s="7">
        <f>IF(G66="","",IF(G66&lt;F66*0.9,"az",IF(G66&gt;F66*1.15,"çox","normada")))</f>
        <v/>
      </c>
      <c r="J66" s="18">
        <f>IF(G66="","",SUMIFS(Gündəlik!$F$2:$F$2001,Gündəlik!$A$2:$A$2001,A66))</f>
        <v/>
      </c>
      <c r="K66" s="18">
        <f>ROUND(Profil!$B$10*Profil!$B$4,0)</f>
        <v/>
      </c>
      <c r="L66" s="18">
        <f>IF(G66="","",SUMIFS(Gündəlik!$G$2:$G$2001,Gündəlik!$A$2:$A$2001,A66))</f>
        <v/>
      </c>
      <c r="M66" s="18">
        <f>IF(G66="","",SUMIFS(Gündəlik!$H$2:$H$2001,Gündəlik!$A$2:$A$2001,A66))</f>
        <v/>
      </c>
      <c r="N66" s="24" t="n"/>
      <c r="O66" s="25">
        <f>IF(COUNTIFS($A$2:$A$121,"&gt;="&amp;(A66-6),$A$2:$A$121,"&lt;="&amp;A66,$N$2:$N$121,"&gt;0")&lt;3,"",AVERAGEIFS($N$2:$N$121,$A$2:$A$121,"&gt;="&amp;(A66-6),$A$2:$A$121,"&lt;="&amp;A66,$N$2:$N$121,"&gt;0"))</f>
        <v/>
      </c>
    </row>
    <row r="67">
      <c r="A67" s="22" t="n">
        <v>46369</v>
      </c>
      <c r="B67" s="7" t="inlineStr">
        <is>
          <t>Bazar</t>
        </is>
      </c>
      <c r="C67" s="17" t="inlineStr">
        <is>
          <t>İstirahət</t>
        </is>
      </c>
      <c r="D67" s="8" t="n"/>
      <c r="E67" s="17" t="inlineStr">
        <is>
          <t>Tək</t>
        </is>
      </c>
      <c r="F67" s="11">
        <f>ROUND(((10*Profil!$B$4+6.25*Profil!$B$5-5*Profil!$B$6+5)*Profil!$B$7+Profil!$B$8+IF(C67="Zal",Profil!$B$9,0)+IF(N(D67)&gt;0,IF(E67="Cüt",5,7)*Profil!$B$4*D67/60,0))/10,0)*10</f>
        <v/>
      </c>
      <c r="G67" s="11">
        <f>IF(COUNTIF(Gündəlik!$A$2:$A$2001,A67)=0,"",SUMIFS(Gündəlik!$E$2:$E$2001,Gündəlik!$A$2:$A$2001,A67))</f>
        <v/>
      </c>
      <c r="H67" s="23">
        <f>IF(G67="","",G67-F67)</f>
        <v/>
      </c>
      <c r="I67" s="7">
        <f>IF(G67="","",IF(G67&lt;F67*0.9,"az",IF(G67&gt;F67*1.15,"çox","normada")))</f>
        <v/>
      </c>
      <c r="J67" s="18">
        <f>IF(G67="","",SUMIFS(Gündəlik!$F$2:$F$2001,Gündəlik!$A$2:$A$2001,A67))</f>
        <v/>
      </c>
      <c r="K67" s="18">
        <f>ROUND(Profil!$B$10*Profil!$B$4,0)</f>
        <v/>
      </c>
      <c r="L67" s="18">
        <f>IF(G67="","",SUMIFS(Gündəlik!$G$2:$G$2001,Gündəlik!$A$2:$A$2001,A67))</f>
        <v/>
      </c>
      <c r="M67" s="18">
        <f>IF(G67="","",SUMIFS(Gündəlik!$H$2:$H$2001,Gündəlik!$A$2:$A$2001,A67))</f>
        <v/>
      </c>
      <c r="N67" s="24" t="n"/>
      <c r="O67" s="25">
        <f>IF(COUNTIFS($A$2:$A$121,"&gt;="&amp;(A67-6),$A$2:$A$121,"&lt;="&amp;A67,$N$2:$N$121,"&gt;0")&lt;3,"",AVERAGEIFS($N$2:$N$121,$A$2:$A$121,"&gt;="&amp;(A67-6),$A$2:$A$121,"&lt;="&amp;A67,$N$2:$N$121,"&gt;0"))</f>
        <v/>
      </c>
    </row>
    <row r="68">
      <c r="A68" s="22" t="n">
        <v>46370</v>
      </c>
      <c r="B68" s="7" t="inlineStr">
        <is>
          <t>Bazar ertəsi</t>
        </is>
      </c>
      <c r="C68" s="17" t="inlineStr">
        <is>
          <t>Zal</t>
        </is>
      </c>
      <c r="D68" s="8" t="n"/>
      <c r="E68" s="17" t="inlineStr">
        <is>
          <t>Tək</t>
        </is>
      </c>
      <c r="F68" s="11">
        <f>ROUND(((10*Profil!$B$4+6.25*Profil!$B$5-5*Profil!$B$6+5)*Profil!$B$7+Profil!$B$8+IF(C68="Zal",Profil!$B$9,0)+IF(N(D68)&gt;0,IF(E68="Cüt",5,7)*Profil!$B$4*D68/60,0))/10,0)*10</f>
        <v/>
      </c>
      <c r="G68" s="11">
        <f>IF(COUNTIF(Gündəlik!$A$2:$A$2001,A68)=0,"",SUMIFS(Gündəlik!$E$2:$E$2001,Gündəlik!$A$2:$A$2001,A68))</f>
        <v/>
      </c>
      <c r="H68" s="23">
        <f>IF(G68="","",G68-F68)</f>
        <v/>
      </c>
      <c r="I68" s="7">
        <f>IF(G68="","",IF(G68&lt;F68*0.9,"az",IF(G68&gt;F68*1.15,"çox","normada")))</f>
        <v/>
      </c>
      <c r="J68" s="18">
        <f>IF(G68="","",SUMIFS(Gündəlik!$F$2:$F$2001,Gündəlik!$A$2:$A$2001,A68))</f>
        <v/>
      </c>
      <c r="K68" s="18">
        <f>ROUND(Profil!$B$10*Profil!$B$4,0)</f>
        <v/>
      </c>
      <c r="L68" s="18">
        <f>IF(G68="","",SUMIFS(Gündəlik!$G$2:$G$2001,Gündəlik!$A$2:$A$2001,A68))</f>
        <v/>
      </c>
      <c r="M68" s="18">
        <f>IF(G68="","",SUMIFS(Gündəlik!$H$2:$H$2001,Gündəlik!$A$2:$A$2001,A68))</f>
        <v/>
      </c>
      <c r="N68" s="24" t="n"/>
      <c r="O68" s="25">
        <f>IF(COUNTIFS($A$2:$A$121,"&gt;="&amp;(A68-6),$A$2:$A$121,"&lt;="&amp;A68,$N$2:$N$121,"&gt;0")&lt;3,"",AVERAGEIFS($N$2:$N$121,$A$2:$A$121,"&gt;="&amp;(A68-6),$A$2:$A$121,"&lt;="&amp;A68,$N$2:$N$121,"&gt;0"))</f>
        <v/>
      </c>
    </row>
    <row r="69">
      <c r="A69" s="22" t="n">
        <v>46371</v>
      </c>
      <c r="B69" s="7" t="inlineStr">
        <is>
          <t>Çərşənbə axşamı</t>
        </is>
      </c>
      <c r="C69" s="17" t="inlineStr">
        <is>
          <t>İstirahət</t>
        </is>
      </c>
      <c r="D69" s="8" t="n"/>
      <c r="E69" s="17" t="inlineStr">
        <is>
          <t>Tək</t>
        </is>
      </c>
      <c r="F69" s="11">
        <f>ROUND(((10*Profil!$B$4+6.25*Profil!$B$5-5*Profil!$B$6+5)*Profil!$B$7+Profil!$B$8+IF(C69="Zal",Profil!$B$9,0)+IF(N(D69)&gt;0,IF(E69="Cüt",5,7)*Profil!$B$4*D69/60,0))/10,0)*10</f>
        <v/>
      </c>
      <c r="G69" s="11">
        <f>IF(COUNTIF(Gündəlik!$A$2:$A$2001,A69)=0,"",SUMIFS(Gündəlik!$E$2:$E$2001,Gündəlik!$A$2:$A$2001,A69))</f>
        <v/>
      </c>
      <c r="H69" s="23">
        <f>IF(G69="","",G69-F69)</f>
        <v/>
      </c>
      <c r="I69" s="7">
        <f>IF(G69="","",IF(G69&lt;F69*0.9,"az",IF(G69&gt;F69*1.15,"çox","normada")))</f>
        <v/>
      </c>
      <c r="J69" s="18">
        <f>IF(G69="","",SUMIFS(Gündəlik!$F$2:$F$2001,Gündəlik!$A$2:$A$2001,A69))</f>
        <v/>
      </c>
      <c r="K69" s="18">
        <f>ROUND(Profil!$B$10*Profil!$B$4,0)</f>
        <v/>
      </c>
      <c r="L69" s="18">
        <f>IF(G69="","",SUMIFS(Gündəlik!$G$2:$G$2001,Gündəlik!$A$2:$A$2001,A69))</f>
        <v/>
      </c>
      <c r="M69" s="18">
        <f>IF(G69="","",SUMIFS(Gündəlik!$H$2:$H$2001,Gündəlik!$A$2:$A$2001,A69))</f>
        <v/>
      </c>
      <c r="N69" s="24" t="n"/>
      <c r="O69" s="25">
        <f>IF(COUNTIFS($A$2:$A$121,"&gt;="&amp;(A69-6),$A$2:$A$121,"&lt;="&amp;A69,$N$2:$N$121,"&gt;0")&lt;3,"",AVERAGEIFS($N$2:$N$121,$A$2:$A$121,"&gt;="&amp;(A69-6),$A$2:$A$121,"&lt;="&amp;A69,$N$2:$N$121,"&gt;0"))</f>
        <v/>
      </c>
    </row>
    <row r="70">
      <c r="A70" s="22" t="n">
        <v>46372</v>
      </c>
      <c r="B70" s="7" t="inlineStr">
        <is>
          <t>Çərşənbə</t>
        </is>
      </c>
      <c r="C70" s="17" t="inlineStr">
        <is>
          <t>Zal</t>
        </is>
      </c>
      <c r="D70" s="8" t="n"/>
      <c r="E70" s="17" t="inlineStr">
        <is>
          <t>Tək</t>
        </is>
      </c>
      <c r="F70" s="11">
        <f>ROUND(((10*Profil!$B$4+6.25*Profil!$B$5-5*Profil!$B$6+5)*Profil!$B$7+Profil!$B$8+IF(C70="Zal",Profil!$B$9,0)+IF(N(D70)&gt;0,IF(E70="Cüt",5,7)*Profil!$B$4*D70/60,0))/10,0)*10</f>
        <v/>
      </c>
      <c r="G70" s="11">
        <f>IF(COUNTIF(Gündəlik!$A$2:$A$2001,A70)=0,"",SUMIFS(Gündəlik!$E$2:$E$2001,Gündəlik!$A$2:$A$2001,A70))</f>
        <v/>
      </c>
      <c r="H70" s="23">
        <f>IF(G70="","",G70-F70)</f>
        <v/>
      </c>
      <c r="I70" s="7">
        <f>IF(G70="","",IF(G70&lt;F70*0.9,"az",IF(G70&gt;F70*1.15,"çox","normada")))</f>
        <v/>
      </c>
      <c r="J70" s="18">
        <f>IF(G70="","",SUMIFS(Gündəlik!$F$2:$F$2001,Gündəlik!$A$2:$A$2001,A70))</f>
        <v/>
      </c>
      <c r="K70" s="18">
        <f>ROUND(Profil!$B$10*Profil!$B$4,0)</f>
        <v/>
      </c>
      <c r="L70" s="18">
        <f>IF(G70="","",SUMIFS(Gündəlik!$G$2:$G$2001,Gündəlik!$A$2:$A$2001,A70))</f>
        <v/>
      </c>
      <c r="M70" s="18">
        <f>IF(G70="","",SUMIFS(Gündəlik!$H$2:$H$2001,Gündəlik!$A$2:$A$2001,A70))</f>
        <v/>
      </c>
      <c r="N70" s="24" t="n"/>
      <c r="O70" s="25">
        <f>IF(COUNTIFS($A$2:$A$121,"&gt;="&amp;(A70-6),$A$2:$A$121,"&lt;="&amp;A70,$N$2:$N$121,"&gt;0")&lt;3,"",AVERAGEIFS($N$2:$N$121,$A$2:$A$121,"&gt;="&amp;(A70-6),$A$2:$A$121,"&lt;="&amp;A70,$N$2:$N$121,"&gt;0"))</f>
        <v/>
      </c>
    </row>
    <row r="71">
      <c r="A71" s="22" t="n">
        <v>46373</v>
      </c>
      <c r="B71" s="7" t="inlineStr">
        <is>
          <t>Cümə axşamı</t>
        </is>
      </c>
      <c r="C71" s="17" t="inlineStr">
        <is>
          <t>İstirahət</t>
        </is>
      </c>
      <c r="D71" s="8" t="n"/>
      <c r="E71" s="17" t="inlineStr">
        <is>
          <t>Tək</t>
        </is>
      </c>
      <c r="F71" s="11">
        <f>ROUND(((10*Profil!$B$4+6.25*Profil!$B$5-5*Profil!$B$6+5)*Profil!$B$7+Profil!$B$8+IF(C71="Zal",Profil!$B$9,0)+IF(N(D71)&gt;0,IF(E71="Cüt",5,7)*Profil!$B$4*D71/60,0))/10,0)*10</f>
        <v/>
      </c>
      <c r="G71" s="11">
        <f>IF(COUNTIF(Gündəlik!$A$2:$A$2001,A71)=0,"",SUMIFS(Gündəlik!$E$2:$E$2001,Gündəlik!$A$2:$A$2001,A71))</f>
        <v/>
      </c>
      <c r="H71" s="23">
        <f>IF(G71="","",G71-F71)</f>
        <v/>
      </c>
      <c r="I71" s="7">
        <f>IF(G71="","",IF(G71&lt;F71*0.9,"az",IF(G71&gt;F71*1.15,"çox","normada")))</f>
        <v/>
      </c>
      <c r="J71" s="18">
        <f>IF(G71="","",SUMIFS(Gündəlik!$F$2:$F$2001,Gündəlik!$A$2:$A$2001,A71))</f>
        <v/>
      </c>
      <c r="K71" s="18">
        <f>ROUND(Profil!$B$10*Profil!$B$4,0)</f>
        <v/>
      </c>
      <c r="L71" s="18">
        <f>IF(G71="","",SUMIFS(Gündəlik!$G$2:$G$2001,Gündəlik!$A$2:$A$2001,A71))</f>
        <v/>
      </c>
      <c r="M71" s="18">
        <f>IF(G71="","",SUMIFS(Gündəlik!$H$2:$H$2001,Gündəlik!$A$2:$A$2001,A71))</f>
        <v/>
      </c>
      <c r="N71" s="24" t="n"/>
      <c r="O71" s="25">
        <f>IF(COUNTIFS($A$2:$A$121,"&gt;="&amp;(A71-6),$A$2:$A$121,"&lt;="&amp;A71,$N$2:$N$121,"&gt;0")&lt;3,"",AVERAGEIFS($N$2:$N$121,$A$2:$A$121,"&gt;="&amp;(A71-6),$A$2:$A$121,"&lt;="&amp;A71,$N$2:$N$121,"&gt;0"))</f>
        <v/>
      </c>
    </row>
    <row r="72">
      <c r="A72" s="22" t="n">
        <v>46374</v>
      </c>
      <c r="B72" s="7" t="inlineStr">
        <is>
          <t>Cümə</t>
        </is>
      </c>
      <c r="C72" s="17" t="inlineStr">
        <is>
          <t>Zal</t>
        </is>
      </c>
      <c r="D72" s="8" t="n"/>
      <c r="E72" s="17" t="inlineStr">
        <is>
          <t>Tək</t>
        </is>
      </c>
      <c r="F72" s="11">
        <f>ROUND(((10*Profil!$B$4+6.25*Profil!$B$5-5*Profil!$B$6+5)*Profil!$B$7+Profil!$B$8+IF(C72="Zal",Profil!$B$9,0)+IF(N(D72)&gt;0,IF(E72="Cüt",5,7)*Profil!$B$4*D72/60,0))/10,0)*10</f>
        <v/>
      </c>
      <c r="G72" s="11">
        <f>IF(COUNTIF(Gündəlik!$A$2:$A$2001,A72)=0,"",SUMIFS(Gündəlik!$E$2:$E$2001,Gündəlik!$A$2:$A$2001,A72))</f>
        <v/>
      </c>
      <c r="H72" s="23">
        <f>IF(G72="","",G72-F72)</f>
        <v/>
      </c>
      <c r="I72" s="7">
        <f>IF(G72="","",IF(G72&lt;F72*0.9,"az",IF(G72&gt;F72*1.15,"çox","normada")))</f>
        <v/>
      </c>
      <c r="J72" s="18">
        <f>IF(G72="","",SUMIFS(Gündəlik!$F$2:$F$2001,Gündəlik!$A$2:$A$2001,A72))</f>
        <v/>
      </c>
      <c r="K72" s="18">
        <f>ROUND(Profil!$B$10*Profil!$B$4,0)</f>
        <v/>
      </c>
      <c r="L72" s="18">
        <f>IF(G72="","",SUMIFS(Gündəlik!$G$2:$G$2001,Gündəlik!$A$2:$A$2001,A72))</f>
        <v/>
      </c>
      <c r="M72" s="18">
        <f>IF(G72="","",SUMIFS(Gündəlik!$H$2:$H$2001,Gündəlik!$A$2:$A$2001,A72))</f>
        <v/>
      </c>
      <c r="N72" s="24" t="n"/>
      <c r="O72" s="25">
        <f>IF(COUNTIFS($A$2:$A$121,"&gt;="&amp;(A72-6),$A$2:$A$121,"&lt;="&amp;A72,$N$2:$N$121,"&gt;0")&lt;3,"",AVERAGEIFS($N$2:$N$121,$A$2:$A$121,"&gt;="&amp;(A72-6),$A$2:$A$121,"&lt;="&amp;A72,$N$2:$N$121,"&gt;0"))</f>
        <v/>
      </c>
    </row>
    <row r="73">
      <c r="A73" s="22" t="n">
        <v>46375</v>
      </c>
      <c r="B73" s="7" t="inlineStr">
        <is>
          <t>Şənbə</t>
        </is>
      </c>
      <c r="C73" s="17" t="inlineStr">
        <is>
          <t>İstirahət</t>
        </is>
      </c>
      <c r="D73" s="8" t="n"/>
      <c r="E73" s="17" t="inlineStr">
        <is>
          <t>Tək</t>
        </is>
      </c>
      <c r="F73" s="11">
        <f>ROUND(((10*Profil!$B$4+6.25*Profil!$B$5-5*Profil!$B$6+5)*Profil!$B$7+Profil!$B$8+IF(C73="Zal",Profil!$B$9,0)+IF(N(D73)&gt;0,IF(E73="Cüt",5,7)*Profil!$B$4*D73/60,0))/10,0)*10</f>
        <v/>
      </c>
      <c r="G73" s="11">
        <f>IF(COUNTIF(Gündəlik!$A$2:$A$2001,A73)=0,"",SUMIFS(Gündəlik!$E$2:$E$2001,Gündəlik!$A$2:$A$2001,A73))</f>
        <v/>
      </c>
      <c r="H73" s="23">
        <f>IF(G73="","",G73-F73)</f>
        <v/>
      </c>
      <c r="I73" s="7">
        <f>IF(G73="","",IF(G73&lt;F73*0.9,"az",IF(G73&gt;F73*1.15,"çox","normada")))</f>
        <v/>
      </c>
      <c r="J73" s="18">
        <f>IF(G73="","",SUMIFS(Gündəlik!$F$2:$F$2001,Gündəlik!$A$2:$A$2001,A73))</f>
        <v/>
      </c>
      <c r="K73" s="18">
        <f>ROUND(Profil!$B$10*Profil!$B$4,0)</f>
        <v/>
      </c>
      <c r="L73" s="18">
        <f>IF(G73="","",SUMIFS(Gündəlik!$G$2:$G$2001,Gündəlik!$A$2:$A$2001,A73))</f>
        <v/>
      </c>
      <c r="M73" s="18">
        <f>IF(G73="","",SUMIFS(Gündəlik!$H$2:$H$2001,Gündəlik!$A$2:$A$2001,A73))</f>
        <v/>
      </c>
      <c r="N73" s="24" t="n"/>
      <c r="O73" s="25">
        <f>IF(COUNTIFS($A$2:$A$121,"&gt;="&amp;(A73-6),$A$2:$A$121,"&lt;="&amp;A73,$N$2:$N$121,"&gt;0")&lt;3,"",AVERAGEIFS($N$2:$N$121,$A$2:$A$121,"&gt;="&amp;(A73-6),$A$2:$A$121,"&lt;="&amp;A73,$N$2:$N$121,"&gt;0"))</f>
        <v/>
      </c>
    </row>
    <row r="74">
      <c r="A74" s="22" t="n">
        <v>46376</v>
      </c>
      <c r="B74" s="7" t="inlineStr">
        <is>
          <t>Bazar</t>
        </is>
      </c>
      <c r="C74" s="17" t="inlineStr">
        <is>
          <t>İstirahət</t>
        </is>
      </c>
      <c r="D74" s="8" t="n"/>
      <c r="E74" s="17" t="inlineStr">
        <is>
          <t>Tək</t>
        </is>
      </c>
      <c r="F74" s="11">
        <f>ROUND(((10*Profil!$B$4+6.25*Profil!$B$5-5*Profil!$B$6+5)*Profil!$B$7+Profil!$B$8+IF(C74="Zal",Profil!$B$9,0)+IF(N(D74)&gt;0,IF(E74="Cüt",5,7)*Profil!$B$4*D74/60,0))/10,0)*10</f>
        <v/>
      </c>
      <c r="G74" s="11">
        <f>IF(COUNTIF(Gündəlik!$A$2:$A$2001,A74)=0,"",SUMIFS(Gündəlik!$E$2:$E$2001,Gündəlik!$A$2:$A$2001,A74))</f>
        <v/>
      </c>
      <c r="H74" s="23">
        <f>IF(G74="","",G74-F74)</f>
        <v/>
      </c>
      <c r="I74" s="7">
        <f>IF(G74="","",IF(G74&lt;F74*0.9,"az",IF(G74&gt;F74*1.15,"çox","normada")))</f>
        <v/>
      </c>
      <c r="J74" s="18">
        <f>IF(G74="","",SUMIFS(Gündəlik!$F$2:$F$2001,Gündəlik!$A$2:$A$2001,A74))</f>
        <v/>
      </c>
      <c r="K74" s="18">
        <f>ROUND(Profil!$B$10*Profil!$B$4,0)</f>
        <v/>
      </c>
      <c r="L74" s="18">
        <f>IF(G74="","",SUMIFS(Gündəlik!$G$2:$G$2001,Gündəlik!$A$2:$A$2001,A74))</f>
        <v/>
      </c>
      <c r="M74" s="18">
        <f>IF(G74="","",SUMIFS(Gündəlik!$H$2:$H$2001,Gündəlik!$A$2:$A$2001,A74))</f>
        <v/>
      </c>
      <c r="N74" s="24" t="n"/>
      <c r="O74" s="25">
        <f>IF(COUNTIFS($A$2:$A$121,"&gt;="&amp;(A74-6),$A$2:$A$121,"&lt;="&amp;A74,$N$2:$N$121,"&gt;0")&lt;3,"",AVERAGEIFS($N$2:$N$121,$A$2:$A$121,"&gt;="&amp;(A74-6),$A$2:$A$121,"&lt;="&amp;A74,$N$2:$N$121,"&gt;0"))</f>
        <v/>
      </c>
    </row>
    <row r="75">
      <c r="A75" s="22" t="n">
        <v>46377</v>
      </c>
      <c r="B75" s="7" t="inlineStr">
        <is>
          <t>Bazar ertəsi</t>
        </is>
      </c>
      <c r="C75" s="17" t="inlineStr">
        <is>
          <t>Zal</t>
        </is>
      </c>
      <c r="D75" s="8" t="n"/>
      <c r="E75" s="17" t="inlineStr">
        <is>
          <t>Tək</t>
        </is>
      </c>
      <c r="F75" s="11">
        <f>ROUND(((10*Profil!$B$4+6.25*Profil!$B$5-5*Profil!$B$6+5)*Profil!$B$7+Profil!$B$8+IF(C75="Zal",Profil!$B$9,0)+IF(N(D75)&gt;0,IF(E75="Cüt",5,7)*Profil!$B$4*D75/60,0))/10,0)*10</f>
        <v/>
      </c>
      <c r="G75" s="11">
        <f>IF(COUNTIF(Gündəlik!$A$2:$A$2001,A75)=0,"",SUMIFS(Gündəlik!$E$2:$E$2001,Gündəlik!$A$2:$A$2001,A75))</f>
        <v/>
      </c>
      <c r="H75" s="23">
        <f>IF(G75="","",G75-F75)</f>
        <v/>
      </c>
      <c r="I75" s="7">
        <f>IF(G75="","",IF(G75&lt;F75*0.9,"az",IF(G75&gt;F75*1.15,"çox","normada")))</f>
        <v/>
      </c>
      <c r="J75" s="18">
        <f>IF(G75="","",SUMIFS(Gündəlik!$F$2:$F$2001,Gündəlik!$A$2:$A$2001,A75))</f>
        <v/>
      </c>
      <c r="K75" s="18">
        <f>ROUND(Profil!$B$10*Profil!$B$4,0)</f>
        <v/>
      </c>
      <c r="L75" s="18">
        <f>IF(G75="","",SUMIFS(Gündəlik!$G$2:$G$2001,Gündəlik!$A$2:$A$2001,A75))</f>
        <v/>
      </c>
      <c r="M75" s="18">
        <f>IF(G75="","",SUMIFS(Gündəlik!$H$2:$H$2001,Gündəlik!$A$2:$A$2001,A75))</f>
        <v/>
      </c>
      <c r="N75" s="24" t="n"/>
      <c r="O75" s="25">
        <f>IF(COUNTIFS($A$2:$A$121,"&gt;="&amp;(A75-6),$A$2:$A$121,"&lt;="&amp;A75,$N$2:$N$121,"&gt;0")&lt;3,"",AVERAGEIFS($N$2:$N$121,$A$2:$A$121,"&gt;="&amp;(A75-6),$A$2:$A$121,"&lt;="&amp;A75,$N$2:$N$121,"&gt;0"))</f>
        <v/>
      </c>
    </row>
    <row r="76">
      <c r="A76" s="22" t="n">
        <v>46378</v>
      </c>
      <c r="B76" s="7" t="inlineStr">
        <is>
          <t>Çərşənbə axşamı</t>
        </is>
      </c>
      <c r="C76" s="17" t="inlineStr">
        <is>
          <t>İstirahət</t>
        </is>
      </c>
      <c r="D76" s="8" t="n"/>
      <c r="E76" s="17" t="inlineStr">
        <is>
          <t>Tək</t>
        </is>
      </c>
      <c r="F76" s="11">
        <f>ROUND(((10*Profil!$B$4+6.25*Profil!$B$5-5*Profil!$B$6+5)*Profil!$B$7+Profil!$B$8+IF(C76="Zal",Profil!$B$9,0)+IF(N(D76)&gt;0,IF(E76="Cüt",5,7)*Profil!$B$4*D76/60,0))/10,0)*10</f>
        <v/>
      </c>
      <c r="G76" s="11">
        <f>IF(COUNTIF(Gündəlik!$A$2:$A$2001,A76)=0,"",SUMIFS(Gündəlik!$E$2:$E$2001,Gündəlik!$A$2:$A$2001,A76))</f>
        <v/>
      </c>
      <c r="H76" s="23">
        <f>IF(G76="","",G76-F76)</f>
        <v/>
      </c>
      <c r="I76" s="7">
        <f>IF(G76="","",IF(G76&lt;F76*0.9,"az",IF(G76&gt;F76*1.15,"çox","normada")))</f>
        <v/>
      </c>
      <c r="J76" s="18">
        <f>IF(G76="","",SUMIFS(Gündəlik!$F$2:$F$2001,Gündəlik!$A$2:$A$2001,A76))</f>
        <v/>
      </c>
      <c r="K76" s="18">
        <f>ROUND(Profil!$B$10*Profil!$B$4,0)</f>
        <v/>
      </c>
      <c r="L76" s="18">
        <f>IF(G76="","",SUMIFS(Gündəlik!$G$2:$G$2001,Gündəlik!$A$2:$A$2001,A76))</f>
        <v/>
      </c>
      <c r="M76" s="18">
        <f>IF(G76="","",SUMIFS(Gündəlik!$H$2:$H$2001,Gündəlik!$A$2:$A$2001,A76))</f>
        <v/>
      </c>
      <c r="N76" s="24" t="n"/>
      <c r="O76" s="25">
        <f>IF(COUNTIFS($A$2:$A$121,"&gt;="&amp;(A76-6),$A$2:$A$121,"&lt;="&amp;A76,$N$2:$N$121,"&gt;0")&lt;3,"",AVERAGEIFS($N$2:$N$121,$A$2:$A$121,"&gt;="&amp;(A76-6),$A$2:$A$121,"&lt;="&amp;A76,$N$2:$N$121,"&gt;0"))</f>
        <v/>
      </c>
    </row>
    <row r="77">
      <c r="A77" s="22" t="n">
        <v>46379</v>
      </c>
      <c r="B77" s="7" t="inlineStr">
        <is>
          <t>Çərşənbə</t>
        </is>
      </c>
      <c r="C77" s="17" t="inlineStr">
        <is>
          <t>Zal</t>
        </is>
      </c>
      <c r="D77" s="8" t="n"/>
      <c r="E77" s="17" t="inlineStr">
        <is>
          <t>Tək</t>
        </is>
      </c>
      <c r="F77" s="11">
        <f>ROUND(((10*Profil!$B$4+6.25*Profil!$B$5-5*Profil!$B$6+5)*Profil!$B$7+Profil!$B$8+IF(C77="Zal",Profil!$B$9,0)+IF(N(D77)&gt;0,IF(E77="Cüt",5,7)*Profil!$B$4*D77/60,0))/10,0)*10</f>
        <v/>
      </c>
      <c r="G77" s="11">
        <f>IF(COUNTIF(Gündəlik!$A$2:$A$2001,A77)=0,"",SUMIFS(Gündəlik!$E$2:$E$2001,Gündəlik!$A$2:$A$2001,A77))</f>
        <v/>
      </c>
      <c r="H77" s="23">
        <f>IF(G77="","",G77-F77)</f>
        <v/>
      </c>
      <c r="I77" s="7">
        <f>IF(G77="","",IF(G77&lt;F77*0.9,"az",IF(G77&gt;F77*1.15,"çox","normada")))</f>
        <v/>
      </c>
      <c r="J77" s="18">
        <f>IF(G77="","",SUMIFS(Gündəlik!$F$2:$F$2001,Gündəlik!$A$2:$A$2001,A77))</f>
        <v/>
      </c>
      <c r="K77" s="18">
        <f>ROUND(Profil!$B$10*Profil!$B$4,0)</f>
        <v/>
      </c>
      <c r="L77" s="18">
        <f>IF(G77="","",SUMIFS(Gündəlik!$G$2:$G$2001,Gündəlik!$A$2:$A$2001,A77))</f>
        <v/>
      </c>
      <c r="M77" s="18">
        <f>IF(G77="","",SUMIFS(Gündəlik!$H$2:$H$2001,Gündəlik!$A$2:$A$2001,A77))</f>
        <v/>
      </c>
      <c r="N77" s="24" t="n"/>
      <c r="O77" s="25">
        <f>IF(COUNTIFS($A$2:$A$121,"&gt;="&amp;(A77-6),$A$2:$A$121,"&lt;="&amp;A77,$N$2:$N$121,"&gt;0")&lt;3,"",AVERAGEIFS($N$2:$N$121,$A$2:$A$121,"&gt;="&amp;(A77-6),$A$2:$A$121,"&lt;="&amp;A77,$N$2:$N$121,"&gt;0"))</f>
        <v/>
      </c>
    </row>
    <row r="78">
      <c r="A78" s="22" t="n">
        <v>46380</v>
      </c>
      <c r="B78" s="7" t="inlineStr">
        <is>
          <t>Cümə axşamı</t>
        </is>
      </c>
      <c r="C78" s="17" t="inlineStr">
        <is>
          <t>İstirahət</t>
        </is>
      </c>
      <c r="D78" s="8" t="n"/>
      <c r="E78" s="17" t="inlineStr">
        <is>
          <t>Tək</t>
        </is>
      </c>
      <c r="F78" s="11">
        <f>ROUND(((10*Profil!$B$4+6.25*Profil!$B$5-5*Profil!$B$6+5)*Profil!$B$7+Profil!$B$8+IF(C78="Zal",Profil!$B$9,0)+IF(N(D78)&gt;0,IF(E78="Cüt",5,7)*Profil!$B$4*D78/60,0))/10,0)*10</f>
        <v/>
      </c>
      <c r="G78" s="11">
        <f>IF(COUNTIF(Gündəlik!$A$2:$A$2001,A78)=0,"",SUMIFS(Gündəlik!$E$2:$E$2001,Gündəlik!$A$2:$A$2001,A78))</f>
        <v/>
      </c>
      <c r="H78" s="23">
        <f>IF(G78="","",G78-F78)</f>
        <v/>
      </c>
      <c r="I78" s="7">
        <f>IF(G78="","",IF(G78&lt;F78*0.9,"az",IF(G78&gt;F78*1.15,"çox","normada")))</f>
        <v/>
      </c>
      <c r="J78" s="18">
        <f>IF(G78="","",SUMIFS(Gündəlik!$F$2:$F$2001,Gündəlik!$A$2:$A$2001,A78))</f>
        <v/>
      </c>
      <c r="K78" s="18">
        <f>ROUND(Profil!$B$10*Profil!$B$4,0)</f>
        <v/>
      </c>
      <c r="L78" s="18">
        <f>IF(G78="","",SUMIFS(Gündəlik!$G$2:$G$2001,Gündəlik!$A$2:$A$2001,A78))</f>
        <v/>
      </c>
      <c r="M78" s="18">
        <f>IF(G78="","",SUMIFS(Gündəlik!$H$2:$H$2001,Gündəlik!$A$2:$A$2001,A78))</f>
        <v/>
      </c>
      <c r="N78" s="24" t="n"/>
      <c r="O78" s="25">
        <f>IF(COUNTIFS($A$2:$A$121,"&gt;="&amp;(A78-6),$A$2:$A$121,"&lt;="&amp;A78,$N$2:$N$121,"&gt;0")&lt;3,"",AVERAGEIFS($N$2:$N$121,$A$2:$A$121,"&gt;="&amp;(A78-6),$A$2:$A$121,"&lt;="&amp;A78,$N$2:$N$121,"&gt;0"))</f>
        <v/>
      </c>
    </row>
    <row r="79">
      <c r="A79" s="22" t="n">
        <v>46381</v>
      </c>
      <c r="B79" s="7" t="inlineStr">
        <is>
          <t>Cümə</t>
        </is>
      </c>
      <c r="C79" s="17" t="inlineStr">
        <is>
          <t>Zal</t>
        </is>
      </c>
      <c r="D79" s="8" t="n"/>
      <c r="E79" s="17" t="inlineStr">
        <is>
          <t>Tək</t>
        </is>
      </c>
      <c r="F79" s="11">
        <f>ROUND(((10*Profil!$B$4+6.25*Profil!$B$5-5*Profil!$B$6+5)*Profil!$B$7+Profil!$B$8+IF(C79="Zal",Profil!$B$9,0)+IF(N(D79)&gt;0,IF(E79="Cüt",5,7)*Profil!$B$4*D79/60,0))/10,0)*10</f>
        <v/>
      </c>
      <c r="G79" s="11">
        <f>IF(COUNTIF(Gündəlik!$A$2:$A$2001,A79)=0,"",SUMIFS(Gündəlik!$E$2:$E$2001,Gündəlik!$A$2:$A$2001,A79))</f>
        <v/>
      </c>
      <c r="H79" s="23">
        <f>IF(G79="","",G79-F79)</f>
        <v/>
      </c>
      <c r="I79" s="7">
        <f>IF(G79="","",IF(G79&lt;F79*0.9,"az",IF(G79&gt;F79*1.15,"çox","normada")))</f>
        <v/>
      </c>
      <c r="J79" s="18">
        <f>IF(G79="","",SUMIFS(Gündəlik!$F$2:$F$2001,Gündəlik!$A$2:$A$2001,A79))</f>
        <v/>
      </c>
      <c r="K79" s="18">
        <f>ROUND(Profil!$B$10*Profil!$B$4,0)</f>
        <v/>
      </c>
      <c r="L79" s="18">
        <f>IF(G79="","",SUMIFS(Gündəlik!$G$2:$G$2001,Gündəlik!$A$2:$A$2001,A79))</f>
        <v/>
      </c>
      <c r="M79" s="18">
        <f>IF(G79="","",SUMIFS(Gündəlik!$H$2:$H$2001,Gündəlik!$A$2:$A$2001,A79))</f>
        <v/>
      </c>
      <c r="N79" s="24" t="n"/>
      <c r="O79" s="25">
        <f>IF(COUNTIFS($A$2:$A$121,"&gt;="&amp;(A79-6),$A$2:$A$121,"&lt;="&amp;A79,$N$2:$N$121,"&gt;0")&lt;3,"",AVERAGEIFS($N$2:$N$121,$A$2:$A$121,"&gt;="&amp;(A79-6),$A$2:$A$121,"&lt;="&amp;A79,$N$2:$N$121,"&gt;0"))</f>
        <v/>
      </c>
    </row>
    <row r="80">
      <c r="A80" s="22" t="n">
        <v>46382</v>
      </c>
      <c r="B80" s="7" t="inlineStr">
        <is>
          <t>Şənbə</t>
        </is>
      </c>
      <c r="C80" s="17" t="inlineStr">
        <is>
          <t>İstirahət</t>
        </is>
      </c>
      <c r="D80" s="8" t="n"/>
      <c r="E80" s="17" t="inlineStr">
        <is>
          <t>Tək</t>
        </is>
      </c>
      <c r="F80" s="11">
        <f>ROUND(((10*Profil!$B$4+6.25*Profil!$B$5-5*Profil!$B$6+5)*Profil!$B$7+Profil!$B$8+IF(C80="Zal",Profil!$B$9,0)+IF(N(D80)&gt;0,IF(E80="Cüt",5,7)*Profil!$B$4*D80/60,0))/10,0)*10</f>
        <v/>
      </c>
      <c r="G80" s="11">
        <f>IF(COUNTIF(Gündəlik!$A$2:$A$2001,A80)=0,"",SUMIFS(Gündəlik!$E$2:$E$2001,Gündəlik!$A$2:$A$2001,A80))</f>
        <v/>
      </c>
      <c r="H80" s="23">
        <f>IF(G80="","",G80-F80)</f>
        <v/>
      </c>
      <c r="I80" s="7">
        <f>IF(G80="","",IF(G80&lt;F80*0.9,"az",IF(G80&gt;F80*1.15,"çox","normada")))</f>
        <v/>
      </c>
      <c r="J80" s="18">
        <f>IF(G80="","",SUMIFS(Gündəlik!$F$2:$F$2001,Gündəlik!$A$2:$A$2001,A80))</f>
        <v/>
      </c>
      <c r="K80" s="18">
        <f>ROUND(Profil!$B$10*Profil!$B$4,0)</f>
        <v/>
      </c>
      <c r="L80" s="18">
        <f>IF(G80="","",SUMIFS(Gündəlik!$G$2:$G$2001,Gündəlik!$A$2:$A$2001,A80))</f>
        <v/>
      </c>
      <c r="M80" s="18">
        <f>IF(G80="","",SUMIFS(Gündəlik!$H$2:$H$2001,Gündəlik!$A$2:$A$2001,A80))</f>
        <v/>
      </c>
      <c r="N80" s="24" t="n"/>
      <c r="O80" s="25">
        <f>IF(COUNTIFS($A$2:$A$121,"&gt;="&amp;(A80-6),$A$2:$A$121,"&lt;="&amp;A80,$N$2:$N$121,"&gt;0")&lt;3,"",AVERAGEIFS($N$2:$N$121,$A$2:$A$121,"&gt;="&amp;(A80-6),$A$2:$A$121,"&lt;="&amp;A80,$N$2:$N$121,"&gt;0"))</f>
        <v/>
      </c>
    </row>
    <row r="81">
      <c r="A81" s="22" t="n">
        <v>46383</v>
      </c>
      <c r="B81" s="7" t="inlineStr">
        <is>
          <t>Bazar</t>
        </is>
      </c>
      <c r="C81" s="17" t="inlineStr">
        <is>
          <t>İstirahət</t>
        </is>
      </c>
      <c r="D81" s="8" t="n"/>
      <c r="E81" s="17" t="inlineStr">
        <is>
          <t>Tək</t>
        </is>
      </c>
      <c r="F81" s="11">
        <f>ROUND(((10*Profil!$B$4+6.25*Profil!$B$5-5*Profil!$B$6+5)*Profil!$B$7+Profil!$B$8+IF(C81="Zal",Profil!$B$9,0)+IF(N(D81)&gt;0,IF(E81="Cüt",5,7)*Profil!$B$4*D81/60,0))/10,0)*10</f>
        <v/>
      </c>
      <c r="G81" s="11">
        <f>IF(COUNTIF(Gündəlik!$A$2:$A$2001,A81)=0,"",SUMIFS(Gündəlik!$E$2:$E$2001,Gündəlik!$A$2:$A$2001,A81))</f>
        <v/>
      </c>
      <c r="H81" s="23">
        <f>IF(G81="","",G81-F81)</f>
        <v/>
      </c>
      <c r="I81" s="7">
        <f>IF(G81="","",IF(G81&lt;F81*0.9,"az",IF(G81&gt;F81*1.15,"çox","normada")))</f>
        <v/>
      </c>
      <c r="J81" s="18">
        <f>IF(G81="","",SUMIFS(Gündəlik!$F$2:$F$2001,Gündəlik!$A$2:$A$2001,A81))</f>
        <v/>
      </c>
      <c r="K81" s="18">
        <f>ROUND(Profil!$B$10*Profil!$B$4,0)</f>
        <v/>
      </c>
      <c r="L81" s="18">
        <f>IF(G81="","",SUMIFS(Gündəlik!$G$2:$G$2001,Gündəlik!$A$2:$A$2001,A81))</f>
        <v/>
      </c>
      <c r="M81" s="18">
        <f>IF(G81="","",SUMIFS(Gündəlik!$H$2:$H$2001,Gündəlik!$A$2:$A$2001,A81))</f>
        <v/>
      </c>
      <c r="N81" s="24" t="n"/>
      <c r="O81" s="25">
        <f>IF(COUNTIFS($A$2:$A$121,"&gt;="&amp;(A81-6),$A$2:$A$121,"&lt;="&amp;A81,$N$2:$N$121,"&gt;0")&lt;3,"",AVERAGEIFS($N$2:$N$121,$A$2:$A$121,"&gt;="&amp;(A81-6),$A$2:$A$121,"&lt;="&amp;A81,$N$2:$N$121,"&gt;0"))</f>
        <v/>
      </c>
    </row>
    <row r="82">
      <c r="A82" s="22" t="n">
        <v>46384</v>
      </c>
      <c r="B82" s="7" t="inlineStr">
        <is>
          <t>Bazar ertəsi</t>
        </is>
      </c>
      <c r="C82" s="17" t="inlineStr">
        <is>
          <t>Zal</t>
        </is>
      </c>
      <c r="D82" s="8" t="n"/>
      <c r="E82" s="17" t="inlineStr">
        <is>
          <t>Tək</t>
        </is>
      </c>
      <c r="F82" s="11">
        <f>ROUND(((10*Profil!$B$4+6.25*Profil!$B$5-5*Profil!$B$6+5)*Profil!$B$7+Profil!$B$8+IF(C82="Zal",Profil!$B$9,0)+IF(N(D82)&gt;0,IF(E82="Cüt",5,7)*Profil!$B$4*D82/60,0))/10,0)*10</f>
        <v/>
      </c>
      <c r="G82" s="11">
        <f>IF(COUNTIF(Gündəlik!$A$2:$A$2001,A82)=0,"",SUMIFS(Gündəlik!$E$2:$E$2001,Gündəlik!$A$2:$A$2001,A82))</f>
        <v/>
      </c>
      <c r="H82" s="23">
        <f>IF(G82="","",G82-F82)</f>
        <v/>
      </c>
      <c r="I82" s="7">
        <f>IF(G82="","",IF(G82&lt;F82*0.9,"az",IF(G82&gt;F82*1.15,"çox","normada")))</f>
        <v/>
      </c>
      <c r="J82" s="18">
        <f>IF(G82="","",SUMIFS(Gündəlik!$F$2:$F$2001,Gündəlik!$A$2:$A$2001,A82))</f>
        <v/>
      </c>
      <c r="K82" s="18">
        <f>ROUND(Profil!$B$10*Profil!$B$4,0)</f>
        <v/>
      </c>
      <c r="L82" s="18">
        <f>IF(G82="","",SUMIFS(Gündəlik!$G$2:$G$2001,Gündəlik!$A$2:$A$2001,A82))</f>
        <v/>
      </c>
      <c r="M82" s="18">
        <f>IF(G82="","",SUMIFS(Gündəlik!$H$2:$H$2001,Gündəlik!$A$2:$A$2001,A82))</f>
        <v/>
      </c>
      <c r="N82" s="24" t="n"/>
      <c r="O82" s="25">
        <f>IF(COUNTIFS($A$2:$A$121,"&gt;="&amp;(A82-6),$A$2:$A$121,"&lt;="&amp;A82,$N$2:$N$121,"&gt;0")&lt;3,"",AVERAGEIFS($N$2:$N$121,$A$2:$A$121,"&gt;="&amp;(A82-6),$A$2:$A$121,"&lt;="&amp;A82,$N$2:$N$121,"&gt;0"))</f>
        <v/>
      </c>
    </row>
    <row r="83">
      <c r="A83" s="22" t="n">
        <v>46385</v>
      </c>
      <c r="B83" s="7" t="inlineStr">
        <is>
          <t>Çərşənbə axşamı</t>
        </is>
      </c>
      <c r="C83" s="17" t="inlineStr">
        <is>
          <t>İstirahət</t>
        </is>
      </c>
      <c r="D83" s="8" t="n"/>
      <c r="E83" s="17" t="inlineStr">
        <is>
          <t>Tək</t>
        </is>
      </c>
      <c r="F83" s="11">
        <f>ROUND(((10*Profil!$B$4+6.25*Profil!$B$5-5*Profil!$B$6+5)*Profil!$B$7+Profil!$B$8+IF(C83="Zal",Profil!$B$9,0)+IF(N(D83)&gt;0,IF(E83="Cüt",5,7)*Profil!$B$4*D83/60,0))/10,0)*10</f>
        <v/>
      </c>
      <c r="G83" s="11">
        <f>IF(COUNTIF(Gündəlik!$A$2:$A$2001,A83)=0,"",SUMIFS(Gündəlik!$E$2:$E$2001,Gündəlik!$A$2:$A$2001,A83))</f>
        <v/>
      </c>
      <c r="H83" s="23">
        <f>IF(G83="","",G83-F83)</f>
        <v/>
      </c>
      <c r="I83" s="7">
        <f>IF(G83="","",IF(G83&lt;F83*0.9,"az",IF(G83&gt;F83*1.15,"çox","normada")))</f>
        <v/>
      </c>
      <c r="J83" s="18">
        <f>IF(G83="","",SUMIFS(Gündəlik!$F$2:$F$2001,Gündəlik!$A$2:$A$2001,A83))</f>
        <v/>
      </c>
      <c r="K83" s="18">
        <f>ROUND(Profil!$B$10*Profil!$B$4,0)</f>
        <v/>
      </c>
      <c r="L83" s="18">
        <f>IF(G83="","",SUMIFS(Gündəlik!$G$2:$G$2001,Gündəlik!$A$2:$A$2001,A83))</f>
        <v/>
      </c>
      <c r="M83" s="18">
        <f>IF(G83="","",SUMIFS(Gündəlik!$H$2:$H$2001,Gündəlik!$A$2:$A$2001,A83))</f>
        <v/>
      </c>
      <c r="N83" s="24" t="n"/>
      <c r="O83" s="25">
        <f>IF(COUNTIFS($A$2:$A$121,"&gt;="&amp;(A83-6),$A$2:$A$121,"&lt;="&amp;A83,$N$2:$N$121,"&gt;0")&lt;3,"",AVERAGEIFS($N$2:$N$121,$A$2:$A$121,"&gt;="&amp;(A83-6),$A$2:$A$121,"&lt;="&amp;A83,$N$2:$N$121,"&gt;0"))</f>
        <v/>
      </c>
    </row>
    <row r="84">
      <c r="A84" s="22" t="n">
        <v>46386</v>
      </c>
      <c r="B84" s="7" t="inlineStr">
        <is>
          <t>Çərşənbə</t>
        </is>
      </c>
      <c r="C84" s="17" t="inlineStr">
        <is>
          <t>Zal</t>
        </is>
      </c>
      <c r="D84" s="8" t="n"/>
      <c r="E84" s="17" t="inlineStr">
        <is>
          <t>Tək</t>
        </is>
      </c>
      <c r="F84" s="11">
        <f>ROUND(((10*Profil!$B$4+6.25*Profil!$B$5-5*Profil!$B$6+5)*Profil!$B$7+Profil!$B$8+IF(C84="Zal",Profil!$B$9,0)+IF(N(D84)&gt;0,IF(E84="Cüt",5,7)*Profil!$B$4*D84/60,0))/10,0)*10</f>
        <v/>
      </c>
      <c r="G84" s="11">
        <f>IF(COUNTIF(Gündəlik!$A$2:$A$2001,A84)=0,"",SUMIFS(Gündəlik!$E$2:$E$2001,Gündəlik!$A$2:$A$2001,A84))</f>
        <v/>
      </c>
      <c r="H84" s="23">
        <f>IF(G84="","",G84-F84)</f>
        <v/>
      </c>
      <c r="I84" s="7">
        <f>IF(G84="","",IF(G84&lt;F84*0.9,"az",IF(G84&gt;F84*1.15,"çox","normada")))</f>
        <v/>
      </c>
      <c r="J84" s="18">
        <f>IF(G84="","",SUMIFS(Gündəlik!$F$2:$F$2001,Gündəlik!$A$2:$A$2001,A84))</f>
        <v/>
      </c>
      <c r="K84" s="18">
        <f>ROUND(Profil!$B$10*Profil!$B$4,0)</f>
        <v/>
      </c>
      <c r="L84" s="18">
        <f>IF(G84="","",SUMIFS(Gündəlik!$G$2:$G$2001,Gündəlik!$A$2:$A$2001,A84))</f>
        <v/>
      </c>
      <c r="M84" s="18">
        <f>IF(G84="","",SUMIFS(Gündəlik!$H$2:$H$2001,Gündəlik!$A$2:$A$2001,A84))</f>
        <v/>
      </c>
      <c r="N84" s="24" t="n"/>
      <c r="O84" s="25">
        <f>IF(COUNTIFS($A$2:$A$121,"&gt;="&amp;(A84-6),$A$2:$A$121,"&lt;="&amp;A84,$N$2:$N$121,"&gt;0")&lt;3,"",AVERAGEIFS($N$2:$N$121,$A$2:$A$121,"&gt;="&amp;(A84-6),$A$2:$A$121,"&lt;="&amp;A84,$N$2:$N$121,"&gt;0"))</f>
        <v/>
      </c>
    </row>
    <row r="85">
      <c r="A85" s="22" t="n">
        <v>46387</v>
      </c>
      <c r="B85" s="7" t="inlineStr">
        <is>
          <t>Cümə axşamı</t>
        </is>
      </c>
      <c r="C85" s="17" t="inlineStr">
        <is>
          <t>İstirahət</t>
        </is>
      </c>
      <c r="D85" s="8" t="n"/>
      <c r="E85" s="17" t="inlineStr">
        <is>
          <t>Tək</t>
        </is>
      </c>
      <c r="F85" s="11">
        <f>ROUND(((10*Profil!$B$4+6.25*Profil!$B$5-5*Profil!$B$6+5)*Profil!$B$7+Profil!$B$8+IF(C85="Zal",Profil!$B$9,0)+IF(N(D85)&gt;0,IF(E85="Cüt",5,7)*Profil!$B$4*D85/60,0))/10,0)*10</f>
        <v/>
      </c>
      <c r="G85" s="11">
        <f>IF(COUNTIF(Gündəlik!$A$2:$A$2001,A85)=0,"",SUMIFS(Gündəlik!$E$2:$E$2001,Gündəlik!$A$2:$A$2001,A85))</f>
        <v/>
      </c>
      <c r="H85" s="23">
        <f>IF(G85="","",G85-F85)</f>
        <v/>
      </c>
      <c r="I85" s="7">
        <f>IF(G85="","",IF(G85&lt;F85*0.9,"az",IF(G85&gt;F85*1.15,"çox","normada")))</f>
        <v/>
      </c>
      <c r="J85" s="18">
        <f>IF(G85="","",SUMIFS(Gündəlik!$F$2:$F$2001,Gündəlik!$A$2:$A$2001,A85))</f>
        <v/>
      </c>
      <c r="K85" s="18">
        <f>ROUND(Profil!$B$10*Profil!$B$4,0)</f>
        <v/>
      </c>
      <c r="L85" s="18">
        <f>IF(G85="","",SUMIFS(Gündəlik!$G$2:$G$2001,Gündəlik!$A$2:$A$2001,A85))</f>
        <v/>
      </c>
      <c r="M85" s="18">
        <f>IF(G85="","",SUMIFS(Gündəlik!$H$2:$H$2001,Gündəlik!$A$2:$A$2001,A85))</f>
        <v/>
      </c>
      <c r="N85" s="24" t="n"/>
      <c r="O85" s="25">
        <f>IF(COUNTIFS($A$2:$A$121,"&gt;="&amp;(A85-6),$A$2:$A$121,"&lt;="&amp;A85,$N$2:$N$121,"&gt;0")&lt;3,"",AVERAGEIFS($N$2:$N$121,$A$2:$A$121,"&gt;="&amp;(A85-6),$A$2:$A$121,"&lt;="&amp;A85,$N$2:$N$121,"&gt;0"))</f>
        <v/>
      </c>
    </row>
    <row r="86">
      <c r="A86" s="22" t="n">
        <v>46388</v>
      </c>
      <c r="B86" s="7" t="inlineStr">
        <is>
          <t>Cümə</t>
        </is>
      </c>
      <c r="C86" s="17" t="inlineStr">
        <is>
          <t>Zal</t>
        </is>
      </c>
      <c r="D86" s="8" t="n"/>
      <c r="E86" s="17" t="inlineStr">
        <is>
          <t>Tək</t>
        </is>
      </c>
      <c r="F86" s="11">
        <f>ROUND(((10*Profil!$B$4+6.25*Profil!$B$5-5*Profil!$B$6+5)*Profil!$B$7+Profil!$B$8+IF(C86="Zal",Profil!$B$9,0)+IF(N(D86)&gt;0,IF(E86="Cüt",5,7)*Profil!$B$4*D86/60,0))/10,0)*10</f>
        <v/>
      </c>
      <c r="G86" s="11">
        <f>IF(COUNTIF(Gündəlik!$A$2:$A$2001,A86)=0,"",SUMIFS(Gündəlik!$E$2:$E$2001,Gündəlik!$A$2:$A$2001,A86))</f>
        <v/>
      </c>
      <c r="H86" s="23">
        <f>IF(G86="","",G86-F86)</f>
        <v/>
      </c>
      <c r="I86" s="7">
        <f>IF(G86="","",IF(G86&lt;F86*0.9,"az",IF(G86&gt;F86*1.15,"çox","normada")))</f>
        <v/>
      </c>
      <c r="J86" s="18">
        <f>IF(G86="","",SUMIFS(Gündəlik!$F$2:$F$2001,Gündəlik!$A$2:$A$2001,A86))</f>
        <v/>
      </c>
      <c r="K86" s="18">
        <f>ROUND(Profil!$B$10*Profil!$B$4,0)</f>
        <v/>
      </c>
      <c r="L86" s="18">
        <f>IF(G86="","",SUMIFS(Gündəlik!$G$2:$G$2001,Gündəlik!$A$2:$A$2001,A86))</f>
        <v/>
      </c>
      <c r="M86" s="18">
        <f>IF(G86="","",SUMIFS(Gündəlik!$H$2:$H$2001,Gündəlik!$A$2:$A$2001,A86))</f>
        <v/>
      </c>
      <c r="N86" s="24" t="n"/>
      <c r="O86" s="25">
        <f>IF(COUNTIFS($A$2:$A$121,"&gt;="&amp;(A86-6),$A$2:$A$121,"&lt;="&amp;A86,$N$2:$N$121,"&gt;0")&lt;3,"",AVERAGEIFS($N$2:$N$121,$A$2:$A$121,"&gt;="&amp;(A86-6),$A$2:$A$121,"&lt;="&amp;A86,$N$2:$N$121,"&gt;0"))</f>
        <v/>
      </c>
    </row>
    <row r="87">
      <c r="A87" s="22" t="n">
        <v>46389</v>
      </c>
      <c r="B87" s="7" t="inlineStr">
        <is>
          <t>Şənbə</t>
        </is>
      </c>
      <c r="C87" s="17" t="inlineStr">
        <is>
          <t>İstirahət</t>
        </is>
      </c>
      <c r="D87" s="8" t="n"/>
      <c r="E87" s="17" t="inlineStr">
        <is>
          <t>Tək</t>
        </is>
      </c>
      <c r="F87" s="11">
        <f>ROUND(((10*Profil!$B$4+6.25*Profil!$B$5-5*Profil!$B$6+5)*Profil!$B$7+Profil!$B$8+IF(C87="Zal",Profil!$B$9,0)+IF(N(D87)&gt;0,IF(E87="Cüt",5,7)*Profil!$B$4*D87/60,0))/10,0)*10</f>
        <v/>
      </c>
      <c r="G87" s="11">
        <f>IF(COUNTIF(Gündəlik!$A$2:$A$2001,A87)=0,"",SUMIFS(Gündəlik!$E$2:$E$2001,Gündəlik!$A$2:$A$2001,A87))</f>
        <v/>
      </c>
      <c r="H87" s="23">
        <f>IF(G87="","",G87-F87)</f>
        <v/>
      </c>
      <c r="I87" s="7">
        <f>IF(G87="","",IF(G87&lt;F87*0.9,"az",IF(G87&gt;F87*1.15,"çox","normada")))</f>
        <v/>
      </c>
      <c r="J87" s="18">
        <f>IF(G87="","",SUMIFS(Gündəlik!$F$2:$F$2001,Gündəlik!$A$2:$A$2001,A87))</f>
        <v/>
      </c>
      <c r="K87" s="18">
        <f>ROUND(Profil!$B$10*Profil!$B$4,0)</f>
        <v/>
      </c>
      <c r="L87" s="18">
        <f>IF(G87="","",SUMIFS(Gündəlik!$G$2:$G$2001,Gündəlik!$A$2:$A$2001,A87))</f>
        <v/>
      </c>
      <c r="M87" s="18">
        <f>IF(G87="","",SUMIFS(Gündəlik!$H$2:$H$2001,Gündəlik!$A$2:$A$2001,A87))</f>
        <v/>
      </c>
      <c r="N87" s="24" t="n"/>
      <c r="O87" s="25">
        <f>IF(COUNTIFS($A$2:$A$121,"&gt;="&amp;(A87-6),$A$2:$A$121,"&lt;="&amp;A87,$N$2:$N$121,"&gt;0")&lt;3,"",AVERAGEIFS($N$2:$N$121,$A$2:$A$121,"&gt;="&amp;(A87-6),$A$2:$A$121,"&lt;="&amp;A87,$N$2:$N$121,"&gt;0"))</f>
        <v/>
      </c>
    </row>
    <row r="88">
      <c r="A88" s="22" t="n">
        <v>46390</v>
      </c>
      <c r="B88" s="7" t="inlineStr">
        <is>
          <t>Bazar</t>
        </is>
      </c>
      <c r="C88" s="17" t="inlineStr">
        <is>
          <t>İstirahət</t>
        </is>
      </c>
      <c r="D88" s="8" t="n"/>
      <c r="E88" s="17" t="inlineStr">
        <is>
          <t>Tək</t>
        </is>
      </c>
      <c r="F88" s="11">
        <f>ROUND(((10*Profil!$B$4+6.25*Profil!$B$5-5*Profil!$B$6+5)*Profil!$B$7+Profil!$B$8+IF(C88="Zal",Profil!$B$9,0)+IF(N(D88)&gt;0,IF(E88="Cüt",5,7)*Profil!$B$4*D88/60,0))/10,0)*10</f>
        <v/>
      </c>
      <c r="G88" s="11">
        <f>IF(COUNTIF(Gündəlik!$A$2:$A$2001,A88)=0,"",SUMIFS(Gündəlik!$E$2:$E$2001,Gündəlik!$A$2:$A$2001,A88))</f>
        <v/>
      </c>
      <c r="H88" s="23">
        <f>IF(G88="","",G88-F88)</f>
        <v/>
      </c>
      <c r="I88" s="7">
        <f>IF(G88="","",IF(G88&lt;F88*0.9,"az",IF(G88&gt;F88*1.15,"çox","normada")))</f>
        <v/>
      </c>
      <c r="J88" s="18">
        <f>IF(G88="","",SUMIFS(Gündəlik!$F$2:$F$2001,Gündəlik!$A$2:$A$2001,A88))</f>
        <v/>
      </c>
      <c r="K88" s="18">
        <f>ROUND(Profil!$B$10*Profil!$B$4,0)</f>
        <v/>
      </c>
      <c r="L88" s="18">
        <f>IF(G88="","",SUMIFS(Gündəlik!$G$2:$G$2001,Gündəlik!$A$2:$A$2001,A88))</f>
        <v/>
      </c>
      <c r="M88" s="18">
        <f>IF(G88="","",SUMIFS(Gündəlik!$H$2:$H$2001,Gündəlik!$A$2:$A$2001,A88))</f>
        <v/>
      </c>
      <c r="N88" s="24" t="n"/>
      <c r="O88" s="25">
        <f>IF(COUNTIFS($A$2:$A$121,"&gt;="&amp;(A88-6),$A$2:$A$121,"&lt;="&amp;A88,$N$2:$N$121,"&gt;0")&lt;3,"",AVERAGEIFS($N$2:$N$121,$A$2:$A$121,"&gt;="&amp;(A88-6),$A$2:$A$121,"&lt;="&amp;A88,$N$2:$N$121,"&gt;0"))</f>
        <v/>
      </c>
    </row>
    <row r="89">
      <c r="A89" s="22" t="n">
        <v>46391</v>
      </c>
      <c r="B89" s="7" t="inlineStr">
        <is>
          <t>Bazar ertəsi</t>
        </is>
      </c>
      <c r="C89" s="17" t="inlineStr">
        <is>
          <t>Zal</t>
        </is>
      </c>
      <c r="D89" s="8" t="n"/>
      <c r="E89" s="17" t="inlineStr">
        <is>
          <t>Tək</t>
        </is>
      </c>
      <c r="F89" s="11">
        <f>ROUND(((10*Profil!$B$4+6.25*Profil!$B$5-5*Profil!$B$6+5)*Profil!$B$7+Profil!$B$8+IF(C89="Zal",Profil!$B$9,0)+IF(N(D89)&gt;0,IF(E89="Cüt",5,7)*Profil!$B$4*D89/60,0))/10,0)*10</f>
        <v/>
      </c>
      <c r="G89" s="11">
        <f>IF(COUNTIF(Gündəlik!$A$2:$A$2001,A89)=0,"",SUMIFS(Gündəlik!$E$2:$E$2001,Gündəlik!$A$2:$A$2001,A89))</f>
        <v/>
      </c>
      <c r="H89" s="23">
        <f>IF(G89="","",G89-F89)</f>
        <v/>
      </c>
      <c r="I89" s="7">
        <f>IF(G89="","",IF(G89&lt;F89*0.9,"az",IF(G89&gt;F89*1.15,"çox","normada")))</f>
        <v/>
      </c>
      <c r="J89" s="18">
        <f>IF(G89="","",SUMIFS(Gündəlik!$F$2:$F$2001,Gündəlik!$A$2:$A$2001,A89))</f>
        <v/>
      </c>
      <c r="K89" s="18">
        <f>ROUND(Profil!$B$10*Profil!$B$4,0)</f>
        <v/>
      </c>
      <c r="L89" s="18">
        <f>IF(G89="","",SUMIFS(Gündəlik!$G$2:$G$2001,Gündəlik!$A$2:$A$2001,A89))</f>
        <v/>
      </c>
      <c r="M89" s="18">
        <f>IF(G89="","",SUMIFS(Gündəlik!$H$2:$H$2001,Gündəlik!$A$2:$A$2001,A89))</f>
        <v/>
      </c>
      <c r="N89" s="24" t="n"/>
      <c r="O89" s="25">
        <f>IF(COUNTIFS($A$2:$A$121,"&gt;="&amp;(A89-6),$A$2:$A$121,"&lt;="&amp;A89,$N$2:$N$121,"&gt;0")&lt;3,"",AVERAGEIFS($N$2:$N$121,$A$2:$A$121,"&gt;="&amp;(A89-6),$A$2:$A$121,"&lt;="&amp;A89,$N$2:$N$121,"&gt;0"))</f>
        <v/>
      </c>
    </row>
    <row r="90">
      <c r="A90" s="22" t="n">
        <v>46392</v>
      </c>
      <c r="B90" s="7" t="inlineStr">
        <is>
          <t>Çərşənbə axşamı</t>
        </is>
      </c>
      <c r="C90" s="17" t="inlineStr">
        <is>
          <t>İstirahət</t>
        </is>
      </c>
      <c r="D90" s="8" t="n"/>
      <c r="E90" s="17" t="inlineStr">
        <is>
          <t>Tək</t>
        </is>
      </c>
      <c r="F90" s="11">
        <f>ROUND(((10*Profil!$B$4+6.25*Profil!$B$5-5*Profil!$B$6+5)*Profil!$B$7+Profil!$B$8+IF(C90="Zal",Profil!$B$9,0)+IF(N(D90)&gt;0,IF(E90="Cüt",5,7)*Profil!$B$4*D90/60,0))/10,0)*10</f>
        <v/>
      </c>
      <c r="G90" s="11">
        <f>IF(COUNTIF(Gündəlik!$A$2:$A$2001,A90)=0,"",SUMIFS(Gündəlik!$E$2:$E$2001,Gündəlik!$A$2:$A$2001,A90))</f>
        <v/>
      </c>
      <c r="H90" s="23">
        <f>IF(G90="","",G90-F90)</f>
        <v/>
      </c>
      <c r="I90" s="7">
        <f>IF(G90="","",IF(G90&lt;F90*0.9,"az",IF(G90&gt;F90*1.15,"çox","normada")))</f>
        <v/>
      </c>
      <c r="J90" s="18">
        <f>IF(G90="","",SUMIFS(Gündəlik!$F$2:$F$2001,Gündəlik!$A$2:$A$2001,A90))</f>
        <v/>
      </c>
      <c r="K90" s="18">
        <f>ROUND(Profil!$B$10*Profil!$B$4,0)</f>
        <v/>
      </c>
      <c r="L90" s="18">
        <f>IF(G90="","",SUMIFS(Gündəlik!$G$2:$G$2001,Gündəlik!$A$2:$A$2001,A90))</f>
        <v/>
      </c>
      <c r="M90" s="18">
        <f>IF(G90="","",SUMIFS(Gündəlik!$H$2:$H$2001,Gündəlik!$A$2:$A$2001,A90))</f>
        <v/>
      </c>
      <c r="N90" s="24" t="n"/>
      <c r="O90" s="25">
        <f>IF(COUNTIFS($A$2:$A$121,"&gt;="&amp;(A90-6),$A$2:$A$121,"&lt;="&amp;A90,$N$2:$N$121,"&gt;0")&lt;3,"",AVERAGEIFS($N$2:$N$121,$A$2:$A$121,"&gt;="&amp;(A90-6),$A$2:$A$121,"&lt;="&amp;A90,$N$2:$N$121,"&gt;0"))</f>
        <v/>
      </c>
    </row>
    <row r="91">
      <c r="A91" s="22" t="n">
        <v>46393</v>
      </c>
      <c r="B91" s="7" t="inlineStr">
        <is>
          <t>Çərşənbə</t>
        </is>
      </c>
      <c r="C91" s="17" t="inlineStr">
        <is>
          <t>Zal</t>
        </is>
      </c>
      <c r="D91" s="8" t="n"/>
      <c r="E91" s="17" t="inlineStr">
        <is>
          <t>Tək</t>
        </is>
      </c>
      <c r="F91" s="11">
        <f>ROUND(((10*Profil!$B$4+6.25*Profil!$B$5-5*Profil!$B$6+5)*Profil!$B$7+Profil!$B$8+IF(C91="Zal",Profil!$B$9,0)+IF(N(D91)&gt;0,IF(E91="Cüt",5,7)*Profil!$B$4*D91/60,0))/10,0)*10</f>
        <v/>
      </c>
      <c r="G91" s="11">
        <f>IF(COUNTIF(Gündəlik!$A$2:$A$2001,A91)=0,"",SUMIFS(Gündəlik!$E$2:$E$2001,Gündəlik!$A$2:$A$2001,A91))</f>
        <v/>
      </c>
      <c r="H91" s="23">
        <f>IF(G91="","",G91-F91)</f>
        <v/>
      </c>
      <c r="I91" s="7">
        <f>IF(G91="","",IF(G91&lt;F91*0.9,"az",IF(G91&gt;F91*1.15,"çox","normada")))</f>
        <v/>
      </c>
      <c r="J91" s="18">
        <f>IF(G91="","",SUMIFS(Gündəlik!$F$2:$F$2001,Gündəlik!$A$2:$A$2001,A91))</f>
        <v/>
      </c>
      <c r="K91" s="18">
        <f>ROUND(Profil!$B$10*Profil!$B$4,0)</f>
        <v/>
      </c>
      <c r="L91" s="18">
        <f>IF(G91="","",SUMIFS(Gündəlik!$G$2:$G$2001,Gündəlik!$A$2:$A$2001,A91))</f>
        <v/>
      </c>
      <c r="M91" s="18">
        <f>IF(G91="","",SUMIFS(Gündəlik!$H$2:$H$2001,Gündəlik!$A$2:$A$2001,A91))</f>
        <v/>
      </c>
      <c r="N91" s="24" t="n"/>
      <c r="O91" s="25">
        <f>IF(COUNTIFS($A$2:$A$121,"&gt;="&amp;(A91-6),$A$2:$A$121,"&lt;="&amp;A91,$N$2:$N$121,"&gt;0")&lt;3,"",AVERAGEIFS($N$2:$N$121,$A$2:$A$121,"&gt;="&amp;(A91-6),$A$2:$A$121,"&lt;="&amp;A91,$N$2:$N$121,"&gt;0"))</f>
        <v/>
      </c>
    </row>
    <row r="92">
      <c r="A92" s="22" t="n">
        <v>46394</v>
      </c>
      <c r="B92" s="7" t="inlineStr">
        <is>
          <t>Cümə axşamı</t>
        </is>
      </c>
      <c r="C92" s="17" t="inlineStr">
        <is>
          <t>İstirahət</t>
        </is>
      </c>
      <c r="D92" s="8" t="n"/>
      <c r="E92" s="17" t="inlineStr">
        <is>
          <t>Tək</t>
        </is>
      </c>
      <c r="F92" s="11">
        <f>ROUND(((10*Profil!$B$4+6.25*Profil!$B$5-5*Profil!$B$6+5)*Profil!$B$7+Profil!$B$8+IF(C92="Zal",Profil!$B$9,0)+IF(N(D92)&gt;0,IF(E92="Cüt",5,7)*Profil!$B$4*D92/60,0))/10,0)*10</f>
        <v/>
      </c>
      <c r="G92" s="11">
        <f>IF(COUNTIF(Gündəlik!$A$2:$A$2001,A92)=0,"",SUMIFS(Gündəlik!$E$2:$E$2001,Gündəlik!$A$2:$A$2001,A92))</f>
        <v/>
      </c>
      <c r="H92" s="23">
        <f>IF(G92="","",G92-F92)</f>
        <v/>
      </c>
      <c r="I92" s="7">
        <f>IF(G92="","",IF(G92&lt;F92*0.9,"az",IF(G92&gt;F92*1.15,"çox","normada")))</f>
        <v/>
      </c>
      <c r="J92" s="18">
        <f>IF(G92="","",SUMIFS(Gündəlik!$F$2:$F$2001,Gündəlik!$A$2:$A$2001,A92))</f>
        <v/>
      </c>
      <c r="K92" s="18">
        <f>ROUND(Profil!$B$10*Profil!$B$4,0)</f>
        <v/>
      </c>
      <c r="L92" s="18">
        <f>IF(G92="","",SUMIFS(Gündəlik!$G$2:$G$2001,Gündəlik!$A$2:$A$2001,A92))</f>
        <v/>
      </c>
      <c r="M92" s="18">
        <f>IF(G92="","",SUMIFS(Gündəlik!$H$2:$H$2001,Gündəlik!$A$2:$A$2001,A92))</f>
        <v/>
      </c>
      <c r="N92" s="24" t="n"/>
      <c r="O92" s="25">
        <f>IF(COUNTIFS($A$2:$A$121,"&gt;="&amp;(A92-6),$A$2:$A$121,"&lt;="&amp;A92,$N$2:$N$121,"&gt;0")&lt;3,"",AVERAGEIFS($N$2:$N$121,$A$2:$A$121,"&gt;="&amp;(A92-6),$A$2:$A$121,"&lt;="&amp;A92,$N$2:$N$121,"&gt;0"))</f>
        <v/>
      </c>
    </row>
    <row r="93">
      <c r="A93" s="22" t="n">
        <v>46395</v>
      </c>
      <c r="B93" s="7" t="inlineStr">
        <is>
          <t>Cümə</t>
        </is>
      </c>
      <c r="C93" s="17" t="inlineStr">
        <is>
          <t>Zal</t>
        </is>
      </c>
      <c r="D93" s="8" t="n"/>
      <c r="E93" s="17" t="inlineStr">
        <is>
          <t>Tək</t>
        </is>
      </c>
      <c r="F93" s="11">
        <f>ROUND(((10*Profil!$B$4+6.25*Profil!$B$5-5*Profil!$B$6+5)*Profil!$B$7+Profil!$B$8+IF(C93="Zal",Profil!$B$9,0)+IF(N(D93)&gt;0,IF(E93="Cüt",5,7)*Profil!$B$4*D93/60,0))/10,0)*10</f>
        <v/>
      </c>
      <c r="G93" s="11">
        <f>IF(COUNTIF(Gündəlik!$A$2:$A$2001,A93)=0,"",SUMIFS(Gündəlik!$E$2:$E$2001,Gündəlik!$A$2:$A$2001,A93))</f>
        <v/>
      </c>
      <c r="H93" s="23">
        <f>IF(G93="","",G93-F93)</f>
        <v/>
      </c>
      <c r="I93" s="7">
        <f>IF(G93="","",IF(G93&lt;F93*0.9,"az",IF(G93&gt;F93*1.15,"çox","normada")))</f>
        <v/>
      </c>
      <c r="J93" s="18">
        <f>IF(G93="","",SUMIFS(Gündəlik!$F$2:$F$2001,Gündəlik!$A$2:$A$2001,A93))</f>
        <v/>
      </c>
      <c r="K93" s="18">
        <f>ROUND(Profil!$B$10*Profil!$B$4,0)</f>
        <v/>
      </c>
      <c r="L93" s="18">
        <f>IF(G93="","",SUMIFS(Gündəlik!$G$2:$G$2001,Gündəlik!$A$2:$A$2001,A93))</f>
        <v/>
      </c>
      <c r="M93" s="18">
        <f>IF(G93="","",SUMIFS(Gündəlik!$H$2:$H$2001,Gündəlik!$A$2:$A$2001,A93))</f>
        <v/>
      </c>
      <c r="N93" s="24" t="n"/>
      <c r="O93" s="25">
        <f>IF(COUNTIFS($A$2:$A$121,"&gt;="&amp;(A93-6),$A$2:$A$121,"&lt;="&amp;A93,$N$2:$N$121,"&gt;0")&lt;3,"",AVERAGEIFS($N$2:$N$121,$A$2:$A$121,"&gt;="&amp;(A93-6),$A$2:$A$121,"&lt;="&amp;A93,$N$2:$N$121,"&gt;0"))</f>
        <v/>
      </c>
    </row>
    <row r="94">
      <c r="A94" s="22" t="n">
        <v>46396</v>
      </c>
      <c r="B94" s="7" t="inlineStr">
        <is>
          <t>Şənbə</t>
        </is>
      </c>
      <c r="C94" s="17" t="inlineStr">
        <is>
          <t>İstirahət</t>
        </is>
      </c>
      <c r="D94" s="8" t="n"/>
      <c r="E94" s="17" t="inlineStr">
        <is>
          <t>Tək</t>
        </is>
      </c>
      <c r="F94" s="11">
        <f>ROUND(((10*Profil!$B$4+6.25*Profil!$B$5-5*Profil!$B$6+5)*Profil!$B$7+Profil!$B$8+IF(C94="Zal",Profil!$B$9,0)+IF(N(D94)&gt;0,IF(E94="Cüt",5,7)*Profil!$B$4*D94/60,0))/10,0)*10</f>
        <v/>
      </c>
      <c r="G94" s="11">
        <f>IF(COUNTIF(Gündəlik!$A$2:$A$2001,A94)=0,"",SUMIFS(Gündəlik!$E$2:$E$2001,Gündəlik!$A$2:$A$2001,A94))</f>
        <v/>
      </c>
      <c r="H94" s="23">
        <f>IF(G94="","",G94-F94)</f>
        <v/>
      </c>
      <c r="I94" s="7">
        <f>IF(G94="","",IF(G94&lt;F94*0.9,"az",IF(G94&gt;F94*1.15,"çox","normada")))</f>
        <v/>
      </c>
      <c r="J94" s="18">
        <f>IF(G94="","",SUMIFS(Gündəlik!$F$2:$F$2001,Gündəlik!$A$2:$A$2001,A94))</f>
        <v/>
      </c>
      <c r="K94" s="18">
        <f>ROUND(Profil!$B$10*Profil!$B$4,0)</f>
        <v/>
      </c>
      <c r="L94" s="18">
        <f>IF(G94="","",SUMIFS(Gündəlik!$G$2:$G$2001,Gündəlik!$A$2:$A$2001,A94))</f>
        <v/>
      </c>
      <c r="M94" s="18">
        <f>IF(G94="","",SUMIFS(Gündəlik!$H$2:$H$2001,Gündəlik!$A$2:$A$2001,A94))</f>
        <v/>
      </c>
      <c r="N94" s="24" t="n"/>
      <c r="O94" s="25">
        <f>IF(COUNTIFS($A$2:$A$121,"&gt;="&amp;(A94-6),$A$2:$A$121,"&lt;="&amp;A94,$N$2:$N$121,"&gt;0")&lt;3,"",AVERAGEIFS($N$2:$N$121,$A$2:$A$121,"&gt;="&amp;(A94-6),$A$2:$A$121,"&lt;="&amp;A94,$N$2:$N$121,"&gt;0"))</f>
        <v/>
      </c>
    </row>
    <row r="95">
      <c r="A95" s="22" t="n">
        <v>46397</v>
      </c>
      <c r="B95" s="7" t="inlineStr">
        <is>
          <t>Bazar</t>
        </is>
      </c>
      <c r="C95" s="17" t="inlineStr">
        <is>
          <t>İstirahət</t>
        </is>
      </c>
      <c r="D95" s="8" t="n"/>
      <c r="E95" s="17" t="inlineStr">
        <is>
          <t>Tək</t>
        </is>
      </c>
      <c r="F95" s="11">
        <f>ROUND(((10*Profil!$B$4+6.25*Profil!$B$5-5*Profil!$B$6+5)*Profil!$B$7+Profil!$B$8+IF(C95="Zal",Profil!$B$9,0)+IF(N(D95)&gt;0,IF(E95="Cüt",5,7)*Profil!$B$4*D95/60,0))/10,0)*10</f>
        <v/>
      </c>
      <c r="G95" s="11">
        <f>IF(COUNTIF(Gündəlik!$A$2:$A$2001,A95)=0,"",SUMIFS(Gündəlik!$E$2:$E$2001,Gündəlik!$A$2:$A$2001,A95))</f>
        <v/>
      </c>
      <c r="H95" s="23">
        <f>IF(G95="","",G95-F95)</f>
        <v/>
      </c>
      <c r="I95" s="7">
        <f>IF(G95="","",IF(G95&lt;F95*0.9,"az",IF(G95&gt;F95*1.15,"çox","normada")))</f>
        <v/>
      </c>
      <c r="J95" s="18">
        <f>IF(G95="","",SUMIFS(Gündəlik!$F$2:$F$2001,Gündəlik!$A$2:$A$2001,A95))</f>
        <v/>
      </c>
      <c r="K95" s="18">
        <f>ROUND(Profil!$B$10*Profil!$B$4,0)</f>
        <v/>
      </c>
      <c r="L95" s="18">
        <f>IF(G95="","",SUMIFS(Gündəlik!$G$2:$G$2001,Gündəlik!$A$2:$A$2001,A95))</f>
        <v/>
      </c>
      <c r="M95" s="18">
        <f>IF(G95="","",SUMIFS(Gündəlik!$H$2:$H$2001,Gündəlik!$A$2:$A$2001,A95))</f>
        <v/>
      </c>
      <c r="N95" s="24" t="n"/>
      <c r="O95" s="25">
        <f>IF(COUNTIFS($A$2:$A$121,"&gt;="&amp;(A95-6),$A$2:$A$121,"&lt;="&amp;A95,$N$2:$N$121,"&gt;0")&lt;3,"",AVERAGEIFS($N$2:$N$121,$A$2:$A$121,"&gt;="&amp;(A95-6),$A$2:$A$121,"&lt;="&amp;A95,$N$2:$N$121,"&gt;0"))</f>
        <v/>
      </c>
    </row>
    <row r="96">
      <c r="A96" s="22" t="n">
        <v>46398</v>
      </c>
      <c r="B96" s="7" t="inlineStr">
        <is>
          <t>Bazar ertəsi</t>
        </is>
      </c>
      <c r="C96" s="17" t="inlineStr">
        <is>
          <t>Zal</t>
        </is>
      </c>
      <c r="D96" s="8" t="n"/>
      <c r="E96" s="17" t="inlineStr">
        <is>
          <t>Tək</t>
        </is>
      </c>
      <c r="F96" s="11">
        <f>ROUND(((10*Profil!$B$4+6.25*Profil!$B$5-5*Profil!$B$6+5)*Profil!$B$7+Profil!$B$8+IF(C96="Zal",Profil!$B$9,0)+IF(N(D96)&gt;0,IF(E96="Cüt",5,7)*Profil!$B$4*D96/60,0))/10,0)*10</f>
        <v/>
      </c>
      <c r="G96" s="11">
        <f>IF(COUNTIF(Gündəlik!$A$2:$A$2001,A96)=0,"",SUMIFS(Gündəlik!$E$2:$E$2001,Gündəlik!$A$2:$A$2001,A96))</f>
        <v/>
      </c>
      <c r="H96" s="23">
        <f>IF(G96="","",G96-F96)</f>
        <v/>
      </c>
      <c r="I96" s="7">
        <f>IF(G96="","",IF(G96&lt;F96*0.9,"az",IF(G96&gt;F96*1.15,"çox","normada")))</f>
        <v/>
      </c>
      <c r="J96" s="18">
        <f>IF(G96="","",SUMIFS(Gündəlik!$F$2:$F$2001,Gündəlik!$A$2:$A$2001,A96))</f>
        <v/>
      </c>
      <c r="K96" s="18">
        <f>ROUND(Profil!$B$10*Profil!$B$4,0)</f>
        <v/>
      </c>
      <c r="L96" s="18">
        <f>IF(G96="","",SUMIFS(Gündəlik!$G$2:$G$2001,Gündəlik!$A$2:$A$2001,A96))</f>
        <v/>
      </c>
      <c r="M96" s="18">
        <f>IF(G96="","",SUMIFS(Gündəlik!$H$2:$H$2001,Gündəlik!$A$2:$A$2001,A96))</f>
        <v/>
      </c>
      <c r="N96" s="24" t="n"/>
      <c r="O96" s="25">
        <f>IF(COUNTIFS($A$2:$A$121,"&gt;="&amp;(A96-6),$A$2:$A$121,"&lt;="&amp;A96,$N$2:$N$121,"&gt;0")&lt;3,"",AVERAGEIFS($N$2:$N$121,$A$2:$A$121,"&gt;="&amp;(A96-6),$A$2:$A$121,"&lt;="&amp;A96,$N$2:$N$121,"&gt;0"))</f>
        <v/>
      </c>
    </row>
    <row r="97">
      <c r="A97" s="22" t="n">
        <v>46399</v>
      </c>
      <c r="B97" s="7" t="inlineStr">
        <is>
          <t>Çərşənbə axşamı</t>
        </is>
      </c>
      <c r="C97" s="17" t="inlineStr">
        <is>
          <t>İstirahət</t>
        </is>
      </c>
      <c r="D97" s="8" t="n"/>
      <c r="E97" s="17" t="inlineStr">
        <is>
          <t>Tək</t>
        </is>
      </c>
      <c r="F97" s="11">
        <f>ROUND(((10*Profil!$B$4+6.25*Profil!$B$5-5*Profil!$B$6+5)*Profil!$B$7+Profil!$B$8+IF(C97="Zal",Profil!$B$9,0)+IF(N(D97)&gt;0,IF(E97="Cüt",5,7)*Profil!$B$4*D97/60,0))/10,0)*10</f>
        <v/>
      </c>
      <c r="G97" s="11">
        <f>IF(COUNTIF(Gündəlik!$A$2:$A$2001,A97)=0,"",SUMIFS(Gündəlik!$E$2:$E$2001,Gündəlik!$A$2:$A$2001,A97))</f>
        <v/>
      </c>
      <c r="H97" s="23">
        <f>IF(G97="","",G97-F97)</f>
        <v/>
      </c>
      <c r="I97" s="7">
        <f>IF(G97="","",IF(G97&lt;F97*0.9,"az",IF(G97&gt;F97*1.15,"çox","normada")))</f>
        <v/>
      </c>
      <c r="J97" s="18">
        <f>IF(G97="","",SUMIFS(Gündəlik!$F$2:$F$2001,Gündəlik!$A$2:$A$2001,A97))</f>
        <v/>
      </c>
      <c r="K97" s="18">
        <f>ROUND(Profil!$B$10*Profil!$B$4,0)</f>
        <v/>
      </c>
      <c r="L97" s="18">
        <f>IF(G97="","",SUMIFS(Gündəlik!$G$2:$G$2001,Gündəlik!$A$2:$A$2001,A97))</f>
        <v/>
      </c>
      <c r="M97" s="18">
        <f>IF(G97="","",SUMIFS(Gündəlik!$H$2:$H$2001,Gündəlik!$A$2:$A$2001,A97))</f>
        <v/>
      </c>
      <c r="N97" s="24" t="n"/>
      <c r="O97" s="25">
        <f>IF(COUNTIFS($A$2:$A$121,"&gt;="&amp;(A97-6),$A$2:$A$121,"&lt;="&amp;A97,$N$2:$N$121,"&gt;0")&lt;3,"",AVERAGEIFS($N$2:$N$121,$A$2:$A$121,"&gt;="&amp;(A97-6),$A$2:$A$121,"&lt;="&amp;A97,$N$2:$N$121,"&gt;0"))</f>
        <v/>
      </c>
    </row>
    <row r="98">
      <c r="A98" s="22" t="n">
        <v>46400</v>
      </c>
      <c r="B98" s="7" t="inlineStr">
        <is>
          <t>Çərşənbə</t>
        </is>
      </c>
      <c r="C98" s="17" t="inlineStr">
        <is>
          <t>Zal</t>
        </is>
      </c>
      <c r="D98" s="8" t="n"/>
      <c r="E98" s="17" t="inlineStr">
        <is>
          <t>Tək</t>
        </is>
      </c>
      <c r="F98" s="11">
        <f>ROUND(((10*Profil!$B$4+6.25*Profil!$B$5-5*Profil!$B$6+5)*Profil!$B$7+Profil!$B$8+IF(C98="Zal",Profil!$B$9,0)+IF(N(D98)&gt;0,IF(E98="Cüt",5,7)*Profil!$B$4*D98/60,0))/10,0)*10</f>
        <v/>
      </c>
      <c r="G98" s="11">
        <f>IF(COUNTIF(Gündəlik!$A$2:$A$2001,A98)=0,"",SUMIFS(Gündəlik!$E$2:$E$2001,Gündəlik!$A$2:$A$2001,A98))</f>
        <v/>
      </c>
      <c r="H98" s="23">
        <f>IF(G98="","",G98-F98)</f>
        <v/>
      </c>
      <c r="I98" s="7">
        <f>IF(G98="","",IF(G98&lt;F98*0.9,"az",IF(G98&gt;F98*1.15,"çox","normada")))</f>
        <v/>
      </c>
      <c r="J98" s="18">
        <f>IF(G98="","",SUMIFS(Gündəlik!$F$2:$F$2001,Gündəlik!$A$2:$A$2001,A98))</f>
        <v/>
      </c>
      <c r="K98" s="18">
        <f>ROUND(Profil!$B$10*Profil!$B$4,0)</f>
        <v/>
      </c>
      <c r="L98" s="18">
        <f>IF(G98="","",SUMIFS(Gündəlik!$G$2:$G$2001,Gündəlik!$A$2:$A$2001,A98))</f>
        <v/>
      </c>
      <c r="M98" s="18">
        <f>IF(G98="","",SUMIFS(Gündəlik!$H$2:$H$2001,Gündəlik!$A$2:$A$2001,A98))</f>
        <v/>
      </c>
      <c r="N98" s="24" t="n"/>
      <c r="O98" s="25">
        <f>IF(COUNTIFS($A$2:$A$121,"&gt;="&amp;(A98-6),$A$2:$A$121,"&lt;="&amp;A98,$N$2:$N$121,"&gt;0")&lt;3,"",AVERAGEIFS($N$2:$N$121,$A$2:$A$121,"&gt;="&amp;(A98-6),$A$2:$A$121,"&lt;="&amp;A98,$N$2:$N$121,"&gt;0"))</f>
        <v/>
      </c>
    </row>
    <row r="99">
      <c r="A99" s="22" t="n">
        <v>46401</v>
      </c>
      <c r="B99" s="7" t="inlineStr">
        <is>
          <t>Cümə axşamı</t>
        </is>
      </c>
      <c r="C99" s="17" t="inlineStr">
        <is>
          <t>İstirahət</t>
        </is>
      </c>
      <c r="D99" s="8" t="n"/>
      <c r="E99" s="17" t="inlineStr">
        <is>
          <t>Tək</t>
        </is>
      </c>
      <c r="F99" s="11">
        <f>ROUND(((10*Profil!$B$4+6.25*Profil!$B$5-5*Profil!$B$6+5)*Profil!$B$7+Profil!$B$8+IF(C99="Zal",Profil!$B$9,0)+IF(N(D99)&gt;0,IF(E99="Cüt",5,7)*Profil!$B$4*D99/60,0))/10,0)*10</f>
        <v/>
      </c>
      <c r="G99" s="11">
        <f>IF(COUNTIF(Gündəlik!$A$2:$A$2001,A99)=0,"",SUMIFS(Gündəlik!$E$2:$E$2001,Gündəlik!$A$2:$A$2001,A99))</f>
        <v/>
      </c>
      <c r="H99" s="23">
        <f>IF(G99="","",G99-F99)</f>
        <v/>
      </c>
      <c r="I99" s="7">
        <f>IF(G99="","",IF(G99&lt;F99*0.9,"az",IF(G99&gt;F99*1.15,"çox","normada")))</f>
        <v/>
      </c>
      <c r="J99" s="18">
        <f>IF(G99="","",SUMIFS(Gündəlik!$F$2:$F$2001,Gündəlik!$A$2:$A$2001,A99))</f>
        <v/>
      </c>
      <c r="K99" s="18">
        <f>ROUND(Profil!$B$10*Profil!$B$4,0)</f>
        <v/>
      </c>
      <c r="L99" s="18">
        <f>IF(G99="","",SUMIFS(Gündəlik!$G$2:$G$2001,Gündəlik!$A$2:$A$2001,A99))</f>
        <v/>
      </c>
      <c r="M99" s="18">
        <f>IF(G99="","",SUMIFS(Gündəlik!$H$2:$H$2001,Gündəlik!$A$2:$A$2001,A99))</f>
        <v/>
      </c>
      <c r="N99" s="24" t="n"/>
      <c r="O99" s="25">
        <f>IF(COUNTIFS($A$2:$A$121,"&gt;="&amp;(A99-6),$A$2:$A$121,"&lt;="&amp;A99,$N$2:$N$121,"&gt;0")&lt;3,"",AVERAGEIFS($N$2:$N$121,$A$2:$A$121,"&gt;="&amp;(A99-6),$A$2:$A$121,"&lt;="&amp;A99,$N$2:$N$121,"&gt;0"))</f>
        <v/>
      </c>
    </row>
    <row r="100">
      <c r="A100" s="22" t="n">
        <v>46402</v>
      </c>
      <c r="B100" s="7" t="inlineStr">
        <is>
          <t>Cümə</t>
        </is>
      </c>
      <c r="C100" s="17" t="inlineStr">
        <is>
          <t>Zal</t>
        </is>
      </c>
      <c r="D100" s="8" t="n"/>
      <c r="E100" s="17" t="inlineStr">
        <is>
          <t>Tək</t>
        </is>
      </c>
      <c r="F100" s="11">
        <f>ROUND(((10*Profil!$B$4+6.25*Profil!$B$5-5*Profil!$B$6+5)*Profil!$B$7+Profil!$B$8+IF(C100="Zal",Profil!$B$9,0)+IF(N(D100)&gt;0,IF(E100="Cüt",5,7)*Profil!$B$4*D100/60,0))/10,0)*10</f>
        <v/>
      </c>
      <c r="G100" s="11">
        <f>IF(COUNTIF(Gündəlik!$A$2:$A$2001,A100)=0,"",SUMIFS(Gündəlik!$E$2:$E$2001,Gündəlik!$A$2:$A$2001,A100))</f>
        <v/>
      </c>
      <c r="H100" s="23">
        <f>IF(G100="","",G100-F100)</f>
        <v/>
      </c>
      <c r="I100" s="7">
        <f>IF(G100="","",IF(G100&lt;F100*0.9,"az",IF(G100&gt;F100*1.15,"çox","normada")))</f>
        <v/>
      </c>
      <c r="J100" s="18">
        <f>IF(G100="","",SUMIFS(Gündəlik!$F$2:$F$2001,Gündəlik!$A$2:$A$2001,A100))</f>
        <v/>
      </c>
      <c r="K100" s="18">
        <f>ROUND(Profil!$B$10*Profil!$B$4,0)</f>
        <v/>
      </c>
      <c r="L100" s="18">
        <f>IF(G100="","",SUMIFS(Gündəlik!$G$2:$G$2001,Gündəlik!$A$2:$A$2001,A100))</f>
        <v/>
      </c>
      <c r="M100" s="18">
        <f>IF(G100="","",SUMIFS(Gündəlik!$H$2:$H$2001,Gündəlik!$A$2:$A$2001,A100))</f>
        <v/>
      </c>
      <c r="N100" s="24" t="n"/>
      <c r="O100" s="25">
        <f>IF(COUNTIFS($A$2:$A$121,"&gt;="&amp;(A100-6),$A$2:$A$121,"&lt;="&amp;A100,$N$2:$N$121,"&gt;0")&lt;3,"",AVERAGEIFS($N$2:$N$121,$A$2:$A$121,"&gt;="&amp;(A100-6),$A$2:$A$121,"&lt;="&amp;A100,$N$2:$N$121,"&gt;0"))</f>
        <v/>
      </c>
    </row>
    <row r="101">
      <c r="A101" s="22" t="n">
        <v>46403</v>
      </c>
      <c r="B101" s="7" t="inlineStr">
        <is>
          <t>Şənbə</t>
        </is>
      </c>
      <c r="C101" s="17" t="inlineStr">
        <is>
          <t>İstirahət</t>
        </is>
      </c>
      <c r="D101" s="8" t="n"/>
      <c r="E101" s="17" t="inlineStr">
        <is>
          <t>Tək</t>
        </is>
      </c>
      <c r="F101" s="11">
        <f>ROUND(((10*Profil!$B$4+6.25*Profil!$B$5-5*Profil!$B$6+5)*Profil!$B$7+Profil!$B$8+IF(C101="Zal",Profil!$B$9,0)+IF(N(D101)&gt;0,IF(E101="Cüt",5,7)*Profil!$B$4*D101/60,0))/10,0)*10</f>
        <v/>
      </c>
      <c r="G101" s="11">
        <f>IF(COUNTIF(Gündəlik!$A$2:$A$2001,A101)=0,"",SUMIFS(Gündəlik!$E$2:$E$2001,Gündəlik!$A$2:$A$2001,A101))</f>
        <v/>
      </c>
      <c r="H101" s="23">
        <f>IF(G101="","",G101-F101)</f>
        <v/>
      </c>
      <c r="I101" s="7">
        <f>IF(G101="","",IF(G101&lt;F101*0.9,"az",IF(G101&gt;F101*1.15,"çox","normada")))</f>
        <v/>
      </c>
      <c r="J101" s="18">
        <f>IF(G101="","",SUMIFS(Gündəlik!$F$2:$F$2001,Gündəlik!$A$2:$A$2001,A101))</f>
        <v/>
      </c>
      <c r="K101" s="18">
        <f>ROUND(Profil!$B$10*Profil!$B$4,0)</f>
        <v/>
      </c>
      <c r="L101" s="18">
        <f>IF(G101="","",SUMIFS(Gündəlik!$G$2:$G$2001,Gündəlik!$A$2:$A$2001,A101))</f>
        <v/>
      </c>
      <c r="M101" s="18">
        <f>IF(G101="","",SUMIFS(Gündəlik!$H$2:$H$2001,Gündəlik!$A$2:$A$2001,A101))</f>
        <v/>
      </c>
      <c r="N101" s="24" t="n"/>
      <c r="O101" s="25">
        <f>IF(COUNTIFS($A$2:$A$121,"&gt;="&amp;(A101-6),$A$2:$A$121,"&lt;="&amp;A101,$N$2:$N$121,"&gt;0")&lt;3,"",AVERAGEIFS($N$2:$N$121,$A$2:$A$121,"&gt;="&amp;(A101-6),$A$2:$A$121,"&lt;="&amp;A101,$N$2:$N$121,"&gt;0"))</f>
        <v/>
      </c>
    </row>
    <row r="102">
      <c r="A102" s="22" t="n">
        <v>46404</v>
      </c>
      <c r="B102" s="7" t="inlineStr">
        <is>
          <t>Bazar</t>
        </is>
      </c>
      <c r="C102" s="17" t="inlineStr">
        <is>
          <t>İstirahət</t>
        </is>
      </c>
      <c r="D102" s="8" t="n"/>
      <c r="E102" s="17" t="inlineStr">
        <is>
          <t>Tək</t>
        </is>
      </c>
      <c r="F102" s="11">
        <f>ROUND(((10*Profil!$B$4+6.25*Profil!$B$5-5*Profil!$B$6+5)*Profil!$B$7+Profil!$B$8+IF(C102="Zal",Profil!$B$9,0)+IF(N(D102)&gt;0,IF(E102="Cüt",5,7)*Profil!$B$4*D102/60,0))/10,0)*10</f>
        <v/>
      </c>
      <c r="G102" s="11">
        <f>IF(COUNTIF(Gündəlik!$A$2:$A$2001,A102)=0,"",SUMIFS(Gündəlik!$E$2:$E$2001,Gündəlik!$A$2:$A$2001,A102))</f>
        <v/>
      </c>
      <c r="H102" s="23">
        <f>IF(G102="","",G102-F102)</f>
        <v/>
      </c>
      <c r="I102" s="7">
        <f>IF(G102="","",IF(G102&lt;F102*0.9,"az",IF(G102&gt;F102*1.15,"çox","normada")))</f>
        <v/>
      </c>
      <c r="J102" s="18">
        <f>IF(G102="","",SUMIFS(Gündəlik!$F$2:$F$2001,Gündəlik!$A$2:$A$2001,A102))</f>
        <v/>
      </c>
      <c r="K102" s="18">
        <f>ROUND(Profil!$B$10*Profil!$B$4,0)</f>
        <v/>
      </c>
      <c r="L102" s="18">
        <f>IF(G102="","",SUMIFS(Gündəlik!$G$2:$G$2001,Gündəlik!$A$2:$A$2001,A102))</f>
        <v/>
      </c>
      <c r="M102" s="18">
        <f>IF(G102="","",SUMIFS(Gündəlik!$H$2:$H$2001,Gündəlik!$A$2:$A$2001,A102))</f>
        <v/>
      </c>
      <c r="N102" s="24" t="n"/>
      <c r="O102" s="25">
        <f>IF(COUNTIFS($A$2:$A$121,"&gt;="&amp;(A102-6),$A$2:$A$121,"&lt;="&amp;A102,$N$2:$N$121,"&gt;0")&lt;3,"",AVERAGEIFS($N$2:$N$121,$A$2:$A$121,"&gt;="&amp;(A102-6),$A$2:$A$121,"&lt;="&amp;A102,$N$2:$N$121,"&gt;0"))</f>
        <v/>
      </c>
    </row>
    <row r="103">
      <c r="A103" s="22" t="n">
        <v>46405</v>
      </c>
      <c r="B103" s="7" t="inlineStr">
        <is>
          <t>Bazar ertəsi</t>
        </is>
      </c>
      <c r="C103" s="17" t="inlineStr">
        <is>
          <t>Zal</t>
        </is>
      </c>
      <c r="D103" s="8" t="n"/>
      <c r="E103" s="17" t="inlineStr">
        <is>
          <t>Tək</t>
        </is>
      </c>
      <c r="F103" s="11">
        <f>ROUND(((10*Profil!$B$4+6.25*Profil!$B$5-5*Profil!$B$6+5)*Profil!$B$7+Profil!$B$8+IF(C103="Zal",Profil!$B$9,0)+IF(N(D103)&gt;0,IF(E103="Cüt",5,7)*Profil!$B$4*D103/60,0))/10,0)*10</f>
        <v/>
      </c>
      <c r="G103" s="11">
        <f>IF(COUNTIF(Gündəlik!$A$2:$A$2001,A103)=0,"",SUMIFS(Gündəlik!$E$2:$E$2001,Gündəlik!$A$2:$A$2001,A103))</f>
        <v/>
      </c>
      <c r="H103" s="23">
        <f>IF(G103="","",G103-F103)</f>
        <v/>
      </c>
      <c r="I103" s="7">
        <f>IF(G103="","",IF(G103&lt;F103*0.9,"az",IF(G103&gt;F103*1.15,"çox","normada")))</f>
        <v/>
      </c>
      <c r="J103" s="18">
        <f>IF(G103="","",SUMIFS(Gündəlik!$F$2:$F$2001,Gündəlik!$A$2:$A$2001,A103))</f>
        <v/>
      </c>
      <c r="K103" s="18">
        <f>ROUND(Profil!$B$10*Profil!$B$4,0)</f>
        <v/>
      </c>
      <c r="L103" s="18">
        <f>IF(G103="","",SUMIFS(Gündəlik!$G$2:$G$2001,Gündəlik!$A$2:$A$2001,A103))</f>
        <v/>
      </c>
      <c r="M103" s="18">
        <f>IF(G103="","",SUMIFS(Gündəlik!$H$2:$H$2001,Gündəlik!$A$2:$A$2001,A103))</f>
        <v/>
      </c>
      <c r="N103" s="24" t="n"/>
      <c r="O103" s="25">
        <f>IF(COUNTIFS($A$2:$A$121,"&gt;="&amp;(A103-6),$A$2:$A$121,"&lt;="&amp;A103,$N$2:$N$121,"&gt;0")&lt;3,"",AVERAGEIFS($N$2:$N$121,$A$2:$A$121,"&gt;="&amp;(A103-6),$A$2:$A$121,"&lt;="&amp;A103,$N$2:$N$121,"&gt;0"))</f>
        <v/>
      </c>
    </row>
    <row r="104">
      <c r="A104" s="22" t="n">
        <v>46406</v>
      </c>
      <c r="B104" s="7" t="inlineStr">
        <is>
          <t>Çərşənbə axşamı</t>
        </is>
      </c>
      <c r="C104" s="17" t="inlineStr">
        <is>
          <t>İstirahət</t>
        </is>
      </c>
      <c r="D104" s="8" t="n"/>
      <c r="E104" s="17" t="inlineStr">
        <is>
          <t>Tək</t>
        </is>
      </c>
      <c r="F104" s="11">
        <f>ROUND(((10*Profil!$B$4+6.25*Profil!$B$5-5*Profil!$B$6+5)*Profil!$B$7+Profil!$B$8+IF(C104="Zal",Profil!$B$9,0)+IF(N(D104)&gt;0,IF(E104="Cüt",5,7)*Profil!$B$4*D104/60,0))/10,0)*10</f>
        <v/>
      </c>
      <c r="G104" s="11">
        <f>IF(COUNTIF(Gündəlik!$A$2:$A$2001,A104)=0,"",SUMIFS(Gündəlik!$E$2:$E$2001,Gündəlik!$A$2:$A$2001,A104))</f>
        <v/>
      </c>
      <c r="H104" s="23">
        <f>IF(G104="","",G104-F104)</f>
        <v/>
      </c>
      <c r="I104" s="7">
        <f>IF(G104="","",IF(G104&lt;F104*0.9,"az",IF(G104&gt;F104*1.15,"çox","normada")))</f>
        <v/>
      </c>
      <c r="J104" s="18">
        <f>IF(G104="","",SUMIFS(Gündəlik!$F$2:$F$2001,Gündəlik!$A$2:$A$2001,A104))</f>
        <v/>
      </c>
      <c r="K104" s="18">
        <f>ROUND(Profil!$B$10*Profil!$B$4,0)</f>
        <v/>
      </c>
      <c r="L104" s="18">
        <f>IF(G104="","",SUMIFS(Gündəlik!$G$2:$G$2001,Gündəlik!$A$2:$A$2001,A104))</f>
        <v/>
      </c>
      <c r="M104" s="18">
        <f>IF(G104="","",SUMIFS(Gündəlik!$H$2:$H$2001,Gündəlik!$A$2:$A$2001,A104))</f>
        <v/>
      </c>
      <c r="N104" s="24" t="n"/>
      <c r="O104" s="25">
        <f>IF(COUNTIFS($A$2:$A$121,"&gt;="&amp;(A104-6),$A$2:$A$121,"&lt;="&amp;A104,$N$2:$N$121,"&gt;0")&lt;3,"",AVERAGEIFS($N$2:$N$121,$A$2:$A$121,"&gt;="&amp;(A104-6),$A$2:$A$121,"&lt;="&amp;A104,$N$2:$N$121,"&gt;0"))</f>
        <v/>
      </c>
    </row>
    <row r="105">
      <c r="A105" s="22" t="n">
        <v>46407</v>
      </c>
      <c r="B105" s="7" t="inlineStr">
        <is>
          <t>Çərşənbə</t>
        </is>
      </c>
      <c r="C105" s="17" t="inlineStr">
        <is>
          <t>Zal</t>
        </is>
      </c>
      <c r="D105" s="8" t="n"/>
      <c r="E105" s="17" t="inlineStr">
        <is>
          <t>Tək</t>
        </is>
      </c>
      <c r="F105" s="11">
        <f>ROUND(((10*Profil!$B$4+6.25*Profil!$B$5-5*Profil!$B$6+5)*Profil!$B$7+Profil!$B$8+IF(C105="Zal",Profil!$B$9,0)+IF(N(D105)&gt;0,IF(E105="Cüt",5,7)*Profil!$B$4*D105/60,0))/10,0)*10</f>
        <v/>
      </c>
      <c r="G105" s="11">
        <f>IF(COUNTIF(Gündəlik!$A$2:$A$2001,A105)=0,"",SUMIFS(Gündəlik!$E$2:$E$2001,Gündəlik!$A$2:$A$2001,A105))</f>
        <v/>
      </c>
      <c r="H105" s="23">
        <f>IF(G105="","",G105-F105)</f>
        <v/>
      </c>
      <c r="I105" s="7">
        <f>IF(G105="","",IF(G105&lt;F105*0.9,"az",IF(G105&gt;F105*1.15,"çox","normada")))</f>
        <v/>
      </c>
      <c r="J105" s="18">
        <f>IF(G105="","",SUMIFS(Gündəlik!$F$2:$F$2001,Gündəlik!$A$2:$A$2001,A105))</f>
        <v/>
      </c>
      <c r="K105" s="18">
        <f>ROUND(Profil!$B$10*Profil!$B$4,0)</f>
        <v/>
      </c>
      <c r="L105" s="18">
        <f>IF(G105="","",SUMIFS(Gündəlik!$G$2:$G$2001,Gündəlik!$A$2:$A$2001,A105))</f>
        <v/>
      </c>
      <c r="M105" s="18">
        <f>IF(G105="","",SUMIFS(Gündəlik!$H$2:$H$2001,Gündəlik!$A$2:$A$2001,A105))</f>
        <v/>
      </c>
      <c r="N105" s="24" t="n"/>
      <c r="O105" s="25">
        <f>IF(COUNTIFS($A$2:$A$121,"&gt;="&amp;(A105-6),$A$2:$A$121,"&lt;="&amp;A105,$N$2:$N$121,"&gt;0")&lt;3,"",AVERAGEIFS($N$2:$N$121,$A$2:$A$121,"&gt;="&amp;(A105-6),$A$2:$A$121,"&lt;="&amp;A105,$N$2:$N$121,"&gt;0"))</f>
        <v/>
      </c>
    </row>
    <row r="106">
      <c r="A106" s="22" t="n">
        <v>46408</v>
      </c>
      <c r="B106" s="7" t="inlineStr">
        <is>
          <t>Cümə axşamı</t>
        </is>
      </c>
      <c r="C106" s="17" t="inlineStr">
        <is>
          <t>İstirahət</t>
        </is>
      </c>
      <c r="D106" s="8" t="n"/>
      <c r="E106" s="17" t="inlineStr">
        <is>
          <t>Tək</t>
        </is>
      </c>
      <c r="F106" s="11">
        <f>ROUND(((10*Profil!$B$4+6.25*Profil!$B$5-5*Profil!$B$6+5)*Profil!$B$7+Profil!$B$8+IF(C106="Zal",Profil!$B$9,0)+IF(N(D106)&gt;0,IF(E106="Cüt",5,7)*Profil!$B$4*D106/60,0))/10,0)*10</f>
        <v/>
      </c>
      <c r="G106" s="11">
        <f>IF(COUNTIF(Gündəlik!$A$2:$A$2001,A106)=0,"",SUMIFS(Gündəlik!$E$2:$E$2001,Gündəlik!$A$2:$A$2001,A106))</f>
        <v/>
      </c>
      <c r="H106" s="23">
        <f>IF(G106="","",G106-F106)</f>
        <v/>
      </c>
      <c r="I106" s="7">
        <f>IF(G106="","",IF(G106&lt;F106*0.9,"az",IF(G106&gt;F106*1.15,"çox","normada")))</f>
        <v/>
      </c>
      <c r="J106" s="18">
        <f>IF(G106="","",SUMIFS(Gündəlik!$F$2:$F$2001,Gündəlik!$A$2:$A$2001,A106))</f>
        <v/>
      </c>
      <c r="K106" s="18">
        <f>ROUND(Profil!$B$10*Profil!$B$4,0)</f>
        <v/>
      </c>
      <c r="L106" s="18">
        <f>IF(G106="","",SUMIFS(Gündəlik!$G$2:$G$2001,Gündəlik!$A$2:$A$2001,A106))</f>
        <v/>
      </c>
      <c r="M106" s="18">
        <f>IF(G106="","",SUMIFS(Gündəlik!$H$2:$H$2001,Gündəlik!$A$2:$A$2001,A106))</f>
        <v/>
      </c>
      <c r="N106" s="24" t="n"/>
      <c r="O106" s="25">
        <f>IF(COUNTIFS($A$2:$A$121,"&gt;="&amp;(A106-6),$A$2:$A$121,"&lt;="&amp;A106,$N$2:$N$121,"&gt;0")&lt;3,"",AVERAGEIFS($N$2:$N$121,$A$2:$A$121,"&gt;="&amp;(A106-6),$A$2:$A$121,"&lt;="&amp;A106,$N$2:$N$121,"&gt;0"))</f>
        <v/>
      </c>
    </row>
    <row r="107">
      <c r="A107" s="22" t="n">
        <v>46409</v>
      </c>
      <c r="B107" s="7" t="inlineStr">
        <is>
          <t>Cümə</t>
        </is>
      </c>
      <c r="C107" s="17" t="inlineStr">
        <is>
          <t>Zal</t>
        </is>
      </c>
      <c r="D107" s="8" t="n"/>
      <c r="E107" s="17" t="inlineStr">
        <is>
          <t>Tək</t>
        </is>
      </c>
      <c r="F107" s="11">
        <f>ROUND(((10*Profil!$B$4+6.25*Profil!$B$5-5*Profil!$B$6+5)*Profil!$B$7+Profil!$B$8+IF(C107="Zal",Profil!$B$9,0)+IF(N(D107)&gt;0,IF(E107="Cüt",5,7)*Profil!$B$4*D107/60,0))/10,0)*10</f>
        <v/>
      </c>
      <c r="G107" s="11">
        <f>IF(COUNTIF(Gündəlik!$A$2:$A$2001,A107)=0,"",SUMIFS(Gündəlik!$E$2:$E$2001,Gündəlik!$A$2:$A$2001,A107))</f>
        <v/>
      </c>
      <c r="H107" s="23">
        <f>IF(G107="","",G107-F107)</f>
        <v/>
      </c>
      <c r="I107" s="7">
        <f>IF(G107="","",IF(G107&lt;F107*0.9,"az",IF(G107&gt;F107*1.15,"çox","normada")))</f>
        <v/>
      </c>
      <c r="J107" s="18">
        <f>IF(G107="","",SUMIFS(Gündəlik!$F$2:$F$2001,Gündəlik!$A$2:$A$2001,A107))</f>
        <v/>
      </c>
      <c r="K107" s="18">
        <f>ROUND(Profil!$B$10*Profil!$B$4,0)</f>
        <v/>
      </c>
      <c r="L107" s="18">
        <f>IF(G107="","",SUMIFS(Gündəlik!$G$2:$G$2001,Gündəlik!$A$2:$A$2001,A107))</f>
        <v/>
      </c>
      <c r="M107" s="18">
        <f>IF(G107="","",SUMIFS(Gündəlik!$H$2:$H$2001,Gündəlik!$A$2:$A$2001,A107))</f>
        <v/>
      </c>
      <c r="N107" s="24" t="n"/>
      <c r="O107" s="25">
        <f>IF(COUNTIFS($A$2:$A$121,"&gt;="&amp;(A107-6),$A$2:$A$121,"&lt;="&amp;A107,$N$2:$N$121,"&gt;0")&lt;3,"",AVERAGEIFS($N$2:$N$121,$A$2:$A$121,"&gt;="&amp;(A107-6),$A$2:$A$121,"&lt;="&amp;A107,$N$2:$N$121,"&gt;0"))</f>
        <v/>
      </c>
    </row>
    <row r="108">
      <c r="A108" s="22" t="n">
        <v>46410</v>
      </c>
      <c r="B108" s="7" t="inlineStr">
        <is>
          <t>Şənbə</t>
        </is>
      </c>
      <c r="C108" s="17" t="inlineStr">
        <is>
          <t>İstirahət</t>
        </is>
      </c>
      <c r="D108" s="8" t="n"/>
      <c r="E108" s="17" t="inlineStr">
        <is>
          <t>Tək</t>
        </is>
      </c>
      <c r="F108" s="11">
        <f>ROUND(((10*Profil!$B$4+6.25*Profil!$B$5-5*Profil!$B$6+5)*Profil!$B$7+Profil!$B$8+IF(C108="Zal",Profil!$B$9,0)+IF(N(D108)&gt;0,IF(E108="Cüt",5,7)*Profil!$B$4*D108/60,0))/10,0)*10</f>
        <v/>
      </c>
      <c r="G108" s="11">
        <f>IF(COUNTIF(Gündəlik!$A$2:$A$2001,A108)=0,"",SUMIFS(Gündəlik!$E$2:$E$2001,Gündəlik!$A$2:$A$2001,A108))</f>
        <v/>
      </c>
      <c r="H108" s="23">
        <f>IF(G108="","",G108-F108)</f>
        <v/>
      </c>
      <c r="I108" s="7">
        <f>IF(G108="","",IF(G108&lt;F108*0.9,"az",IF(G108&gt;F108*1.15,"çox","normada")))</f>
        <v/>
      </c>
      <c r="J108" s="18">
        <f>IF(G108="","",SUMIFS(Gündəlik!$F$2:$F$2001,Gündəlik!$A$2:$A$2001,A108))</f>
        <v/>
      </c>
      <c r="K108" s="18">
        <f>ROUND(Profil!$B$10*Profil!$B$4,0)</f>
        <v/>
      </c>
      <c r="L108" s="18">
        <f>IF(G108="","",SUMIFS(Gündəlik!$G$2:$G$2001,Gündəlik!$A$2:$A$2001,A108))</f>
        <v/>
      </c>
      <c r="M108" s="18">
        <f>IF(G108="","",SUMIFS(Gündəlik!$H$2:$H$2001,Gündəlik!$A$2:$A$2001,A108))</f>
        <v/>
      </c>
      <c r="N108" s="24" t="n"/>
      <c r="O108" s="25">
        <f>IF(COUNTIFS($A$2:$A$121,"&gt;="&amp;(A108-6),$A$2:$A$121,"&lt;="&amp;A108,$N$2:$N$121,"&gt;0")&lt;3,"",AVERAGEIFS($N$2:$N$121,$A$2:$A$121,"&gt;="&amp;(A108-6),$A$2:$A$121,"&lt;="&amp;A108,$N$2:$N$121,"&gt;0"))</f>
        <v/>
      </c>
    </row>
    <row r="109">
      <c r="A109" s="22" t="n">
        <v>46411</v>
      </c>
      <c r="B109" s="7" t="inlineStr">
        <is>
          <t>Bazar</t>
        </is>
      </c>
      <c r="C109" s="17" t="inlineStr">
        <is>
          <t>İstirahət</t>
        </is>
      </c>
      <c r="D109" s="8" t="n"/>
      <c r="E109" s="17" t="inlineStr">
        <is>
          <t>Tək</t>
        </is>
      </c>
      <c r="F109" s="11">
        <f>ROUND(((10*Profil!$B$4+6.25*Profil!$B$5-5*Profil!$B$6+5)*Profil!$B$7+Profil!$B$8+IF(C109="Zal",Profil!$B$9,0)+IF(N(D109)&gt;0,IF(E109="Cüt",5,7)*Profil!$B$4*D109/60,0))/10,0)*10</f>
        <v/>
      </c>
      <c r="G109" s="11">
        <f>IF(COUNTIF(Gündəlik!$A$2:$A$2001,A109)=0,"",SUMIFS(Gündəlik!$E$2:$E$2001,Gündəlik!$A$2:$A$2001,A109))</f>
        <v/>
      </c>
      <c r="H109" s="23">
        <f>IF(G109="","",G109-F109)</f>
        <v/>
      </c>
      <c r="I109" s="7">
        <f>IF(G109="","",IF(G109&lt;F109*0.9,"az",IF(G109&gt;F109*1.15,"çox","normada")))</f>
        <v/>
      </c>
      <c r="J109" s="18">
        <f>IF(G109="","",SUMIFS(Gündəlik!$F$2:$F$2001,Gündəlik!$A$2:$A$2001,A109))</f>
        <v/>
      </c>
      <c r="K109" s="18">
        <f>ROUND(Profil!$B$10*Profil!$B$4,0)</f>
        <v/>
      </c>
      <c r="L109" s="18">
        <f>IF(G109="","",SUMIFS(Gündəlik!$G$2:$G$2001,Gündəlik!$A$2:$A$2001,A109))</f>
        <v/>
      </c>
      <c r="M109" s="18">
        <f>IF(G109="","",SUMIFS(Gündəlik!$H$2:$H$2001,Gündəlik!$A$2:$A$2001,A109))</f>
        <v/>
      </c>
      <c r="N109" s="24" t="n"/>
      <c r="O109" s="25">
        <f>IF(COUNTIFS($A$2:$A$121,"&gt;="&amp;(A109-6),$A$2:$A$121,"&lt;="&amp;A109,$N$2:$N$121,"&gt;0")&lt;3,"",AVERAGEIFS($N$2:$N$121,$A$2:$A$121,"&gt;="&amp;(A109-6),$A$2:$A$121,"&lt;="&amp;A109,$N$2:$N$121,"&gt;0"))</f>
        <v/>
      </c>
    </row>
    <row r="110">
      <c r="A110" s="22" t="n">
        <v>46412</v>
      </c>
      <c r="B110" s="7" t="inlineStr">
        <is>
          <t>Bazar ertəsi</t>
        </is>
      </c>
      <c r="C110" s="17" t="inlineStr">
        <is>
          <t>Zal</t>
        </is>
      </c>
      <c r="D110" s="8" t="n"/>
      <c r="E110" s="17" t="inlineStr">
        <is>
          <t>Tək</t>
        </is>
      </c>
      <c r="F110" s="11">
        <f>ROUND(((10*Profil!$B$4+6.25*Profil!$B$5-5*Profil!$B$6+5)*Profil!$B$7+Profil!$B$8+IF(C110="Zal",Profil!$B$9,0)+IF(N(D110)&gt;0,IF(E110="Cüt",5,7)*Profil!$B$4*D110/60,0))/10,0)*10</f>
        <v/>
      </c>
      <c r="G110" s="11">
        <f>IF(COUNTIF(Gündəlik!$A$2:$A$2001,A110)=0,"",SUMIFS(Gündəlik!$E$2:$E$2001,Gündəlik!$A$2:$A$2001,A110))</f>
        <v/>
      </c>
      <c r="H110" s="23">
        <f>IF(G110="","",G110-F110)</f>
        <v/>
      </c>
      <c r="I110" s="7">
        <f>IF(G110="","",IF(G110&lt;F110*0.9,"az",IF(G110&gt;F110*1.15,"çox","normada")))</f>
        <v/>
      </c>
      <c r="J110" s="18">
        <f>IF(G110="","",SUMIFS(Gündəlik!$F$2:$F$2001,Gündəlik!$A$2:$A$2001,A110))</f>
        <v/>
      </c>
      <c r="K110" s="18">
        <f>ROUND(Profil!$B$10*Profil!$B$4,0)</f>
        <v/>
      </c>
      <c r="L110" s="18">
        <f>IF(G110="","",SUMIFS(Gündəlik!$G$2:$G$2001,Gündəlik!$A$2:$A$2001,A110))</f>
        <v/>
      </c>
      <c r="M110" s="18">
        <f>IF(G110="","",SUMIFS(Gündəlik!$H$2:$H$2001,Gündəlik!$A$2:$A$2001,A110))</f>
        <v/>
      </c>
      <c r="N110" s="24" t="n"/>
      <c r="O110" s="25">
        <f>IF(COUNTIFS($A$2:$A$121,"&gt;="&amp;(A110-6),$A$2:$A$121,"&lt;="&amp;A110,$N$2:$N$121,"&gt;0")&lt;3,"",AVERAGEIFS($N$2:$N$121,$A$2:$A$121,"&gt;="&amp;(A110-6),$A$2:$A$121,"&lt;="&amp;A110,$N$2:$N$121,"&gt;0"))</f>
        <v/>
      </c>
    </row>
    <row r="111">
      <c r="A111" s="22" t="n">
        <v>46413</v>
      </c>
      <c r="B111" s="7" t="inlineStr">
        <is>
          <t>Çərşənbə axşamı</t>
        </is>
      </c>
      <c r="C111" s="17" t="inlineStr">
        <is>
          <t>İstirahət</t>
        </is>
      </c>
      <c r="D111" s="8" t="n"/>
      <c r="E111" s="17" t="inlineStr">
        <is>
          <t>Tək</t>
        </is>
      </c>
      <c r="F111" s="11">
        <f>ROUND(((10*Profil!$B$4+6.25*Profil!$B$5-5*Profil!$B$6+5)*Profil!$B$7+Profil!$B$8+IF(C111="Zal",Profil!$B$9,0)+IF(N(D111)&gt;0,IF(E111="Cüt",5,7)*Profil!$B$4*D111/60,0))/10,0)*10</f>
        <v/>
      </c>
      <c r="G111" s="11">
        <f>IF(COUNTIF(Gündəlik!$A$2:$A$2001,A111)=0,"",SUMIFS(Gündəlik!$E$2:$E$2001,Gündəlik!$A$2:$A$2001,A111))</f>
        <v/>
      </c>
      <c r="H111" s="23">
        <f>IF(G111="","",G111-F111)</f>
        <v/>
      </c>
      <c r="I111" s="7">
        <f>IF(G111="","",IF(G111&lt;F111*0.9,"az",IF(G111&gt;F111*1.15,"çox","normada")))</f>
        <v/>
      </c>
      <c r="J111" s="18">
        <f>IF(G111="","",SUMIFS(Gündəlik!$F$2:$F$2001,Gündəlik!$A$2:$A$2001,A111))</f>
        <v/>
      </c>
      <c r="K111" s="18">
        <f>ROUND(Profil!$B$10*Profil!$B$4,0)</f>
        <v/>
      </c>
      <c r="L111" s="18">
        <f>IF(G111="","",SUMIFS(Gündəlik!$G$2:$G$2001,Gündəlik!$A$2:$A$2001,A111))</f>
        <v/>
      </c>
      <c r="M111" s="18">
        <f>IF(G111="","",SUMIFS(Gündəlik!$H$2:$H$2001,Gündəlik!$A$2:$A$2001,A111))</f>
        <v/>
      </c>
      <c r="N111" s="24" t="n"/>
      <c r="O111" s="25">
        <f>IF(COUNTIFS($A$2:$A$121,"&gt;="&amp;(A111-6),$A$2:$A$121,"&lt;="&amp;A111,$N$2:$N$121,"&gt;0")&lt;3,"",AVERAGEIFS($N$2:$N$121,$A$2:$A$121,"&gt;="&amp;(A111-6),$A$2:$A$121,"&lt;="&amp;A111,$N$2:$N$121,"&gt;0"))</f>
        <v/>
      </c>
    </row>
    <row r="112">
      <c r="A112" s="22" t="n">
        <v>46414</v>
      </c>
      <c r="B112" s="7" t="inlineStr">
        <is>
          <t>Çərşənbə</t>
        </is>
      </c>
      <c r="C112" s="17" t="inlineStr">
        <is>
          <t>Zal</t>
        </is>
      </c>
      <c r="D112" s="8" t="n"/>
      <c r="E112" s="17" t="inlineStr">
        <is>
          <t>Tək</t>
        </is>
      </c>
      <c r="F112" s="11">
        <f>ROUND(((10*Profil!$B$4+6.25*Profil!$B$5-5*Profil!$B$6+5)*Profil!$B$7+Profil!$B$8+IF(C112="Zal",Profil!$B$9,0)+IF(N(D112)&gt;0,IF(E112="Cüt",5,7)*Profil!$B$4*D112/60,0))/10,0)*10</f>
        <v/>
      </c>
      <c r="G112" s="11">
        <f>IF(COUNTIF(Gündəlik!$A$2:$A$2001,A112)=0,"",SUMIFS(Gündəlik!$E$2:$E$2001,Gündəlik!$A$2:$A$2001,A112))</f>
        <v/>
      </c>
      <c r="H112" s="23">
        <f>IF(G112="","",G112-F112)</f>
        <v/>
      </c>
      <c r="I112" s="7">
        <f>IF(G112="","",IF(G112&lt;F112*0.9,"az",IF(G112&gt;F112*1.15,"çox","normada")))</f>
        <v/>
      </c>
      <c r="J112" s="18">
        <f>IF(G112="","",SUMIFS(Gündəlik!$F$2:$F$2001,Gündəlik!$A$2:$A$2001,A112))</f>
        <v/>
      </c>
      <c r="K112" s="18">
        <f>ROUND(Profil!$B$10*Profil!$B$4,0)</f>
        <v/>
      </c>
      <c r="L112" s="18">
        <f>IF(G112="","",SUMIFS(Gündəlik!$G$2:$G$2001,Gündəlik!$A$2:$A$2001,A112))</f>
        <v/>
      </c>
      <c r="M112" s="18">
        <f>IF(G112="","",SUMIFS(Gündəlik!$H$2:$H$2001,Gündəlik!$A$2:$A$2001,A112))</f>
        <v/>
      </c>
      <c r="N112" s="24" t="n"/>
      <c r="O112" s="25">
        <f>IF(COUNTIFS($A$2:$A$121,"&gt;="&amp;(A112-6),$A$2:$A$121,"&lt;="&amp;A112,$N$2:$N$121,"&gt;0")&lt;3,"",AVERAGEIFS($N$2:$N$121,$A$2:$A$121,"&gt;="&amp;(A112-6),$A$2:$A$121,"&lt;="&amp;A112,$N$2:$N$121,"&gt;0"))</f>
        <v/>
      </c>
    </row>
    <row r="113">
      <c r="A113" s="22" t="n">
        <v>46415</v>
      </c>
      <c r="B113" s="7" t="inlineStr">
        <is>
          <t>Cümə axşamı</t>
        </is>
      </c>
      <c r="C113" s="17" t="inlineStr">
        <is>
          <t>İstirahət</t>
        </is>
      </c>
      <c r="D113" s="8" t="n"/>
      <c r="E113" s="17" t="inlineStr">
        <is>
          <t>Tək</t>
        </is>
      </c>
      <c r="F113" s="11">
        <f>ROUND(((10*Profil!$B$4+6.25*Profil!$B$5-5*Profil!$B$6+5)*Profil!$B$7+Profil!$B$8+IF(C113="Zal",Profil!$B$9,0)+IF(N(D113)&gt;0,IF(E113="Cüt",5,7)*Profil!$B$4*D113/60,0))/10,0)*10</f>
        <v/>
      </c>
      <c r="G113" s="11">
        <f>IF(COUNTIF(Gündəlik!$A$2:$A$2001,A113)=0,"",SUMIFS(Gündəlik!$E$2:$E$2001,Gündəlik!$A$2:$A$2001,A113))</f>
        <v/>
      </c>
      <c r="H113" s="23">
        <f>IF(G113="","",G113-F113)</f>
        <v/>
      </c>
      <c r="I113" s="7">
        <f>IF(G113="","",IF(G113&lt;F113*0.9,"az",IF(G113&gt;F113*1.15,"çox","normada")))</f>
        <v/>
      </c>
      <c r="J113" s="18">
        <f>IF(G113="","",SUMIFS(Gündəlik!$F$2:$F$2001,Gündəlik!$A$2:$A$2001,A113))</f>
        <v/>
      </c>
      <c r="K113" s="18">
        <f>ROUND(Profil!$B$10*Profil!$B$4,0)</f>
        <v/>
      </c>
      <c r="L113" s="18">
        <f>IF(G113="","",SUMIFS(Gündəlik!$G$2:$G$2001,Gündəlik!$A$2:$A$2001,A113))</f>
        <v/>
      </c>
      <c r="M113" s="18">
        <f>IF(G113="","",SUMIFS(Gündəlik!$H$2:$H$2001,Gündəlik!$A$2:$A$2001,A113))</f>
        <v/>
      </c>
      <c r="N113" s="24" t="n"/>
      <c r="O113" s="25">
        <f>IF(COUNTIFS($A$2:$A$121,"&gt;="&amp;(A113-6),$A$2:$A$121,"&lt;="&amp;A113,$N$2:$N$121,"&gt;0")&lt;3,"",AVERAGEIFS($N$2:$N$121,$A$2:$A$121,"&gt;="&amp;(A113-6),$A$2:$A$121,"&lt;="&amp;A113,$N$2:$N$121,"&gt;0"))</f>
        <v/>
      </c>
    </row>
    <row r="114">
      <c r="A114" s="22" t="n">
        <v>46416</v>
      </c>
      <c r="B114" s="7" t="inlineStr">
        <is>
          <t>Cümə</t>
        </is>
      </c>
      <c r="C114" s="17" t="inlineStr">
        <is>
          <t>Zal</t>
        </is>
      </c>
      <c r="D114" s="8" t="n"/>
      <c r="E114" s="17" t="inlineStr">
        <is>
          <t>Tək</t>
        </is>
      </c>
      <c r="F114" s="11">
        <f>ROUND(((10*Profil!$B$4+6.25*Profil!$B$5-5*Profil!$B$6+5)*Profil!$B$7+Profil!$B$8+IF(C114="Zal",Profil!$B$9,0)+IF(N(D114)&gt;0,IF(E114="Cüt",5,7)*Profil!$B$4*D114/60,0))/10,0)*10</f>
        <v/>
      </c>
      <c r="G114" s="11">
        <f>IF(COUNTIF(Gündəlik!$A$2:$A$2001,A114)=0,"",SUMIFS(Gündəlik!$E$2:$E$2001,Gündəlik!$A$2:$A$2001,A114))</f>
        <v/>
      </c>
      <c r="H114" s="23">
        <f>IF(G114="","",G114-F114)</f>
        <v/>
      </c>
      <c r="I114" s="7">
        <f>IF(G114="","",IF(G114&lt;F114*0.9,"az",IF(G114&gt;F114*1.15,"çox","normada")))</f>
        <v/>
      </c>
      <c r="J114" s="18">
        <f>IF(G114="","",SUMIFS(Gündəlik!$F$2:$F$2001,Gündəlik!$A$2:$A$2001,A114))</f>
        <v/>
      </c>
      <c r="K114" s="18">
        <f>ROUND(Profil!$B$10*Profil!$B$4,0)</f>
        <v/>
      </c>
      <c r="L114" s="18">
        <f>IF(G114="","",SUMIFS(Gündəlik!$G$2:$G$2001,Gündəlik!$A$2:$A$2001,A114))</f>
        <v/>
      </c>
      <c r="M114" s="18">
        <f>IF(G114="","",SUMIFS(Gündəlik!$H$2:$H$2001,Gündəlik!$A$2:$A$2001,A114))</f>
        <v/>
      </c>
      <c r="N114" s="24" t="n"/>
      <c r="O114" s="25">
        <f>IF(COUNTIFS($A$2:$A$121,"&gt;="&amp;(A114-6),$A$2:$A$121,"&lt;="&amp;A114,$N$2:$N$121,"&gt;0")&lt;3,"",AVERAGEIFS($N$2:$N$121,$A$2:$A$121,"&gt;="&amp;(A114-6),$A$2:$A$121,"&lt;="&amp;A114,$N$2:$N$121,"&gt;0"))</f>
        <v/>
      </c>
    </row>
    <row r="115">
      <c r="A115" s="22" t="n">
        <v>46417</v>
      </c>
      <c r="B115" s="7" t="inlineStr">
        <is>
          <t>Şənbə</t>
        </is>
      </c>
      <c r="C115" s="17" t="inlineStr">
        <is>
          <t>İstirahət</t>
        </is>
      </c>
      <c r="D115" s="8" t="n"/>
      <c r="E115" s="17" t="inlineStr">
        <is>
          <t>Tək</t>
        </is>
      </c>
      <c r="F115" s="11">
        <f>ROUND(((10*Profil!$B$4+6.25*Profil!$B$5-5*Profil!$B$6+5)*Profil!$B$7+Profil!$B$8+IF(C115="Zal",Profil!$B$9,0)+IF(N(D115)&gt;0,IF(E115="Cüt",5,7)*Profil!$B$4*D115/60,0))/10,0)*10</f>
        <v/>
      </c>
      <c r="G115" s="11">
        <f>IF(COUNTIF(Gündəlik!$A$2:$A$2001,A115)=0,"",SUMIFS(Gündəlik!$E$2:$E$2001,Gündəlik!$A$2:$A$2001,A115))</f>
        <v/>
      </c>
      <c r="H115" s="23">
        <f>IF(G115="","",G115-F115)</f>
        <v/>
      </c>
      <c r="I115" s="7">
        <f>IF(G115="","",IF(G115&lt;F115*0.9,"az",IF(G115&gt;F115*1.15,"çox","normada")))</f>
        <v/>
      </c>
      <c r="J115" s="18">
        <f>IF(G115="","",SUMIFS(Gündəlik!$F$2:$F$2001,Gündəlik!$A$2:$A$2001,A115))</f>
        <v/>
      </c>
      <c r="K115" s="18">
        <f>ROUND(Profil!$B$10*Profil!$B$4,0)</f>
        <v/>
      </c>
      <c r="L115" s="18">
        <f>IF(G115="","",SUMIFS(Gündəlik!$G$2:$G$2001,Gündəlik!$A$2:$A$2001,A115))</f>
        <v/>
      </c>
      <c r="M115" s="18">
        <f>IF(G115="","",SUMIFS(Gündəlik!$H$2:$H$2001,Gündəlik!$A$2:$A$2001,A115))</f>
        <v/>
      </c>
      <c r="N115" s="24" t="n"/>
      <c r="O115" s="25">
        <f>IF(COUNTIFS($A$2:$A$121,"&gt;="&amp;(A115-6),$A$2:$A$121,"&lt;="&amp;A115,$N$2:$N$121,"&gt;0")&lt;3,"",AVERAGEIFS($N$2:$N$121,$A$2:$A$121,"&gt;="&amp;(A115-6),$A$2:$A$121,"&lt;="&amp;A115,$N$2:$N$121,"&gt;0"))</f>
        <v/>
      </c>
    </row>
    <row r="116">
      <c r="A116" s="22" t="n">
        <v>46418</v>
      </c>
      <c r="B116" s="7" t="inlineStr">
        <is>
          <t>Bazar</t>
        </is>
      </c>
      <c r="C116" s="17" t="inlineStr">
        <is>
          <t>İstirahət</t>
        </is>
      </c>
      <c r="D116" s="8" t="n"/>
      <c r="E116" s="17" t="inlineStr">
        <is>
          <t>Tək</t>
        </is>
      </c>
      <c r="F116" s="11">
        <f>ROUND(((10*Profil!$B$4+6.25*Profil!$B$5-5*Profil!$B$6+5)*Profil!$B$7+Profil!$B$8+IF(C116="Zal",Profil!$B$9,0)+IF(N(D116)&gt;0,IF(E116="Cüt",5,7)*Profil!$B$4*D116/60,0))/10,0)*10</f>
        <v/>
      </c>
      <c r="G116" s="11">
        <f>IF(COUNTIF(Gündəlik!$A$2:$A$2001,A116)=0,"",SUMIFS(Gündəlik!$E$2:$E$2001,Gündəlik!$A$2:$A$2001,A116))</f>
        <v/>
      </c>
      <c r="H116" s="23">
        <f>IF(G116="","",G116-F116)</f>
        <v/>
      </c>
      <c r="I116" s="7">
        <f>IF(G116="","",IF(G116&lt;F116*0.9,"az",IF(G116&gt;F116*1.15,"çox","normada")))</f>
        <v/>
      </c>
      <c r="J116" s="18">
        <f>IF(G116="","",SUMIFS(Gündəlik!$F$2:$F$2001,Gündəlik!$A$2:$A$2001,A116))</f>
        <v/>
      </c>
      <c r="K116" s="18">
        <f>ROUND(Profil!$B$10*Profil!$B$4,0)</f>
        <v/>
      </c>
      <c r="L116" s="18">
        <f>IF(G116="","",SUMIFS(Gündəlik!$G$2:$G$2001,Gündəlik!$A$2:$A$2001,A116))</f>
        <v/>
      </c>
      <c r="M116" s="18">
        <f>IF(G116="","",SUMIFS(Gündəlik!$H$2:$H$2001,Gündəlik!$A$2:$A$2001,A116))</f>
        <v/>
      </c>
      <c r="N116" s="24" t="n"/>
      <c r="O116" s="25">
        <f>IF(COUNTIFS($A$2:$A$121,"&gt;="&amp;(A116-6),$A$2:$A$121,"&lt;="&amp;A116,$N$2:$N$121,"&gt;0")&lt;3,"",AVERAGEIFS($N$2:$N$121,$A$2:$A$121,"&gt;="&amp;(A116-6),$A$2:$A$121,"&lt;="&amp;A116,$N$2:$N$121,"&gt;0"))</f>
        <v/>
      </c>
    </row>
    <row r="117">
      <c r="A117" s="22" t="n">
        <v>46419</v>
      </c>
      <c r="B117" s="7" t="inlineStr">
        <is>
          <t>Bazar ertəsi</t>
        </is>
      </c>
      <c r="C117" s="17" t="inlineStr">
        <is>
          <t>Zal</t>
        </is>
      </c>
      <c r="D117" s="8" t="n"/>
      <c r="E117" s="17" t="inlineStr">
        <is>
          <t>Tək</t>
        </is>
      </c>
      <c r="F117" s="11">
        <f>ROUND(((10*Profil!$B$4+6.25*Profil!$B$5-5*Profil!$B$6+5)*Profil!$B$7+Profil!$B$8+IF(C117="Zal",Profil!$B$9,0)+IF(N(D117)&gt;0,IF(E117="Cüt",5,7)*Profil!$B$4*D117/60,0))/10,0)*10</f>
        <v/>
      </c>
      <c r="G117" s="11">
        <f>IF(COUNTIF(Gündəlik!$A$2:$A$2001,A117)=0,"",SUMIFS(Gündəlik!$E$2:$E$2001,Gündəlik!$A$2:$A$2001,A117))</f>
        <v/>
      </c>
      <c r="H117" s="23">
        <f>IF(G117="","",G117-F117)</f>
        <v/>
      </c>
      <c r="I117" s="7">
        <f>IF(G117="","",IF(G117&lt;F117*0.9,"az",IF(G117&gt;F117*1.15,"çox","normada")))</f>
        <v/>
      </c>
      <c r="J117" s="18">
        <f>IF(G117="","",SUMIFS(Gündəlik!$F$2:$F$2001,Gündəlik!$A$2:$A$2001,A117))</f>
        <v/>
      </c>
      <c r="K117" s="18">
        <f>ROUND(Profil!$B$10*Profil!$B$4,0)</f>
        <v/>
      </c>
      <c r="L117" s="18">
        <f>IF(G117="","",SUMIFS(Gündəlik!$G$2:$G$2001,Gündəlik!$A$2:$A$2001,A117))</f>
        <v/>
      </c>
      <c r="M117" s="18">
        <f>IF(G117="","",SUMIFS(Gündəlik!$H$2:$H$2001,Gündəlik!$A$2:$A$2001,A117))</f>
        <v/>
      </c>
      <c r="N117" s="24" t="n"/>
      <c r="O117" s="25">
        <f>IF(COUNTIFS($A$2:$A$121,"&gt;="&amp;(A117-6),$A$2:$A$121,"&lt;="&amp;A117,$N$2:$N$121,"&gt;0")&lt;3,"",AVERAGEIFS($N$2:$N$121,$A$2:$A$121,"&gt;="&amp;(A117-6),$A$2:$A$121,"&lt;="&amp;A117,$N$2:$N$121,"&gt;0"))</f>
        <v/>
      </c>
    </row>
    <row r="118">
      <c r="A118" s="22" t="n">
        <v>46420</v>
      </c>
      <c r="B118" s="7" t="inlineStr">
        <is>
          <t>Çərşənbə axşamı</t>
        </is>
      </c>
      <c r="C118" s="17" t="inlineStr">
        <is>
          <t>İstirahət</t>
        </is>
      </c>
      <c r="D118" s="8" t="n"/>
      <c r="E118" s="17" t="inlineStr">
        <is>
          <t>Tək</t>
        </is>
      </c>
      <c r="F118" s="11">
        <f>ROUND(((10*Profil!$B$4+6.25*Profil!$B$5-5*Profil!$B$6+5)*Profil!$B$7+Profil!$B$8+IF(C118="Zal",Profil!$B$9,0)+IF(N(D118)&gt;0,IF(E118="Cüt",5,7)*Profil!$B$4*D118/60,0))/10,0)*10</f>
        <v/>
      </c>
      <c r="G118" s="11">
        <f>IF(COUNTIF(Gündəlik!$A$2:$A$2001,A118)=0,"",SUMIFS(Gündəlik!$E$2:$E$2001,Gündəlik!$A$2:$A$2001,A118))</f>
        <v/>
      </c>
      <c r="H118" s="23">
        <f>IF(G118="","",G118-F118)</f>
        <v/>
      </c>
      <c r="I118" s="7">
        <f>IF(G118="","",IF(G118&lt;F118*0.9,"az",IF(G118&gt;F118*1.15,"çox","normada")))</f>
        <v/>
      </c>
      <c r="J118" s="18">
        <f>IF(G118="","",SUMIFS(Gündəlik!$F$2:$F$2001,Gündəlik!$A$2:$A$2001,A118))</f>
        <v/>
      </c>
      <c r="K118" s="18">
        <f>ROUND(Profil!$B$10*Profil!$B$4,0)</f>
        <v/>
      </c>
      <c r="L118" s="18">
        <f>IF(G118="","",SUMIFS(Gündəlik!$G$2:$G$2001,Gündəlik!$A$2:$A$2001,A118))</f>
        <v/>
      </c>
      <c r="M118" s="18">
        <f>IF(G118="","",SUMIFS(Gündəlik!$H$2:$H$2001,Gündəlik!$A$2:$A$2001,A118))</f>
        <v/>
      </c>
      <c r="N118" s="24" t="n"/>
      <c r="O118" s="25">
        <f>IF(COUNTIFS($A$2:$A$121,"&gt;="&amp;(A118-6),$A$2:$A$121,"&lt;="&amp;A118,$N$2:$N$121,"&gt;0")&lt;3,"",AVERAGEIFS($N$2:$N$121,$A$2:$A$121,"&gt;="&amp;(A118-6),$A$2:$A$121,"&lt;="&amp;A118,$N$2:$N$121,"&gt;0"))</f>
        <v/>
      </c>
    </row>
    <row r="119">
      <c r="A119" s="22" t="n">
        <v>46421</v>
      </c>
      <c r="B119" s="7" t="inlineStr">
        <is>
          <t>Çərşənbə</t>
        </is>
      </c>
      <c r="C119" s="17" t="inlineStr">
        <is>
          <t>Zal</t>
        </is>
      </c>
      <c r="D119" s="8" t="n"/>
      <c r="E119" s="17" t="inlineStr">
        <is>
          <t>Tək</t>
        </is>
      </c>
      <c r="F119" s="11">
        <f>ROUND(((10*Profil!$B$4+6.25*Profil!$B$5-5*Profil!$B$6+5)*Profil!$B$7+Profil!$B$8+IF(C119="Zal",Profil!$B$9,0)+IF(N(D119)&gt;0,IF(E119="Cüt",5,7)*Profil!$B$4*D119/60,0))/10,0)*10</f>
        <v/>
      </c>
      <c r="G119" s="11">
        <f>IF(COUNTIF(Gündəlik!$A$2:$A$2001,A119)=0,"",SUMIFS(Gündəlik!$E$2:$E$2001,Gündəlik!$A$2:$A$2001,A119))</f>
        <v/>
      </c>
      <c r="H119" s="23">
        <f>IF(G119="","",G119-F119)</f>
        <v/>
      </c>
      <c r="I119" s="7">
        <f>IF(G119="","",IF(G119&lt;F119*0.9,"az",IF(G119&gt;F119*1.15,"çox","normada")))</f>
        <v/>
      </c>
      <c r="J119" s="18">
        <f>IF(G119="","",SUMIFS(Gündəlik!$F$2:$F$2001,Gündəlik!$A$2:$A$2001,A119))</f>
        <v/>
      </c>
      <c r="K119" s="18">
        <f>ROUND(Profil!$B$10*Profil!$B$4,0)</f>
        <v/>
      </c>
      <c r="L119" s="18">
        <f>IF(G119="","",SUMIFS(Gündəlik!$G$2:$G$2001,Gündəlik!$A$2:$A$2001,A119))</f>
        <v/>
      </c>
      <c r="M119" s="18">
        <f>IF(G119="","",SUMIFS(Gündəlik!$H$2:$H$2001,Gündəlik!$A$2:$A$2001,A119))</f>
        <v/>
      </c>
      <c r="N119" s="24" t="n"/>
      <c r="O119" s="25">
        <f>IF(COUNTIFS($A$2:$A$121,"&gt;="&amp;(A119-6),$A$2:$A$121,"&lt;="&amp;A119,$N$2:$N$121,"&gt;0")&lt;3,"",AVERAGEIFS($N$2:$N$121,$A$2:$A$121,"&gt;="&amp;(A119-6),$A$2:$A$121,"&lt;="&amp;A119,$N$2:$N$121,"&gt;0"))</f>
        <v/>
      </c>
    </row>
    <row r="120">
      <c r="A120" s="22" t="n">
        <v>46422</v>
      </c>
      <c r="B120" s="7" t="inlineStr">
        <is>
          <t>Cümə axşamı</t>
        </is>
      </c>
      <c r="C120" s="17" t="inlineStr">
        <is>
          <t>İstirahət</t>
        </is>
      </c>
      <c r="D120" s="8" t="n"/>
      <c r="E120" s="17" t="inlineStr">
        <is>
          <t>Tək</t>
        </is>
      </c>
      <c r="F120" s="11">
        <f>ROUND(((10*Profil!$B$4+6.25*Profil!$B$5-5*Profil!$B$6+5)*Profil!$B$7+Profil!$B$8+IF(C120="Zal",Profil!$B$9,0)+IF(N(D120)&gt;0,IF(E120="Cüt",5,7)*Profil!$B$4*D120/60,0))/10,0)*10</f>
        <v/>
      </c>
      <c r="G120" s="11">
        <f>IF(COUNTIF(Gündəlik!$A$2:$A$2001,A120)=0,"",SUMIFS(Gündəlik!$E$2:$E$2001,Gündəlik!$A$2:$A$2001,A120))</f>
        <v/>
      </c>
      <c r="H120" s="23">
        <f>IF(G120="","",G120-F120)</f>
        <v/>
      </c>
      <c r="I120" s="7">
        <f>IF(G120="","",IF(G120&lt;F120*0.9,"az",IF(G120&gt;F120*1.15,"çox","normada")))</f>
        <v/>
      </c>
      <c r="J120" s="18">
        <f>IF(G120="","",SUMIFS(Gündəlik!$F$2:$F$2001,Gündəlik!$A$2:$A$2001,A120))</f>
        <v/>
      </c>
      <c r="K120" s="18">
        <f>ROUND(Profil!$B$10*Profil!$B$4,0)</f>
        <v/>
      </c>
      <c r="L120" s="18">
        <f>IF(G120="","",SUMIFS(Gündəlik!$G$2:$G$2001,Gündəlik!$A$2:$A$2001,A120))</f>
        <v/>
      </c>
      <c r="M120" s="18">
        <f>IF(G120="","",SUMIFS(Gündəlik!$H$2:$H$2001,Gündəlik!$A$2:$A$2001,A120))</f>
        <v/>
      </c>
      <c r="N120" s="24" t="n"/>
      <c r="O120" s="25">
        <f>IF(COUNTIFS($A$2:$A$121,"&gt;="&amp;(A120-6),$A$2:$A$121,"&lt;="&amp;A120,$N$2:$N$121,"&gt;0")&lt;3,"",AVERAGEIFS($N$2:$N$121,$A$2:$A$121,"&gt;="&amp;(A120-6),$A$2:$A$121,"&lt;="&amp;A120,$N$2:$N$121,"&gt;0"))</f>
        <v/>
      </c>
    </row>
    <row r="121">
      <c r="A121" s="22" t="n">
        <v>46423</v>
      </c>
      <c r="B121" s="7" t="inlineStr">
        <is>
          <t>Cümə</t>
        </is>
      </c>
      <c r="C121" s="17" t="inlineStr">
        <is>
          <t>Zal</t>
        </is>
      </c>
      <c r="D121" s="8" t="n"/>
      <c r="E121" s="17" t="inlineStr">
        <is>
          <t>Tək</t>
        </is>
      </c>
      <c r="F121" s="11">
        <f>ROUND(((10*Profil!$B$4+6.25*Profil!$B$5-5*Profil!$B$6+5)*Profil!$B$7+Profil!$B$8+IF(C121="Zal",Profil!$B$9,0)+IF(N(D121)&gt;0,IF(E121="Cüt",5,7)*Profil!$B$4*D121/60,0))/10,0)*10</f>
        <v/>
      </c>
      <c r="G121" s="11">
        <f>IF(COUNTIF(Gündəlik!$A$2:$A$2001,A121)=0,"",SUMIFS(Gündəlik!$E$2:$E$2001,Gündəlik!$A$2:$A$2001,A121))</f>
        <v/>
      </c>
      <c r="H121" s="23">
        <f>IF(G121="","",G121-F121)</f>
        <v/>
      </c>
      <c r="I121" s="7">
        <f>IF(G121="","",IF(G121&lt;F121*0.9,"az",IF(G121&gt;F121*1.15,"çox","normada")))</f>
        <v/>
      </c>
      <c r="J121" s="18">
        <f>IF(G121="","",SUMIFS(Gündəlik!$F$2:$F$2001,Gündəlik!$A$2:$A$2001,A121))</f>
        <v/>
      </c>
      <c r="K121" s="18">
        <f>ROUND(Profil!$B$10*Profil!$B$4,0)</f>
        <v/>
      </c>
      <c r="L121" s="18">
        <f>IF(G121="","",SUMIFS(Gündəlik!$G$2:$G$2001,Gündəlik!$A$2:$A$2001,A121))</f>
        <v/>
      </c>
      <c r="M121" s="18">
        <f>IF(G121="","",SUMIFS(Gündəlik!$H$2:$H$2001,Gündəlik!$A$2:$A$2001,A121))</f>
        <v/>
      </c>
      <c r="N121" s="24" t="n"/>
      <c r="O121" s="25">
        <f>IF(COUNTIFS($A$2:$A$121,"&gt;="&amp;(A121-6),$A$2:$A$121,"&lt;="&amp;A121,$N$2:$N$121,"&gt;0")&lt;3,"",AVERAGEIFS($N$2:$N$121,$A$2:$A$121,"&gt;="&amp;(A121-6),$A$2:$A$121,"&lt;="&amp;A121,$N$2:$N$121,"&gt;0"))</f>
        <v/>
      </c>
    </row>
  </sheetData>
  <conditionalFormatting sqref="I2:I121">
    <cfRule type="cellIs" priority="1" operator="equal" dxfId="0">
      <formula>"normada"</formula>
    </cfRule>
    <cfRule type="cellIs" priority="2" operator="equal" dxfId="1">
      <formula>"az"</formula>
    </cfRule>
    <cfRule type="cellIs" priority="3" operator="equal" dxfId="2">
      <formula>"çox"</formula>
    </cfRule>
  </conditionalFormatting>
  <conditionalFormatting sqref="J2:J121">
    <cfRule type="expression" priority="4" dxfId="1">
      <formula>AND(J2&lt;&gt;"",J2&lt;K2*0.95)</formula>
    </cfRule>
  </conditionalFormatting>
  <dataValidations count="2">
    <dataValidation sqref="C2:C121" showDropDown="0" showInputMessage="0" showErrorMessage="0" allowBlank="0" type="list">
      <formula1>"Zal,İstirahət"</formula1>
    </dataValidation>
    <dataValidation sqref="E2:E121" showDropDown="0" showInputMessage="0" showErrorMessage="0" allowBlank="1" type="list">
      <formula1>"Tək,Cüt"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  <col width="10" customWidth="1" min="8" max="8"/>
    <col width="11" customWidth="1" min="9" max="9"/>
    <col width="46" customWidth="1" min="10" max="10"/>
  </cols>
  <sheetData>
    <row r="1">
      <c r="A1" s="13" t="inlineStr">
        <is>
          <t>Həftə (B.e.)</t>
        </is>
      </c>
      <c r="B1" s="13" t="inlineStr">
        <is>
          <t>Yazılmış gün</t>
        </is>
      </c>
      <c r="C1" s="13" t="inlineStr">
        <is>
          <t>Orta kkal</t>
        </is>
      </c>
      <c r="D1" s="13" t="inlineStr">
        <is>
          <t>Orta norma</t>
        </is>
      </c>
      <c r="E1" s="13" t="inlineStr">
        <is>
          <t>Orta protein</t>
        </is>
      </c>
      <c r="F1" s="13" t="inlineStr">
        <is>
          <t>Zal günləri</t>
        </is>
      </c>
      <c r="G1" s="13" t="inlineStr">
        <is>
          <t>Tennis, dəq</t>
        </is>
      </c>
      <c r="H1" s="13" t="inlineStr">
        <is>
          <t>Orta çəki</t>
        </is>
      </c>
      <c r="I1" s="13" t="inlineStr">
        <is>
          <t>Dəyişmə, kq</t>
        </is>
      </c>
      <c r="J1" s="13" t="inlineStr">
        <is>
          <t>Tövsiyə</t>
        </is>
      </c>
    </row>
    <row r="2">
      <c r="A2" s="22" t="n">
        <v>46300</v>
      </c>
      <c r="B2" s="7">
        <f>COUNTIFS(Günlər!$A$2:$A$121,"&gt;="&amp;A2,Günlər!$A$2:$A$121,"&lt;"&amp;(A2+7),Günlər!$G$2:$G$121,"&gt;0")</f>
        <v/>
      </c>
      <c r="C2" s="11">
        <f>IF(B2=0,"",AVERAGEIFS(Günlər!$G$2:$G$121,Günlər!$A$2:$A$121,"&gt;="&amp;A2,Günlər!$A$2:$A$121,"&lt;"&amp;(A2+7),Günlər!$G$2:$G$121,"&gt;0"))</f>
        <v/>
      </c>
      <c r="D2" s="11">
        <f>IF(B2=0,"",AVERAGEIFS(Günlər!$F$2:$F$121,Günlər!$A$2:$A$121,"&gt;="&amp;A2,Günlər!$A$2:$A$121,"&lt;"&amp;(A2+7),Günlər!$G$2:$G$121,"&gt;0"))</f>
        <v/>
      </c>
      <c r="E2" s="18">
        <f>IF(B2=0,"",AVERAGEIFS(Günlər!$J$2:$J$121,Günlər!$A$2:$A$121,"&gt;="&amp;A2,Günlər!$A$2:$A$121,"&lt;"&amp;(A2+7),Günlər!$G$2:$G$121,"&gt;0"))</f>
        <v/>
      </c>
      <c r="F2" s="7">
        <f>COUNTIFS(Günlər!$A$2:$A$121,"&gt;="&amp;A2,Günlər!$A$2:$A$121,"&lt;"&amp;(A2+7),Günlər!$C$2:$C$121,"Zal")</f>
        <v/>
      </c>
      <c r="G2" s="7">
        <f>SUMIFS(Günlər!$D$2:$D$121,Günlər!$A$2:$A$121,"&gt;="&amp;A2,Günlər!$A$2:$A$121,"&lt;"&amp;(A2+7))</f>
        <v/>
      </c>
      <c r="H2" s="25">
        <f>IF(COUNTIFS(Günlər!$A$2:$A$121,"&gt;="&amp;A2,Günlər!$A$2:$A$121,"&lt;"&amp;(A2+7),Günlər!$N$2:$N$121,"&gt;0")&lt;3,"",AVERAGEIFS(Günlər!$N$2:$N$121,Günlər!$A$2:$A$121,"&gt;="&amp;A2,Günlər!$A$2:$A$121,"&lt;"&amp;(A2+7),Günlər!$N$2:$N$121,"&gt;0"))</f>
        <v/>
      </c>
      <c r="I2" s="7" t="inlineStr"/>
      <c r="J2" s="7">
        <f>IF(B2=0,"",IF(AND(I2&lt;&gt;"",I2&lt;0.1),"Artım yavaşdır: Profil → artıq kaloriyə +150",IF(AND(I2&lt;&gt;"",I2&gt;0.4),"Çox sürətli: Profil → artıq kaloridən −150",IF(C2&lt;D2*0.9,"Az yeyirsən: hər gün +1 qəlyanaltı",IF(E2&lt;Profil!$B$20*0.95,"Proteini artır","Əla, belə davam et")))))</f>
        <v/>
      </c>
    </row>
    <row r="3">
      <c r="A3" s="22" t="n">
        <v>46307</v>
      </c>
      <c r="B3" s="7">
        <f>COUNTIFS(Günlər!$A$2:$A$121,"&gt;="&amp;A3,Günlər!$A$2:$A$121,"&lt;"&amp;(A3+7),Günlər!$G$2:$G$121,"&gt;0")</f>
        <v/>
      </c>
      <c r="C3" s="11">
        <f>IF(B3=0,"",AVERAGEIFS(Günlər!$G$2:$G$121,Günlər!$A$2:$A$121,"&gt;="&amp;A3,Günlər!$A$2:$A$121,"&lt;"&amp;(A3+7),Günlər!$G$2:$G$121,"&gt;0"))</f>
        <v/>
      </c>
      <c r="D3" s="11">
        <f>IF(B3=0,"",AVERAGEIFS(Günlər!$F$2:$F$121,Günlər!$A$2:$A$121,"&gt;="&amp;A3,Günlər!$A$2:$A$121,"&lt;"&amp;(A3+7),Günlər!$G$2:$G$121,"&gt;0"))</f>
        <v/>
      </c>
      <c r="E3" s="18">
        <f>IF(B3=0,"",AVERAGEIFS(Günlər!$J$2:$J$121,Günlər!$A$2:$A$121,"&gt;="&amp;A3,Günlər!$A$2:$A$121,"&lt;"&amp;(A3+7),Günlər!$G$2:$G$121,"&gt;0"))</f>
        <v/>
      </c>
      <c r="F3" s="7">
        <f>COUNTIFS(Günlər!$A$2:$A$121,"&gt;="&amp;A3,Günlər!$A$2:$A$121,"&lt;"&amp;(A3+7),Günlər!$C$2:$C$121,"Zal")</f>
        <v/>
      </c>
      <c r="G3" s="7">
        <f>SUMIFS(Günlər!$D$2:$D$121,Günlər!$A$2:$A$121,"&gt;="&amp;A3,Günlər!$A$2:$A$121,"&lt;"&amp;(A3+7))</f>
        <v/>
      </c>
      <c r="H3" s="25">
        <f>IF(COUNTIFS(Günlər!$A$2:$A$121,"&gt;="&amp;A3,Günlər!$A$2:$A$121,"&lt;"&amp;(A3+7),Günlər!$N$2:$N$121,"&gt;0")&lt;3,"",AVERAGEIFS(Günlər!$N$2:$N$121,Günlər!$A$2:$A$121,"&gt;="&amp;A3,Günlər!$A$2:$A$121,"&lt;"&amp;(A3+7),Günlər!$N$2:$N$121,"&gt;0"))</f>
        <v/>
      </c>
      <c r="I3" s="26">
        <f>IF(OR(H3="",H2=""),"",H3-H2)</f>
        <v/>
      </c>
      <c r="J3" s="7">
        <f>IF(B3=0,"",IF(AND(I3&lt;&gt;"",I3&lt;0.1),"Artım yavaşdır: Profil → artıq kaloriyə +150",IF(AND(I3&lt;&gt;"",I3&gt;0.4),"Çox sürətli: Profil → artıq kaloridən −150",IF(C3&lt;D3*0.9,"Az yeyirsən: hər gün +1 qəlyanaltı",IF(E3&lt;Profil!$B$20*0.95,"Proteini artır","Əla, belə davam et")))))</f>
        <v/>
      </c>
    </row>
    <row r="4">
      <c r="A4" s="22" t="n">
        <v>46314</v>
      </c>
      <c r="B4" s="7">
        <f>COUNTIFS(Günlər!$A$2:$A$121,"&gt;="&amp;A4,Günlər!$A$2:$A$121,"&lt;"&amp;(A4+7),Günlər!$G$2:$G$121,"&gt;0")</f>
        <v/>
      </c>
      <c r="C4" s="11">
        <f>IF(B4=0,"",AVERAGEIFS(Günlər!$G$2:$G$121,Günlər!$A$2:$A$121,"&gt;="&amp;A4,Günlər!$A$2:$A$121,"&lt;"&amp;(A4+7),Günlər!$G$2:$G$121,"&gt;0"))</f>
        <v/>
      </c>
      <c r="D4" s="11">
        <f>IF(B4=0,"",AVERAGEIFS(Günlər!$F$2:$F$121,Günlər!$A$2:$A$121,"&gt;="&amp;A4,Günlər!$A$2:$A$121,"&lt;"&amp;(A4+7),Günlər!$G$2:$G$121,"&gt;0"))</f>
        <v/>
      </c>
      <c r="E4" s="18">
        <f>IF(B4=0,"",AVERAGEIFS(Günlər!$J$2:$J$121,Günlər!$A$2:$A$121,"&gt;="&amp;A4,Günlər!$A$2:$A$121,"&lt;"&amp;(A4+7),Günlər!$G$2:$G$121,"&gt;0"))</f>
        <v/>
      </c>
      <c r="F4" s="7">
        <f>COUNTIFS(Günlər!$A$2:$A$121,"&gt;="&amp;A4,Günlər!$A$2:$A$121,"&lt;"&amp;(A4+7),Günlər!$C$2:$C$121,"Zal")</f>
        <v/>
      </c>
      <c r="G4" s="7">
        <f>SUMIFS(Günlər!$D$2:$D$121,Günlər!$A$2:$A$121,"&gt;="&amp;A4,Günlər!$A$2:$A$121,"&lt;"&amp;(A4+7))</f>
        <v/>
      </c>
      <c r="H4" s="25">
        <f>IF(COUNTIFS(Günlər!$A$2:$A$121,"&gt;="&amp;A4,Günlər!$A$2:$A$121,"&lt;"&amp;(A4+7),Günlər!$N$2:$N$121,"&gt;0")&lt;3,"",AVERAGEIFS(Günlər!$N$2:$N$121,Günlər!$A$2:$A$121,"&gt;="&amp;A4,Günlər!$A$2:$A$121,"&lt;"&amp;(A4+7),Günlər!$N$2:$N$121,"&gt;0"))</f>
        <v/>
      </c>
      <c r="I4" s="26">
        <f>IF(OR(H4="",H3=""),"",H4-H3)</f>
        <v/>
      </c>
      <c r="J4" s="7">
        <f>IF(B4=0,"",IF(AND(I4&lt;&gt;"",I4&lt;0.1),"Artım yavaşdır: Profil → artıq kaloriyə +150",IF(AND(I4&lt;&gt;"",I4&gt;0.4),"Çox sürətli: Profil → artıq kaloridən −150",IF(C4&lt;D4*0.9,"Az yeyirsən: hər gün +1 qəlyanaltı",IF(E4&lt;Profil!$B$20*0.95,"Proteini artır","Əla, belə davam et")))))</f>
        <v/>
      </c>
    </row>
    <row r="5">
      <c r="A5" s="22" t="n">
        <v>46321</v>
      </c>
      <c r="B5" s="7">
        <f>COUNTIFS(Günlər!$A$2:$A$121,"&gt;="&amp;A5,Günlər!$A$2:$A$121,"&lt;"&amp;(A5+7),Günlər!$G$2:$G$121,"&gt;0")</f>
        <v/>
      </c>
      <c r="C5" s="11">
        <f>IF(B5=0,"",AVERAGEIFS(Günlər!$G$2:$G$121,Günlər!$A$2:$A$121,"&gt;="&amp;A5,Günlər!$A$2:$A$121,"&lt;"&amp;(A5+7),Günlər!$G$2:$G$121,"&gt;0"))</f>
        <v/>
      </c>
      <c r="D5" s="11">
        <f>IF(B5=0,"",AVERAGEIFS(Günlər!$F$2:$F$121,Günlər!$A$2:$A$121,"&gt;="&amp;A5,Günlər!$A$2:$A$121,"&lt;"&amp;(A5+7),Günlər!$G$2:$G$121,"&gt;0"))</f>
        <v/>
      </c>
      <c r="E5" s="18">
        <f>IF(B5=0,"",AVERAGEIFS(Günlər!$J$2:$J$121,Günlər!$A$2:$A$121,"&gt;="&amp;A5,Günlər!$A$2:$A$121,"&lt;"&amp;(A5+7),Günlər!$G$2:$G$121,"&gt;0"))</f>
        <v/>
      </c>
      <c r="F5" s="7">
        <f>COUNTIFS(Günlər!$A$2:$A$121,"&gt;="&amp;A5,Günlər!$A$2:$A$121,"&lt;"&amp;(A5+7),Günlər!$C$2:$C$121,"Zal")</f>
        <v/>
      </c>
      <c r="G5" s="7">
        <f>SUMIFS(Günlər!$D$2:$D$121,Günlər!$A$2:$A$121,"&gt;="&amp;A5,Günlər!$A$2:$A$121,"&lt;"&amp;(A5+7))</f>
        <v/>
      </c>
      <c r="H5" s="25">
        <f>IF(COUNTIFS(Günlər!$A$2:$A$121,"&gt;="&amp;A5,Günlər!$A$2:$A$121,"&lt;"&amp;(A5+7),Günlər!$N$2:$N$121,"&gt;0")&lt;3,"",AVERAGEIFS(Günlər!$N$2:$N$121,Günlər!$A$2:$A$121,"&gt;="&amp;A5,Günlər!$A$2:$A$121,"&lt;"&amp;(A5+7),Günlər!$N$2:$N$121,"&gt;0"))</f>
        <v/>
      </c>
      <c r="I5" s="26">
        <f>IF(OR(H5="",H4=""),"",H5-H4)</f>
        <v/>
      </c>
      <c r="J5" s="7">
        <f>IF(B5=0,"",IF(AND(I5&lt;&gt;"",I5&lt;0.1),"Artım yavaşdır: Profil → artıq kaloriyə +150",IF(AND(I5&lt;&gt;"",I5&gt;0.4),"Çox sürətli: Profil → artıq kaloridən −150",IF(C5&lt;D5*0.9,"Az yeyirsən: hər gün +1 qəlyanaltı",IF(E5&lt;Profil!$B$20*0.95,"Proteini artır","Əla, belə davam et")))))</f>
        <v/>
      </c>
    </row>
    <row r="6">
      <c r="A6" s="22" t="n">
        <v>46328</v>
      </c>
      <c r="B6" s="7">
        <f>COUNTIFS(Günlər!$A$2:$A$121,"&gt;="&amp;A6,Günlər!$A$2:$A$121,"&lt;"&amp;(A6+7),Günlər!$G$2:$G$121,"&gt;0")</f>
        <v/>
      </c>
      <c r="C6" s="11">
        <f>IF(B6=0,"",AVERAGEIFS(Günlər!$G$2:$G$121,Günlər!$A$2:$A$121,"&gt;="&amp;A6,Günlər!$A$2:$A$121,"&lt;"&amp;(A6+7),Günlər!$G$2:$G$121,"&gt;0"))</f>
        <v/>
      </c>
      <c r="D6" s="11">
        <f>IF(B6=0,"",AVERAGEIFS(Günlər!$F$2:$F$121,Günlər!$A$2:$A$121,"&gt;="&amp;A6,Günlər!$A$2:$A$121,"&lt;"&amp;(A6+7),Günlər!$G$2:$G$121,"&gt;0"))</f>
        <v/>
      </c>
      <c r="E6" s="18">
        <f>IF(B6=0,"",AVERAGEIFS(Günlər!$J$2:$J$121,Günlər!$A$2:$A$121,"&gt;="&amp;A6,Günlər!$A$2:$A$121,"&lt;"&amp;(A6+7),Günlər!$G$2:$G$121,"&gt;0"))</f>
        <v/>
      </c>
      <c r="F6" s="7">
        <f>COUNTIFS(Günlər!$A$2:$A$121,"&gt;="&amp;A6,Günlər!$A$2:$A$121,"&lt;"&amp;(A6+7),Günlər!$C$2:$C$121,"Zal")</f>
        <v/>
      </c>
      <c r="G6" s="7">
        <f>SUMIFS(Günlər!$D$2:$D$121,Günlər!$A$2:$A$121,"&gt;="&amp;A6,Günlər!$A$2:$A$121,"&lt;"&amp;(A6+7))</f>
        <v/>
      </c>
      <c r="H6" s="25">
        <f>IF(COUNTIFS(Günlər!$A$2:$A$121,"&gt;="&amp;A6,Günlər!$A$2:$A$121,"&lt;"&amp;(A6+7),Günlər!$N$2:$N$121,"&gt;0")&lt;3,"",AVERAGEIFS(Günlər!$N$2:$N$121,Günlər!$A$2:$A$121,"&gt;="&amp;A6,Günlər!$A$2:$A$121,"&lt;"&amp;(A6+7),Günlər!$N$2:$N$121,"&gt;0"))</f>
        <v/>
      </c>
      <c r="I6" s="26">
        <f>IF(OR(H6="",H5=""),"",H6-H5)</f>
        <v/>
      </c>
      <c r="J6" s="7">
        <f>IF(B6=0,"",IF(AND(I6&lt;&gt;"",I6&lt;0.1),"Artım yavaşdır: Profil → artıq kaloriyə +150",IF(AND(I6&lt;&gt;"",I6&gt;0.4),"Çox sürətli: Profil → artıq kaloridən −150",IF(C6&lt;D6*0.9,"Az yeyirsən: hər gün +1 qəlyanaltı",IF(E6&lt;Profil!$B$20*0.95,"Proteini artır","Əla, belə davam et")))))</f>
        <v/>
      </c>
    </row>
    <row r="7">
      <c r="A7" s="22" t="n">
        <v>46335</v>
      </c>
      <c r="B7" s="7">
        <f>COUNTIFS(Günlər!$A$2:$A$121,"&gt;="&amp;A7,Günlər!$A$2:$A$121,"&lt;"&amp;(A7+7),Günlər!$G$2:$G$121,"&gt;0")</f>
        <v/>
      </c>
      <c r="C7" s="11">
        <f>IF(B7=0,"",AVERAGEIFS(Günlər!$G$2:$G$121,Günlər!$A$2:$A$121,"&gt;="&amp;A7,Günlər!$A$2:$A$121,"&lt;"&amp;(A7+7),Günlər!$G$2:$G$121,"&gt;0"))</f>
        <v/>
      </c>
      <c r="D7" s="11">
        <f>IF(B7=0,"",AVERAGEIFS(Günlər!$F$2:$F$121,Günlər!$A$2:$A$121,"&gt;="&amp;A7,Günlər!$A$2:$A$121,"&lt;"&amp;(A7+7),Günlər!$G$2:$G$121,"&gt;0"))</f>
        <v/>
      </c>
      <c r="E7" s="18">
        <f>IF(B7=0,"",AVERAGEIFS(Günlər!$J$2:$J$121,Günlər!$A$2:$A$121,"&gt;="&amp;A7,Günlər!$A$2:$A$121,"&lt;"&amp;(A7+7),Günlər!$G$2:$G$121,"&gt;0"))</f>
        <v/>
      </c>
      <c r="F7" s="7">
        <f>COUNTIFS(Günlər!$A$2:$A$121,"&gt;="&amp;A7,Günlər!$A$2:$A$121,"&lt;"&amp;(A7+7),Günlər!$C$2:$C$121,"Zal")</f>
        <v/>
      </c>
      <c r="G7" s="7">
        <f>SUMIFS(Günlər!$D$2:$D$121,Günlər!$A$2:$A$121,"&gt;="&amp;A7,Günlər!$A$2:$A$121,"&lt;"&amp;(A7+7))</f>
        <v/>
      </c>
      <c r="H7" s="25">
        <f>IF(COUNTIFS(Günlər!$A$2:$A$121,"&gt;="&amp;A7,Günlər!$A$2:$A$121,"&lt;"&amp;(A7+7),Günlər!$N$2:$N$121,"&gt;0")&lt;3,"",AVERAGEIFS(Günlər!$N$2:$N$121,Günlər!$A$2:$A$121,"&gt;="&amp;A7,Günlər!$A$2:$A$121,"&lt;"&amp;(A7+7),Günlər!$N$2:$N$121,"&gt;0"))</f>
        <v/>
      </c>
      <c r="I7" s="26">
        <f>IF(OR(H7="",H6=""),"",H7-H6)</f>
        <v/>
      </c>
      <c r="J7" s="7">
        <f>IF(B7=0,"",IF(AND(I7&lt;&gt;"",I7&lt;0.1),"Artım yavaşdır: Profil → artıq kaloriyə +150",IF(AND(I7&lt;&gt;"",I7&gt;0.4),"Çox sürətli: Profil → artıq kaloridən −150",IF(C7&lt;D7*0.9,"Az yeyirsən: hər gün +1 qəlyanaltı",IF(E7&lt;Profil!$B$20*0.95,"Proteini artır","Əla, belə davam et")))))</f>
        <v/>
      </c>
    </row>
    <row r="8">
      <c r="A8" s="22" t="n">
        <v>46342</v>
      </c>
      <c r="B8" s="7">
        <f>COUNTIFS(Günlər!$A$2:$A$121,"&gt;="&amp;A8,Günlər!$A$2:$A$121,"&lt;"&amp;(A8+7),Günlər!$G$2:$G$121,"&gt;0")</f>
        <v/>
      </c>
      <c r="C8" s="11">
        <f>IF(B8=0,"",AVERAGEIFS(Günlər!$G$2:$G$121,Günlər!$A$2:$A$121,"&gt;="&amp;A8,Günlər!$A$2:$A$121,"&lt;"&amp;(A8+7),Günlər!$G$2:$G$121,"&gt;0"))</f>
        <v/>
      </c>
      <c r="D8" s="11">
        <f>IF(B8=0,"",AVERAGEIFS(Günlər!$F$2:$F$121,Günlər!$A$2:$A$121,"&gt;="&amp;A8,Günlər!$A$2:$A$121,"&lt;"&amp;(A8+7),Günlər!$G$2:$G$121,"&gt;0"))</f>
        <v/>
      </c>
      <c r="E8" s="18">
        <f>IF(B8=0,"",AVERAGEIFS(Günlər!$J$2:$J$121,Günlər!$A$2:$A$121,"&gt;="&amp;A8,Günlər!$A$2:$A$121,"&lt;"&amp;(A8+7),Günlər!$G$2:$G$121,"&gt;0"))</f>
        <v/>
      </c>
      <c r="F8" s="7">
        <f>COUNTIFS(Günlər!$A$2:$A$121,"&gt;="&amp;A8,Günlər!$A$2:$A$121,"&lt;"&amp;(A8+7),Günlər!$C$2:$C$121,"Zal")</f>
        <v/>
      </c>
      <c r="G8" s="7">
        <f>SUMIFS(Günlər!$D$2:$D$121,Günlər!$A$2:$A$121,"&gt;="&amp;A8,Günlər!$A$2:$A$121,"&lt;"&amp;(A8+7))</f>
        <v/>
      </c>
      <c r="H8" s="25">
        <f>IF(COUNTIFS(Günlər!$A$2:$A$121,"&gt;="&amp;A8,Günlər!$A$2:$A$121,"&lt;"&amp;(A8+7),Günlər!$N$2:$N$121,"&gt;0")&lt;3,"",AVERAGEIFS(Günlər!$N$2:$N$121,Günlər!$A$2:$A$121,"&gt;="&amp;A8,Günlər!$A$2:$A$121,"&lt;"&amp;(A8+7),Günlər!$N$2:$N$121,"&gt;0"))</f>
        <v/>
      </c>
      <c r="I8" s="26">
        <f>IF(OR(H8="",H7=""),"",H8-H7)</f>
        <v/>
      </c>
      <c r="J8" s="7">
        <f>IF(B8=0,"",IF(AND(I8&lt;&gt;"",I8&lt;0.1),"Artım yavaşdır: Profil → artıq kaloriyə +150",IF(AND(I8&lt;&gt;"",I8&gt;0.4),"Çox sürətli: Profil → artıq kaloridən −150",IF(C8&lt;D8*0.9,"Az yeyirsən: hər gün +1 qəlyanaltı",IF(E8&lt;Profil!$B$20*0.95,"Proteini artır","Əla, belə davam et")))))</f>
        <v/>
      </c>
    </row>
    <row r="9">
      <c r="A9" s="22" t="n">
        <v>46349</v>
      </c>
      <c r="B9" s="7">
        <f>COUNTIFS(Günlər!$A$2:$A$121,"&gt;="&amp;A9,Günlər!$A$2:$A$121,"&lt;"&amp;(A9+7),Günlər!$G$2:$G$121,"&gt;0")</f>
        <v/>
      </c>
      <c r="C9" s="11">
        <f>IF(B9=0,"",AVERAGEIFS(Günlər!$G$2:$G$121,Günlər!$A$2:$A$121,"&gt;="&amp;A9,Günlər!$A$2:$A$121,"&lt;"&amp;(A9+7),Günlər!$G$2:$G$121,"&gt;0"))</f>
        <v/>
      </c>
      <c r="D9" s="11">
        <f>IF(B9=0,"",AVERAGEIFS(Günlər!$F$2:$F$121,Günlər!$A$2:$A$121,"&gt;="&amp;A9,Günlər!$A$2:$A$121,"&lt;"&amp;(A9+7),Günlər!$G$2:$G$121,"&gt;0"))</f>
        <v/>
      </c>
      <c r="E9" s="18">
        <f>IF(B9=0,"",AVERAGEIFS(Günlər!$J$2:$J$121,Günlər!$A$2:$A$121,"&gt;="&amp;A9,Günlər!$A$2:$A$121,"&lt;"&amp;(A9+7),Günlər!$G$2:$G$121,"&gt;0"))</f>
        <v/>
      </c>
      <c r="F9" s="7">
        <f>COUNTIFS(Günlər!$A$2:$A$121,"&gt;="&amp;A9,Günlər!$A$2:$A$121,"&lt;"&amp;(A9+7),Günlər!$C$2:$C$121,"Zal")</f>
        <v/>
      </c>
      <c r="G9" s="7">
        <f>SUMIFS(Günlər!$D$2:$D$121,Günlər!$A$2:$A$121,"&gt;="&amp;A9,Günlər!$A$2:$A$121,"&lt;"&amp;(A9+7))</f>
        <v/>
      </c>
      <c r="H9" s="25">
        <f>IF(COUNTIFS(Günlər!$A$2:$A$121,"&gt;="&amp;A9,Günlər!$A$2:$A$121,"&lt;"&amp;(A9+7),Günlər!$N$2:$N$121,"&gt;0")&lt;3,"",AVERAGEIFS(Günlər!$N$2:$N$121,Günlər!$A$2:$A$121,"&gt;="&amp;A9,Günlər!$A$2:$A$121,"&lt;"&amp;(A9+7),Günlər!$N$2:$N$121,"&gt;0"))</f>
        <v/>
      </c>
      <c r="I9" s="26">
        <f>IF(OR(H9="",H8=""),"",H9-H8)</f>
        <v/>
      </c>
      <c r="J9" s="7">
        <f>IF(B9=0,"",IF(AND(I9&lt;&gt;"",I9&lt;0.1),"Artım yavaşdır: Profil → artıq kaloriyə +150",IF(AND(I9&lt;&gt;"",I9&gt;0.4),"Çox sürətli: Profil → artıq kaloridən −150",IF(C9&lt;D9*0.9,"Az yeyirsən: hər gün +1 qəlyanaltı",IF(E9&lt;Profil!$B$20*0.95,"Proteini artır","Əla, belə davam et")))))</f>
        <v/>
      </c>
    </row>
    <row r="10">
      <c r="A10" s="22" t="n">
        <v>46356</v>
      </c>
      <c r="B10" s="7">
        <f>COUNTIFS(Günlər!$A$2:$A$121,"&gt;="&amp;A10,Günlər!$A$2:$A$121,"&lt;"&amp;(A10+7),Günlər!$G$2:$G$121,"&gt;0")</f>
        <v/>
      </c>
      <c r="C10" s="11">
        <f>IF(B10=0,"",AVERAGEIFS(Günlər!$G$2:$G$121,Günlər!$A$2:$A$121,"&gt;="&amp;A10,Günlər!$A$2:$A$121,"&lt;"&amp;(A10+7),Günlər!$G$2:$G$121,"&gt;0"))</f>
        <v/>
      </c>
      <c r="D10" s="11">
        <f>IF(B10=0,"",AVERAGEIFS(Günlər!$F$2:$F$121,Günlər!$A$2:$A$121,"&gt;="&amp;A10,Günlər!$A$2:$A$121,"&lt;"&amp;(A10+7),Günlər!$G$2:$G$121,"&gt;0"))</f>
        <v/>
      </c>
      <c r="E10" s="18">
        <f>IF(B10=0,"",AVERAGEIFS(Günlər!$J$2:$J$121,Günlər!$A$2:$A$121,"&gt;="&amp;A10,Günlər!$A$2:$A$121,"&lt;"&amp;(A10+7),Günlər!$G$2:$G$121,"&gt;0"))</f>
        <v/>
      </c>
      <c r="F10" s="7">
        <f>COUNTIFS(Günlər!$A$2:$A$121,"&gt;="&amp;A10,Günlər!$A$2:$A$121,"&lt;"&amp;(A10+7),Günlər!$C$2:$C$121,"Zal")</f>
        <v/>
      </c>
      <c r="G10" s="7">
        <f>SUMIFS(Günlər!$D$2:$D$121,Günlər!$A$2:$A$121,"&gt;="&amp;A10,Günlər!$A$2:$A$121,"&lt;"&amp;(A10+7))</f>
        <v/>
      </c>
      <c r="H10" s="25">
        <f>IF(COUNTIFS(Günlər!$A$2:$A$121,"&gt;="&amp;A10,Günlər!$A$2:$A$121,"&lt;"&amp;(A10+7),Günlər!$N$2:$N$121,"&gt;0")&lt;3,"",AVERAGEIFS(Günlər!$N$2:$N$121,Günlər!$A$2:$A$121,"&gt;="&amp;A10,Günlər!$A$2:$A$121,"&lt;"&amp;(A10+7),Günlər!$N$2:$N$121,"&gt;0"))</f>
        <v/>
      </c>
      <c r="I10" s="26">
        <f>IF(OR(H10="",H9=""),"",H10-H9)</f>
        <v/>
      </c>
      <c r="J10" s="7">
        <f>IF(B10=0,"",IF(AND(I10&lt;&gt;"",I10&lt;0.1),"Artım yavaşdır: Profil → artıq kaloriyə +150",IF(AND(I10&lt;&gt;"",I10&gt;0.4),"Çox sürətli: Profil → artıq kaloridən −150",IF(C10&lt;D10*0.9,"Az yeyirsən: hər gün +1 qəlyanaltı",IF(E10&lt;Profil!$B$20*0.95,"Proteini artır","Əla, belə davam et")))))</f>
        <v/>
      </c>
    </row>
    <row r="11">
      <c r="A11" s="22" t="n">
        <v>46363</v>
      </c>
      <c r="B11" s="7">
        <f>COUNTIFS(Günlər!$A$2:$A$121,"&gt;="&amp;A11,Günlər!$A$2:$A$121,"&lt;"&amp;(A11+7),Günlər!$G$2:$G$121,"&gt;0")</f>
        <v/>
      </c>
      <c r="C11" s="11">
        <f>IF(B11=0,"",AVERAGEIFS(Günlər!$G$2:$G$121,Günlər!$A$2:$A$121,"&gt;="&amp;A11,Günlər!$A$2:$A$121,"&lt;"&amp;(A11+7),Günlər!$G$2:$G$121,"&gt;0"))</f>
        <v/>
      </c>
      <c r="D11" s="11">
        <f>IF(B11=0,"",AVERAGEIFS(Günlər!$F$2:$F$121,Günlər!$A$2:$A$121,"&gt;="&amp;A11,Günlər!$A$2:$A$121,"&lt;"&amp;(A11+7),Günlər!$G$2:$G$121,"&gt;0"))</f>
        <v/>
      </c>
      <c r="E11" s="18">
        <f>IF(B11=0,"",AVERAGEIFS(Günlər!$J$2:$J$121,Günlər!$A$2:$A$121,"&gt;="&amp;A11,Günlər!$A$2:$A$121,"&lt;"&amp;(A11+7),Günlər!$G$2:$G$121,"&gt;0"))</f>
        <v/>
      </c>
      <c r="F11" s="7">
        <f>COUNTIFS(Günlər!$A$2:$A$121,"&gt;="&amp;A11,Günlər!$A$2:$A$121,"&lt;"&amp;(A11+7),Günlər!$C$2:$C$121,"Zal")</f>
        <v/>
      </c>
      <c r="G11" s="7">
        <f>SUMIFS(Günlər!$D$2:$D$121,Günlər!$A$2:$A$121,"&gt;="&amp;A11,Günlər!$A$2:$A$121,"&lt;"&amp;(A11+7))</f>
        <v/>
      </c>
      <c r="H11" s="25">
        <f>IF(COUNTIFS(Günlər!$A$2:$A$121,"&gt;="&amp;A11,Günlər!$A$2:$A$121,"&lt;"&amp;(A11+7),Günlər!$N$2:$N$121,"&gt;0")&lt;3,"",AVERAGEIFS(Günlər!$N$2:$N$121,Günlər!$A$2:$A$121,"&gt;="&amp;A11,Günlər!$A$2:$A$121,"&lt;"&amp;(A11+7),Günlər!$N$2:$N$121,"&gt;0"))</f>
        <v/>
      </c>
      <c r="I11" s="26">
        <f>IF(OR(H11="",H10=""),"",H11-H10)</f>
        <v/>
      </c>
      <c r="J11" s="7">
        <f>IF(B11=0,"",IF(AND(I11&lt;&gt;"",I11&lt;0.1),"Artım yavaşdır: Profil → artıq kaloriyə +150",IF(AND(I11&lt;&gt;"",I11&gt;0.4),"Çox sürətli: Profil → artıq kaloridən −150",IF(C11&lt;D11*0.9,"Az yeyirsən: hər gün +1 qəlyanaltı",IF(E11&lt;Profil!$B$20*0.95,"Proteini artır","Əla, belə davam et")))))</f>
        <v/>
      </c>
    </row>
    <row r="12">
      <c r="A12" s="22" t="n">
        <v>46370</v>
      </c>
      <c r="B12" s="7">
        <f>COUNTIFS(Günlər!$A$2:$A$121,"&gt;="&amp;A12,Günlər!$A$2:$A$121,"&lt;"&amp;(A12+7),Günlər!$G$2:$G$121,"&gt;0")</f>
        <v/>
      </c>
      <c r="C12" s="11">
        <f>IF(B12=0,"",AVERAGEIFS(Günlər!$G$2:$G$121,Günlər!$A$2:$A$121,"&gt;="&amp;A12,Günlər!$A$2:$A$121,"&lt;"&amp;(A12+7),Günlər!$G$2:$G$121,"&gt;0"))</f>
        <v/>
      </c>
      <c r="D12" s="11">
        <f>IF(B12=0,"",AVERAGEIFS(Günlər!$F$2:$F$121,Günlər!$A$2:$A$121,"&gt;="&amp;A12,Günlər!$A$2:$A$121,"&lt;"&amp;(A12+7),Günlər!$G$2:$G$121,"&gt;0"))</f>
        <v/>
      </c>
      <c r="E12" s="18">
        <f>IF(B12=0,"",AVERAGEIFS(Günlər!$J$2:$J$121,Günlər!$A$2:$A$121,"&gt;="&amp;A12,Günlər!$A$2:$A$121,"&lt;"&amp;(A12+7),Günlər!$G$2:$G$121,"&gt;0"))</f>
        <v/>
      </c>
      <c r="F12" s="7">
        <f>COUNTIFS(Günlər!$A$2:$A$121,"&gt;="&amp;A12,Günlər!$A$2:$A$121,"&lt;"&amp;(A12+7),Günlər!$C$2:$C$121,"Zal")</f>
        <v/>
      </c>
      <c r="G12" s="7">
        <f>SUMIFS(Günlər!$D$2:$D$121,Günlər!$A$2:$A$121,"&gt;="&amp;A12,Günlər!$A$2:$A$121,"&lt;"&amp;(A12+7))</f>
        <v/>
      </c>
      <c r="H12" s="25">
        <f>IF(COUNTIFS(Günlər!$A$2:$A$121,"&gt;="&amp;A12,Günlər!$A$2:$A$121,"&lt;"&amp;(A12+7),Günlər!$N$2:$N$121,"&gt;0")&lt;3,"",AVERAGEIFS(Günlər!$N$2:$N$121,Günlər!$A$2:$A$121,"&gt;="&amp;A12,Günlər!$A$2:$A$121,"&lt;"&amp;(A12+7),Günlər!$N$2:$N$121,"&gt;0"))</f>
        <v/>
      </c>
      <c r="I12" s="26">
        <f>IF(OR(H12="",H11=""),"",H12-H11)</f>
        <v/>
      </c>
      <c r="J12" s="7">
        <f>IF(B12=0,"",IF(AND(I12&lt;&gt;"",I12&lt;0.1),"Artım yavaşdır: Profil → artıq kaloriyə +150",IF(AND(I12&lt;&gt;"",I12&gt;0.4),"Çox sürətli: Profil → artıq kaloridən −150",IF(C12&lt;D12*0.9,"Az yeyirsən: hər gün +1 qəlyanaltı",IF(E12&lt;Profil!$B$20*0.95,"Proteini artır","Əla, belə davam et")))))</f>
        <v/>
      </c>
    </row>
    <row r="13">
      <c r="A13" s="22" t="n">
        <v>46377</v>
      </c>
      <c r="B13" s="7">
        <f>COUNTIFS(Günlər!$A$2:$A$121,"&gt;="&amp;A13,Günlər!$A$2:$A$121,"&lt;"&amp;(A13+7),Günlər!$G$2:$G$121,"&gt;0")</f>
        <v/>
      </c>
      <c r="C13" s="11">
        <f>IF(B13=0,"",AVERAGEIFS(Günlər!$G$2:$G$121,Günlər!$A$2:$A$121,"&gt;="&amp;A13,Günlər!$A$2:$A$121,"&lt;"&amp;(A13+7),Günlər!$G$2:$G$121,"&gt;0"))</f>
        <v/>
      </c>
      <c r="D13" s="11">
        <f>IF(B13=0,"",AVERAGEIFS(Günlər!$F$2:$F$121,Günlər!$A$2:$A$121,"&gt;="&amp;A13,Günlər!$A$2:$A$121,"&lt;"&amp;(A13+7),Günlər!$G$2:$G$121,"&gt;0"))</f>
        <v/>
      </c>
      <c r="E13" s="18">
        <f>IF(B13=0,"",AVERAGEIFS(Günlər!$J$2:$J$121,Günlər!$A$2:$A$121,"&gt;="&amp;A13,Günlər!$A$2:$A$121,"&lt;"&amp;(A13+7),Günlər!$G$2:$G$121,"&gt;0"))</f>
        <v/>
      </c>
      <c r="F13" s="7">
        <f>COUNTIFS(Günlər!$A$2:$A$121,"&gt;="&amp;A13,Günlər!$A$2:$A$121,"&lt;"&amp;(A13+7),Günlər!$C$2:$C$121,"Zal")</f>
        <v/>
      </c>
      <c r="G13" s="7">
        <f>SUMIFS(Günlər!$D$2:$D$121,Günlər!$A$2:$A$121,"&gt;="&amp;A13,Günlər!$A$2:$A$121,"&lt;"&amp;(A13+7))</f>
        <v/>
      </c>
      <c r="H13" s="25">
        <f>IF(COUNTIFS(Günlər!$A$2:$A$121,"&gt;="&amp;A13,Günlər!$A$2:$A$121,"&lt;"&amp;(A13+7),Günlər!$N$2:$N$121,"&gt;0")&lt;3,"",AVERAGEIFS(Günlər!$N$2:$N$121,Günlər!$A$2:$A$121,"&gt;="&amp;A13,Günlər!$A$2:$A$121,"&lt;"&amp;(A13+7),Günlər!$N$2:$N$121,"&gt;0"))</f>
        <v/>
      </c>
      <c r="I13" s="26">
        <f>IF(OR(H13="",H12=""),"",H13-H12)</f>
        <v/>
      </c>
      <c r="J13" s="7">
        <f>IF(B13=0,"",IF(AND(I13&lt;&gt;"",I13&lt;0.1),"Artım yavaşdır: Profil → artıq kaloriyə +150",IF(AND(I13&lt;&gt;"",I13&gt;0.4),"Çox sürətli: Profil → artıq kaloridən −150",IF(C13&lt;D13*0.9,"Az yeyirsən: hər gün +1 qəlyanaltı",IF(E13&lt;Profil!$B$20*0.95,"Proteini artır","Əla, belə davam et")))))</f>
        <v/>
      </c>
    </row>
    <row r="14">
      <c r="A14" s="22" t="n">
        <v>46384</v>
      </c>
      <c r="B14" s="7">
        <f>COUNTIFS(Günlər!$A$2:$A$121,"&gt;="&amp;A14,Günlər!$A$2:$A$121,"&lt;"&amp;(A14+7),Günlər!$G$2:$G$121,"&gt;0")</f>
        <v/>
      </c>
      <c r="C14" s="11">
        <f>IF(B14=0,"",AVERAGEIFS(Günlər!$G$2:$G$121,Günlər!$A$2:$A$121,"&gt;="&amp;A14,Günlər!$A$2:$A$121,"&lt;"&amp;(A14+7),Günlər!$G$2:$G$121,"&gt;0"))</f>
        <v/>
      </c>
      <c r="D14" s="11">
        <f>IF(B14=0,"",AVERAGEIFS(Günlər!$F$2:$F$121,Günlər!$A$2:$A$121,"&gt;="&amp;A14,Günlər!$A$2:$A$121,"&lt;"&amp;(A14+7),Günlər!$G$2:$G$121,"&gt;0"))</f>
        <v/>
      </c>
      <c r="E14" s="18">
        <f>IF(B14=0,"",AVERAGEIFS(Günlər!$J$2:$J$121,Günlər!$A$2:$A$121,"&gt;="&amp;A14,Günlər!$A$2:$A$121,"&lt;"&amp;(A14+7),Günlər!$G$2:$G$121,"&gt;0"))</f>
        <v/>
      </c>
      <c r="F14" s="7">
        <f>COUNTIFS(Günlər!$A$2:$A$121,"&gt;="&amp;A14,Günlər!$A$2:$A$121,"&lt;"&amp;(A14+7),Günlər!$C$2:$C$121,"Zal")</f>
        <v/>
      </c>
      <c r="G14" s="7">
        <f>SUMIFS(Günlər!$D$2:$D$121,Günlər!$A$2:$A$121,"&gt;="&amp;A14,Günlər!$A$2:$A$121,"&lt;"&amp;(A14+7))</f>
        <v/>
      </c>
      <c r="H14" s="25">
        <f>IF(COUNTIFS(Günlər!$A$2:$A$121,"&gt;="&amp;A14,Günlər!$A$2:$A$121,"&lt;"&amp;(A14+7),Günlər!$N$2:$N$121,"&gt;0")&lt;3,"",AVERAGEIFS(Günlər!$N$2:$N$121,Günlər!$A$2:$A$121,"&gt;="&amp;A14,Günlər!$A$2:$A$121,"&lt;"&amp;(A14+7),Günlər!$N$2:$N$121,"&gt;0"))</f>
        <v/>
      </c>
      <c r="I14" s="26">
        <f>IF(OR(H14="",H13=""),"",H14-H13)</f>
        <v/>
      </c>
      <c r="J14" s="7">
        <f>IF(B14=0,"",IF(AND(I14&lt;&gt;"",I14&lt;0.1),"Artım yavaşdır: Profil → artıq kaloriyə +150",IF(AND(I14&lt;&gt;"",I14&gt;0.4),"Çox sürətli: Profil → artıq kaloridən −150",IF(C14&lt;D14*0.9,"Az yeyirsən: hər gün +1 qəlyanaltı",IF(E14&lt;Profil!$B$20*0.95,"Proteini artır","Əla, belə davam et")))))</f>
        <v/>
      </c>
    </row>
    <row r="15">
      <c r="A15" s="22" t="n">
        <v>46391</v>
      </c>
      <c r="B15" s="7">
        <f>COUNTIFS(Günlər!$A$2:$A$121,"&gt;="&amp;A15,Günlər!$A$2:$A$121,"&lt;"&amp;(A15+7),Günlər!$G$2:$G$121,"&gt;0")</f>
        <v/>
      </c>
      <c r="C15" s="11">
        <f>IF(B15=0,"",AVERAGEIFS(Günlər!$G$2:$G$121,Günlər!$A$2:$A$121,"&gt;="&amp;A15,Günlər!$A$2:$A$121,"&lt;"&amp;(A15+7),Günlər!$G$2:$G$121,"&gt;0"))</f>
        <v/>
      </c>
      <c r="D15" s="11">
        <f>IF(B15=0,"",AVERAGEIFS(Günlər!$F$2:$F$121,Günlər!$A$2:$A$121,"&gt;="&amp;A15,Günlər!$A$2:$A$121,"&lt;"&amp;(A15+7),Günlər!$G$2:$G$121,"&gt;0"))</f>
        <v/>
      </c>
      <c r="E15" s="18">
        <f>IF(B15=0,"",AVERAGEIFS(Günlər!$J$2:$J$121,Günlər!$A$2:$A$121,"&gt;="&amp;A15,Günlər!$A$2:$A$121,"&lt;"&amp;(A15+7),Günlər!$G$2:$G$121,"&gt;0"))</f>
        <v/>
      </c>
      <c r="F15" s="7">
        <f>COUNTIFS(Günlər!$A$2:$A$121,"&gt;="&amp;A15,Günlər!$A$2:$A$121,"&lt;"&amp;(A15+7),Günlər!$C$2:$C$121,"Zal")</f>
        <v/>
      </c>
      <c r="G15" s="7">
        <f>SUMIFS(Günlər!$D$2:$D$121,Günlər!$A$2:$A$121,"&gt;="&amp;A15,Günlər!$A$2:$A$121,"&lt;"&amp;(A15+7))</f>
        <v/>
      </c>
      <c r="H15" s="25">
        <f>IF(COUNTIFS(Günlər!$A$2:$A$121,"&gt;="&amp;A15,Günlər!$A$2:$A$121,"&lt;"&amp;(A15+7),Günlər!$N$2:$N$121,"&gt;0")&lt;3,"",AVERAGEIFS(Günlər!$N$2:$N$121,Günlər!$A$2:$A$121,"&gt;="&amp;A15,Günlər!$A$2:$A$121,"&lt;"&amp;(A15+7),Günlər!$N$2:$N$121,"&gt;0"))</f>
        <v/>
      </c>
      <c r="I15" s="26">
        <f>IF(OR(H15="",H14=""),"",H15-H14)</f>
        <v/>
      </c>
      <c r="J15" s="7">
        <f>IF(B15=0,"",IF(AND(I15&lt;&gt;"",I15&lt;0.1),"Artım yavaşdır: Profil → artıq kaloriyə +150",IF(AND(I15&lt;&gt;"",I15&gt;0.4),"Çox sürətli: Profil → artıq kaloridən −150",IF(C15&lt;D15*0.9,"Az yeyirsən: hər gün +1 qəlyanaltı",IF(E15&lt;Profil!$B$20*0.95,"Proteini artır","Əla, belə davam et")))))</f>
        <v/>
      </c>
    </row>
    <row r="16">
      <c r="A16" s="22" t="n">
        <v>46398</v>
      </c>
      <c r="B16" s="7">
        <f>COUNTIFS(Günlər!$A$2:$A$121,"&gt;="&amp;A16,Günlər!$A$2:$A$121,"&lt;"&amp;(A16+7),Günlər!$G$2:$G$121,"&gt;0")</f>
        <v/>
      </c>
      <c r="C16" s="11">
        <f>IF(B16=0,"",AVERAGEIFS(Günlər!$G$2:$G$121,Günlər!$A$2:$A$121,"&gt;="&amp;A16,Günlər!$A$2:$A$121,"&lt;"&amp;(A16+7),Günlər!$G$2:$G$121,"&gt;0"))</f>
        <v/>
      </c>
      <c r="D16" s="11">
        <f>IF(B16=0,"",AVERAGEIFS(Günlər!$F$2:$F$121,Günlər!$A$2:$A$121,"&gt;="&amp;A16,Günlər!$A$2:$A$121,"&lt;"&amp;(A16+7),Günlər!$G$2:$G$121,"&gt;0"))</f>
        <v/>
      </c>
      <c r="E16" s="18">
        <f>IF(B16=0,"",AVERAGEIFS(Günlər!$J$2:$J$121,Günlər!$A$2:$A$121,"&gt;="&amp;A16,Günlər!$A$2:$A$121,"&lt;"&amp;(A16+7),Günlər!$G$2:$G$121,"&gt;0"))</f>
        <v/>
      </c>
      <c r="F16" s="7">
        <f>COUNTIFS(Günlər!$A$2:$A$121,"&gt;="&amp;A16,Günlər!$A$2:$A$121,"&lt;"&amp;(A16+7),Günlər!$C$2:$C$121,"Zal")</f>
        <v/>
      </c>
      <c r="G16" s="7">
        <f>SUMIFS(Günlər!$D$2:$D$121,Günlər!$A$2:$A$121,"&gt;="&amp;A16,Günlər!$A$2:$A$121,"&lt;"&amp;(A16+7))</f>
        <v/>
      </c>
      <c r="H16" s="25">
        <f>IF(COUNTIFS(Günlər!$A$2:$A$121,"&gt;="&amp;A16,Günlər!$A$2:$A$121,"&lt;"&amp;(A16+7),Günlər!$N$2:$N$121,"&gt;0")&lt;3,"",AVERAGEIFS(Günlər!$N$2:$N$121,Günlər!$A$2:$A$121,"&gt;="&amp;A16,Günlər!$A$2:$A$121,"&lt;"&amp;(A16+7),Günlər!$N$2:$N$121,"&gt;0"))</f>
        <v/>
      </c>
      <c r="I16" s="26">
        <f>IF(OR(H16="",H15=""),"",H16-H15)</f>
        <v/>
      </c>
      <c r="J16" s="7">
        <f>IF(B16=0,"",IF(AND(I16&lt;&gt;"",I16&lt;0.1),"Artım yavaşdır: Profil → artıq kaloriyə +150",IF(AND(I16&lt;&gt;"",I16&gt;0.4),"Çox sürətli: Profil → artıq kaloridən −150",IF(C16&lt;D16*0.9,"Az yeyirsən: hər gün +1 qəlyanaltı",IF(E16&lt;Profil!$B$20*0.95,"Proteini artır","Əla, belə davam et")))))</f>
        <v/>
      </c>
    </row>
    <row r="17">
      <c r="A17" s="22" t="n">
        <v>46405</v>
      </c>
      <c r="B17" s="7">
        <f>COUNTIFS(Günlər!$A$2:$A$121,"&gt;="&amp;A17,Günlər!$A$2:$A$121,"&lt;"&amp;(A17+7),Günlər!$G$2:$G$121,"&gt;0")</f>
        <v/>
      </c>
      <c r="C17" s="11">
        <f>IF(B17=0,"",AVERAGEIFS(Günlər!$G$2:$G$121,Günlər!$A$2:$A$121,"&gt;="&amp;A17,Günlər!$A$2:$A$121,"&lt;"&amp;(A17+7),Günlər!$G$2:$G$121,"&gt;0"))</f>
        <v/>
      </c>
      <c r="D17" s="11">
        <f>IF(B17=0,"",AVERAGEIFS(Günlər!$F$2:$F$121,Günlər!$A$2:$A$121,"&gt;="&amp;A17,Günlər!$A$2:$A$121,"&lt;"&amp;(A17+7),Günlər!$G$2:$G$121,"&gt;0"))</f>
        <v/>
      </c>
      <c r="E17" s="18">
        <f>IF(B17=0,"",AVERAGEIFS(Günlər!$J$2:$J$121,Günlər!$A$2:$A$121,"&gt;="&amp;A17,Günlər!$A$2:$A$121,"&lt;"&amp;(A17+7),Günlər!$G$2:$G$121,"&gt;0"))</f>
        <v/>
      </c>
      <c r="F17" s="7">
        <f>COUNTIFS(Günlər!$A$2:$A$121,"&gt;="&amp;A17,Günlər!$A$2:$A$121,"&lt;"&amp;(A17+7),Günlər!$C$2:$C$121,"Zal")</f>
        <v/>
      </c>
      <c r="G17" s="7">
        <f>SUMIFS(Günlər!$D$2:$D$121,Günlər!$A$2:$A$121,"&gt;="&amp;A17,Günlər!$A$2:$A$121,"&lt;"&amp;(A17+7))</f>
        <v/>
      </c>
      <c r="H17" s="25">
        <f>IF(COUNTIFS(Günlər!$A$2:$A$121,"&gt;="&amp;A17,Günlər!$A$2:$A$121,"&lt;"&amp;(A17+7),Günlər!$N$2:$N$121,"&gt;0")&lt;3,"",AVERAGEIFS(Günlər!$N$2:$N$121,Günlər!$A$2:$A$121,"&gt;="&amp;A17,Günlər!$A$2:$A$121,"&lt;"&amp;(A17+7),Günlər!$N$2:$N$121,"&gt;0"))</f>
        <v/>
      </c>
      <c r="I17" s="26">
        <f>IF(OR(H17="",H16=""),"",H17-H16)</f>
        <v/>
      </c>
      <c r="J17" s="7">
        <f>IF(B17=0,"",IF(AND(I17&lt;&gt;"",I17&lt;0.1),"Artım yavaşdır: Profil → artıq kaloriyə +150",IF(AND(I17&lt;&gt;"",I17&gt;0.4),"Çox sürətli: Profil → artıq kaloridən −150",IF(C17&lt;D17*0.9,"Az yeyirsən: hər gün +1 qəlyanaltı",IF(E17&lt;Profil!$B$20*0.95,"Proteini artır","Əla, belə davam et")))))</f>
        <v/>
      </c>
    </row>
    <row r="18">
      <c r="A18" s="22" t="n">
        <v>46412</v>
      </c>
      <c r="B18" s="7">
        <f>COUNTIFS(Günlər!$A$2:$A$121,"&gt;="&amp;A18,Günlər!$A$2:$A$121,"&lt;"&amp;(A18+7),Günlər!$G$2:$G$121,"&gt;0")</f>
        <v/>
      </c>
      <c r="C18" s="11">
        <f>IF(B18=0,"",AVERAGEIFS(Günlər!$G$2:$G$121,Günlər!$A$2:$A$121,"&gt;="&amp;A18,Günlər!$A$2:$A$121,"&lt;"&amp;(A18+7),Günlər!$G$2:$G$121,"&gt;0"))</f>
        <v/>
      </c>
      <c r="D18" s="11">
        <f>IF(B18=0,"",AVERAGEIFS(Günlər!$F$2:$F$121,Günlər!$A$2:$A$121,"&gt;="&amp;A18,Günlər!$A$2:$A$121,"&lt;"&amp;(A18+7),Günlər!$G$2:$G$121,"&gt;0"))</f>
        <v/>
      </c>
      <c r="E18" s="18">
        <f>IF(B18=0,"",AVERAGEIFS(Günlər!$J$2:$J$121,Günlər!$A$2:$A$121,"&gt;="&amp;A18,Günlər!$A$2:$A$121,"&lt;"&amp;(A18+7),Günlər!$G$2:$G$121,"&gt;0"))</f>
        <v/>
      </c>
      <c r="F18" s="7">
        <f>COUNTIFS(Günlər!$A$2:$A$121,"&gt;="&amp;A18,Günlər!$A$2:$A$121,"&lt;"&amp;(A18+7),Günlər!$C$2:$C$121,"Zal")</f>
        <v/>
      </c>
      <c r="G18" s="7">
        <f>SUMIFS(Günlər!$D$2:$D$121,Günlər!$A$2:$A$121,"&gt;="&amp;A18,Günlər!$A$2:$A$121,"&lt;"&amp;(A18+7))</f>
        <v/>
      </c>
      <c r="H18" s="25">
        <f>IF(COUNTIFS(Günlər!$A$2:$A$121,"&gt;="&amp;A18,Günlər!$A$2:$A$121,"&lt;"&amp;(A18+7),Günlər!$N$2:$N$121,"&gt;0")&lt;3,"",AVERAGEIFS(Günlər!$N$2:$N$121,Günlər!$A$2:$A$121,"&gt;="&amp;A18,Günlər!$A$2:$A$121,"&lt;"&amp;(A18+7),Günlər!$N$2:$N$121,"&gt;0"))</f>
        <v/>
      </c>
      <c r="I18" s="26">
        <f>IF(OR(H18="",H17=""),"",H18-H17)</f>
        <v/>
      </c>
      <c r="J18" s="7">
        <f>IF(B18=0,"",IF(AND(I18&lt;&gt;"",I18&lt;0.1),"Artım yavaşdır: Profil → artıq kaloriyə +150",IF(AND(I18&lt;&gt;"",I18&gt;0.4),"Çox sürətli: Profil → artıq kaloridən −150",IF(C18&lt;D18*0.9,"Az yeyirsən: hər gün +1 qəlyanaltı",IF(E18&lt;Profil!$B$20*0.95,"Proteini artır","Əla, belə davam et")))))</f>
        <v/>
      </c>
    </row>
    <row r="19">
      <c r="A19" s="22" t="n">
        <v>46419</v>
      </c>
      <c r="B19" s="7">
        <f>COUNTIFS(Günlər!$A$2:$A$121,"&gt;="&amp;A19,Günlər!$A$2:$A$121,"&lt;"&amp;(A19+7),Günlər!$G$2:$G$121,"&gt;0")</f>
        <v/>
      </c>
      <c r="C19" s="11">
        <f>IF(B19=0,"",AVERAGEIFS(Günlər!$G$2:$G$121,Günlər!$A$2:$A$121,"&gt;="&amp;A19,Günlər!$A$2:$A$121,"&lt;"&amp;(A19+7),Günlər!$G$2:$G$121,"&gt;0"))</f>
        <v/>
      </c>
      <c r="D19" s="11">
        <f>IF(B19=0,"",AVERAGEIFS(Günlər!$F$2:$F$121,Günlər!$A$2:$A$121,"&gt;="&amp;A19,Günlər!$A$2:$A$121,"&lt;"&amp;(A19+7),Günlər!$G$2:$G$121,"&gt;0"))</f>
        <v/>
      </c>
      <c r="E19" s="18">
        <f>IF(B19=0,"",AVERAGEIFS(Günlər!$J$2:$J$121,Günlər!$A$2:$A$121,"&gt;="&amp;A19,Günlər!$A$2:$A$121,"&lt;"&amp;(A19+7),Günlər!$G$2:$G$121,"&gt;0"))</f>
        <v/>
      </c>
      <c r="F19" s="7">
        <f>COUNTIFS(Günlər!$A$2:$A$121,"&gt;="&amp;A19,Günlər!$A$2:$A$121,"&lt;"&amp;(A19+7),Günlər!$C$2:$C$121,"Zal")</f>
        <v/>
      </c>
      <c r="G19" s="7">
        <f>SUMIFS(Günlər!$D$2:$D$121,Günlər!$A$2:$A$121,"&gt;="&amp;A19,Günlər!$A$2:$A$121,"&lt;"&amp;(A19+7))</f>
        <v/>
      </c>
      <c r="H19" s="25">
        <f>IF(COUNTIFS(Günlər!$A$2:$A$121,"&gt;="&amp;A19,Günlər!$A$2:$A$121,"&lt;"&amp;(A19+7),Günlər!$N$2:$N$121,"&gt;0")&lt;3,"",AVERAGEIFS(Günlər!$N$2:$N$121,Günlər!$A$2:$A$121,"&gt;="&amp;A19,Günlər!$A$2:$A$121,"&lt;"&amp;(A19+7),Günlər!$N$2:$N$121,"&gt;0"))</f>
        <v/>
      </c>
      <c r="I19" s="26">
        <f>IF(OR(H19="",H18=""),"",H19-H18)</f>
        <v/>
      </c>
      <c r="J19" s="7">
        <f>IF(B19=0,"",IF(AND(I19&lt;&gt;"",I19&lt;0.1),"Artım yavaşdır: Profil → artıq kaloriyə +150",IF(AND(I19&lt;&gt;"",I19&gt;0.4),"Çox sürətli: Profil → artıq kaloridən −150",IF(C19&lt;D19*0.9,"Az yeyirsən: hər gün +1 qəlyanaltı",IF(E19&lt;Profil!$B$20*0.95,"Proteini artır","Əla, belə davam et")))))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7" customWidth="1" min="4" max="4"/>
    <col width="38" customWidth="1" min="5" max="5"/>
    <col width="44" customWidth="1" min="6" max="6"/>
    <col width="7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3" t="inlineStr">
        <is>
          <t>Gün</t>
        </is>
      </c>
      <c r="B1" s="13" t="inlineStr">
        <is>
          <t>Tip</t>
        </is>
      </c>
      <c r="C1" s="13" t="inlineStr">
        <is>
          <t>Yemək</t>
        </is>
      </c>
      <c r="D1" s="13" t="inlineStr">
        <is>
          <t>Saat</t>
        </is>
      </c>
      <c r="E1" s="13" t="inlineStr">
        <is>
          <t>Nə</t>
        </is>
      </c>
      <c r="F1" s="13" t="inlineStr">
        <is>
          <t>Məhsul</t>
        </is>
      </c>
      <c r="G1" s="13" t="inlineStr">
        <is>
          <t>Qram</t>
        </is>
      </c>
      <c r="H1" s="13" t="inlineStr">
        <is>
          <t>kkal</t>
        </is>
      </c>
      <c r="I1" s="13" t="inlineStr">
        <is>
          <t>Protein</t>
        </is>
      </c>
      <c r="J1" s="13" t="inlineStr">
        <is>
          <t>Karb.</t>
        </is>
      </c>
      <c r="K1" s="13" t="inlineStr">
        <is>
          <t>Yağ</t>
        </is>
      </c>
    </row>
    <row r="2">
      <c r="A2" s="6" t="inlineStr">
        <is>
          <t>Bazar ertəsi</t>
        </is>
      </c>
      <c r="B2" s="7" t="inlineStr">
        <is>
          <t>Zal</t>
        </is>
      </c>
      <c r="C2" s="6" t="inlineStr">
        <is>
          <t>Səhər yeməyi</t>
        </is>
      </c>
      <c r="D2" s="7" t="inlineStr">
        <is>
          <t>08:00</t>
        </is>
      </c>
      <c r="E2" s="7" t="inlineStr">
        <is>
          <t>Yulaf sıyığı, banan, fıstıq pastası</t>
        </is>
      </c>
      <c r="F2" s="7" t="inlineStr">
        <is>
          <t>Yulaf yarması (fiocchi d'avena)</t>
        </is>
      </c>
      <c r="G2" s="7" t="n">
        <v>90</v>
      </c>
      <c r="H2" s="7">
        <f>ROUND(G2*INDEX('Qida bazası'!$D:$D,MATCH(F2,'Qida bazası'!$A:$A,0))/100,0)</f>
        <v/>
      </c>
      <c r="I2" s="7">
        <f>ROUND(G2*INDEX('Qida bazası'!$E:$E,MATCH(F2,'Qida bazası'!$A:$A,0))/100,1)</f>
        <v/>
      </c>
      <c r="J2" s="7">
        <f>ROUND(G2*INDEX('Qida bazası'!$F:$F,MATCH(F2,'Qida bazası'!$A:$A,0))/100,1)</f>
        <v/>
      </c>
      <c r="K2" s="7">
        <f>ROUND(G2*INDEX('Qida bazası'!$G:$G,MATCH(F2,'Qida bazası'!$A:$A,0))/100,1)</f>
        <v/>
      </c>
    </row>
    <row r="3">
      <c r="A3" s="6" t="n"/>
      <c r="B3" s="7" t="n"/>
      <c r="C3" s="6" t="n"/>
      <c r="D3" s="7" t="n"/>
      <c r="E3" s="7" t="n"/>
      <c r="F3" s="7" t="inlineStr">
        <is>
          <t>Süd 1,5% (latte parzialmente scremato)</t>
        </is>
      </c>
      <c r="G3" s="7" t="n">
        <v>300</v>
      </c>
      <c r="H3" s="7">
        <f>ROUND(G3*INDEX('Qida bazası'!$D:$D,MATCH(F3,'Qida bazası'!$A:$A,0))/100,0)</f>
        <v/>
      </c>
      <c r="I3" s="7">
        <f>ROUND(G3*INDEX('Qida bazası'!$E:$E,MATCH(F3,'Qida bazası'!$A:$A,0))/100,1)</f>
        <v/>
      </c>
      <c r="J3" s="7">
        <f>ROUND(G3*INDEX('Qida bazası'!$F:$F,MATCH(F3,'Qida bazası'!$A:$A,0))/100,1)</f>
        <v/>
      </c>
      <c r="K3" s="7">
        <f>ROUND(G3*INDEX('Qida bazası'!$G:$G,MATCH(F3,'Qida bazası'!$A:$A,0))/100,1)</f>
        <v/>
      </c>
    </row>
    <row r="4">
      <c r="A4" s="6" t="n"/>
      <c r="B4" s="7" t="n"/>
      <c r="C4" s="6" t="n"/>
      <c r="D4" s="7" t="n"/>
      <c r="E4" s="7" t="n"/>
      <c r="F4" s="7" t="inlineStr">
        <is>
          <t>Banan (banana)</t>
        </is>
      </c>
      <c r="G4" s="7" t="n">
        <v>120</v>
      </c>
      <c r="H4" s="7">
        <f>ROUND(G4*INDEX('Qida bazası'!$D:$D,MATCH(F4,'Qida bazası'!$A:$A,0))/100,0)</f>
        <v/>
      </c>
      <c r="I4" s="7">
        <f>ROUND(G4*INDEX('Qida bazası'!$E:$E,MATCH(F4,'Qida bazası'!$A:$A,0))/100,1)</f>
        <v/>
      </c>
      <c r="J4" s="7">
        <f>ROUND(G4*INDEX('Qida bazası'!$F:$F,MATCH(F4,'Qida bazası'!$A:$A,0))/100,1)</f>
        <v/>
      </c>
      <c r="K4" s="7">
        <f>ROUND(G4*INDEX('Qida bazası'!$G:$G,MATCH(F4,'Qida bazası'!$A:$A,0))/100,1)</f>
        <v/>
      </c>
    </row>
    <row r="5">
      <c r="A5" s="6" t="n"/>
      <c r="B5" s="7" t="n"/>
      <c r="C5" s="6" t="n"/>
      <c r="D5" s="7" t="n"/>
      <c r="E5" s="7" t="n"/>
      <c r="F5" s="7" t="inlineStr">
        <is>
          <t>Fıstıq pastası (burro d'arachidi)</t>
        </is>
      </c>
      <c r="G5" s="7" t="n">
        <v>15</v>
      </c>
      <c r="H5" s="7">
        <f>ROUND(G5*INDEX('Qida bazası'!$D:$D,MATCH(F5,'Qida bazası'!$A:$A,0))/100,0)</f>
        <v/>
      </c>
      <c r="I5" s="7">
        <f>ROUND(G5*INDEX('Qida bazası'!$E:$E,MATCH(F5,'Qida bazası'!$A:$A,0))/100,1)</f>
        <v/>
      </c>
      <c r="J5" s="7">
        <f>ROUND(G5*INDEX('Qida bazası'!$F:$F,MATCH(F5,'Qida bazası'!$A:$A,0))/100,1)</f>
        <v/>
      </c>
      <c r="K5" s="7">
        <f>ROUND(G5*INDEX('Qida bazası'!$G:$G,MATCH(F5,'Qida bazası'!$A:$A,0))/100,1)</f>
        <v/>
      </c>
    </row>
    <row r="6">
      <c r="A6" s="6" t="n"/>
      <c r="B6" s="7" t="n"/>
      <c r="C6" s="6" t="n"/>
      <c r="D6" s="7" t="n"/>
      <c r="E6" s="7" t="n"/>
      <c r="F6" s="7" t="inlineStr">
        <is>
          <t>Bal (miele)</t>
        </is>
      </c>
      <c r="G6" s="7" t="n">
        <v>10</v>
      </c>
      <c r="H6" s="7">
        <f>ROUND(G6*INDEX('Qida bazası'!$D:$D,MATCH(F6,'Qida bazası'!$A:$A,0))/100,0)</f>
        <v/>
      </c>
      <c r="I6" s="7">
        <f>ROUND(G6*INDEX('Qida bazası'!$E:$E,MATCH(F6,'Qida bazası'!$A:$A,0))/100,1)</f>
        <v/>
      </c>
      <c r="J6" s="7">
        <f>ROUND(G6*INDEX('Qida bazası'!$F:$F,MATCH(F6,'Qida bazası'!$A:$A,0))/100,1)</f>
        <v/>
      </c>
      <c r="K6" s="7">
        <f>ROUND(G6*INDEX('Qida bazası'!$G:$G,MATCH(F6,'Qida bazası'!$A:$A,0))/100,1)</f>
        <v/>
      </c>
    </row>
    <row r="7">
      <c r="A7" s="6" t="n"/>
      <c r="B7" s="7" t="n"/>
      <c r="C7" s="6" t="inlineStr">
        <is>
          <t>Qəlyanaltı 1</t>
        </is>
      </c>
      <c r="D7" s="7" t="inlineStr">
        <is>
          <t>11:00</t>
        </is>
      </c>
      <c r="E7" s="7" t="inlineStr">
        <is>
          <t>Yunan yoqurtu, bal, qoz</t>
        </is>
      </c>
      <c r="F7" s="7" t="inlineStr">
        <is>
          <t>Yunan yoqurtu 0% (yogurt greco 0%)</t>
        </is>
      </c>
      <c r="G7" s="7" t="n">
        <v>170</v>
      </c>
      <c r="H7" s="7">
        <f>ROUND(G7*INDEX('Qida bazası'!$D:$D,MATCH(F7,'Qida bazası'!$A:$A,0))/100,0)</f>
        <v/>
      </c>
      <c r="I7" s="7">
        <f>ROUND(G7*INDEX('Qida bazası'!$E:$E,MATCH(F7,'Qida bazası'!$A:$A,0))/100,1)</f>
        <v/>
      </c>
      <c r="J7" s="7">
        <f>ROUND(G7*INDEX('Qida bazası'!$F:$F,MATCH(F7,'Qida bazası'!$A:$A,0))/100,1)</f>
        <v/>
      </c>
      <c r="K7" s="7">
        <f>ROUND(G7*INDEX('Qida bazası'!$G:$G,MATCH(F7,'Qida bazası'!$A:$A,0))/100,1)</f>
        <v/>
      </c>
    </row>
    <row r="8">
      <c r="A8" s="6" t="n"/>
      <c r="B8" s="7" t="n"/>
      <c r="C8" s="6" t="n"/>
      <c r="D8" s="7" t="n"/>
      <c r="E8" s="7" t="n"/>
      <c r="F8" s="7" t="inlineStr">
        <is>
          <t>Bal (miele)</t>
        </is>
      </c>
      <c r="G8" s="7" t="n">
        <v>10</v>
      </c>
      <c r="H8" s="7">
        <f>ROUND(G8*INDEX('Qida bazası'!$D:$D,MATCH(F8,'Qida bazası'!$A:$A,0))/100,0)</f>
        <v/>
      </c>
      <c r="I8" s="7">
        <f>ROUND(G8*INDEX('Qida bazası'!$E:$E,MATCH(F8,'Qida bazası'!$A:$A,0))/100,1)</f>
        <v/>
      </c>
      <c r="J8" s="7">
        <f>ROUND(G8*INDEX('Qida bazası'!$F:$F,MATCH(F8,'Qida bazası'!$A:$A,0))/100,1)</f>
        <v/>
      </c>
      <c r="K8" s="7">
        <f>ROUND(G8*INDEX('Qida bazası'!$G:$G,MATCH(F8,'Qida bazası'!$A:$A,0))/100,1)</f>
        <v/>
      </c>
    </row>
    <row r="9">
      <c r="A9" s="6" t="n"/>
      <c r="B9" s="7" t="n"/>
      <c r="C9" s="6" t="n"/>
      <c r="D9" s="7" t="n"/>
      <c r="E9" s="7" t="n"/>
      <c r="F9" s="7" t="inlineStr">
        <is>
          <t>Qoz (noci)</t>
        </is>
      </c>
      <c r="G9" s="7" t="n">
        <v>15</v>
      </c>
      <c r="H9" s="7">
        <f>ROUND(G9*INDEX('Qida bazası'!$D:$D,MATCH(F9,'Qida bazası'!$A:$A,0))/100,0)</f>
        <v/>
      </c>
      <c r="I9" s="7">
        <f>ROUND(G9*INDEX('Qida bazası'!$E:$E,MATCH(F9,'Qida bazası'!$A:$A,0))/100,1)</f>
        <v/>
      </c>
      <c r="J9" s="7">
        <f>ROUND(G9*INDEX('Qida bazası'!$F:$F,MATCH(F9,'Qida bazası'!$A:$A,0))/100,1)</f>
        <v/>
      </c>
      <c r="K9" s="7">
        <f>ROUND(G9*INDEX('Qida bazası'!$G:$G,MATCH(F9,'Qida bazası'!$A:$A,0))/100,1)</f>
        <v/>
      </c>
    </row>
    <row r="10">
      <c r="A10" s="6" t="n"/>
      <c r="B10" s="7" t="n"/>
      <c r="C10" s="6" t="inlineStr">
        <is>
          <t>Nahar</t>
        </is>
      </c>
      <c r="D10" s="7" t="inlineStr">
        <is>
          <t>13:30</t>
        </is>
      </c>
      <c r="E10" s="7" t="inlineStr">
        <is>
          <t>Toyuq, düyü, brokoli</t>
        </is>
      </c>
      <c r="F10" s="7" t="inlineStr">
        <is>
          <t>Toyuq döşü (çiy) (petto di pollo)</t>
        </is>
      </c>
      <c r="G10" s="7" t="n">
        <v>140</v>
      </c>
      <c r="H10" s="7">
        <f>ROUND(G10*INDEX('Qida bazası'!$D:$D,MATCH(F10,'Qida bazası'!$A:$A,0))/100,0)</f>
        <v/>
      </c>
      <c r="I10" s="7">
        <f>ROUND(G10*INDEX('Qida bazası'!$E:$E,MATCH(F10,'Qida bazası'!$A:$A,0))/100,1)</f>
        <v/>
      </c>
      <c r="J10" s="7">
        <f>ROUND(G10*INDEX('Qida bazası'!$F:$F,MATCH(F10,'Qida bazası'!$A:$A,0))/100,1)</f>
        <v/>
      </c>
      <c r="K10" s="7">
        <f>ROUND(G10*INDEX('Qida bazası'!$G:$G,MATCH(F10,'Qida bazası'!$A:$A,0))/100,1)</f>
        <v/>
      </c>
    </row>
    <row r="11">
      <c r="A11" s="6" t="n"/>
      <c r="B11" s="7" t="n"/>
      <c r="C11" s="6" t="n"/>
      <c r="D11" s="7" t="n"/>
      <c r="E11" s="7" t="n"/>
      <c r="F11" s="7" t="inlineStr">
        <is>
          <t>Düyü (çiy) (riso)</t>
        </is>
      </c>
      <c r="G11" s="7" t="n">
        <v>120</v>
      </c>
      <c r="H11" s="7">
        <f>ROUND(G11*INDEX('Qida bazası'!$D:$D,MATCH(F11,'Qida bazası'!$A:$A,0))/100,0)</f>
        <v/>
      </c>
      <c r="I11" s="7">
        <f>ROUND(G11*INDEX('Qida bazası'!$E:$E,MATCH(F11,'Qida bazası'!$A:$A,0))/100,1)</f>
        <v/>
      </c>
      <c r="J11" s="7">
        <f>ROUND(G11*INDEX('Qida bazası'!$F:$F,MATCH(F11,'Qida bazası'!$A:$A,0))/100,1)</f>
        <v/>
      </c>
      <c r="K11" s="7">
        <f>ROUND(G11*INDEX('Qida bazası'!$G:$G,MATCH(F11,'Qida bazası'!$A:$A,0))/100,1)</f>
        <v/>
      </c>
    </row>
    <row r="12">
      <c r="A12" s="6" t="n"/>
      <c r="B12" s="7" t="n"/>
      <c r="C12" s="6" t="n"/>
      <c r="D12" s="7" t="n"/>
      <c r="E12" s="7" t="n"/>
      <c r="F12" s="7" t="inlineStr">
        <is>
          <t>Brokoli (broccoli)</t>
        </is>
      </c>
      <c r="G12" s="7" t="n">
        <v>150</v>
      </c>
      <c r="H12" s="7">
        <f>ROUND(G12*INDEX('Qida bazası'!$D:$D,MATCH(F12,'Qida bazası'!$A:$A,0))/100,0)</f>
        <v/>
      </c>
      <c r="I12" s="7">
        <f>ROUND(G12*INDEX('Qida bazası'!$E:$E,MATCH(F12,'Qida bazası'!$A:$A,0))/100,1)</f>
        <v/>
      </c>
      <c r="J12" s="7">
        <f>ROUND(G12*INDEX('Qida bazası'!$F:$F,MATCH(F12,'Qida bazası'!$A:$A,0))/100,1)</f>
        <v/>
      </c>
      <c r="K12" s="7">
        <f>ROUND(G12*INDEX('Qida bazası'!$G:$G,MATCH(F12,'Qida bazası'!$A:$A,0))/100,1)</f>
        <v/>
      </c>
    </row>
    <row r="13">
      <c r="A13" s="6" t="n"/>
      <c r="B13" s="7" t="n"/>
      <c r="C13" s="6" t="n"/>
      <c r="D13" s="7" t="n"/>
      <c r="E13" s="7" t="n"/>
      <c r="F13" s="7" t="inlineStr">
        <is>
          <t>Zeytun yağı (olio extravergine)</t>
        </is>
      </c>
      <c r="G13" s="7" t="n">
        <v>10</v>
      </c>
      <c r="H13" s="7">
        <f>ROUND(G13*INDEX('Qida bazası'!$D:$D,MATCH(F13,'Qida bazası'!$A:$A,0))/100,0)</f>
        <v/>
      </c>
      <c r="I13" s="7">
        <f>ROUND(G13*INDEX('Qida bazası'!$E:$E,MATCH(F13,'Qida bazası'!$A:$A,0))/100,1)</f>
        <v/>
      </c>
      <c r="J13" s="7">
        <f>ROUND(G13*INDEX('Qida bazası'!$F:$F,MATCH(F13,'Qida bazası'!$A:$A,0))/100,1)</f>
        <v/>
      </c>
      <c r="K13" s="7">
        <f>ROUND(G13*INDEX('Qida bazası'!$G:$G,MATCH(F13,'Qida bazası'!$A:$A,0))/100,1)</f>
        <v/>
      </c>
    </row>
    <row r="14">
      <c r="A14" s="6" t="n"/>
      <c r="B14" s="7" t="n"/>
      <c r="C14" s="6" t="inlineStr">
        <is>
          <t>Qəlyanaltı 2</t>
        </is>
      </c>
      <c r="D14" s="7" t="inlineStr">
        <is>
          <t>17:00</t>
        </is>
      </c>
      <c r="E14" s="7" t="inlineStr">
        <is>
          <t>Bresaola ilə panino, alma</t>
        </is>
      </c>
      <c r="F14" s="7" t="inlineStr">
        <is>
          <t>Tam taxıl çörək (pane integrale)</t>
        </is>
      </c>
      <c r="G14" s="7" t="n">
        <v>80</v>
      </c>
      <c r="H14" s="7">
        <f>ROUND(G14*INDEX('Qida bazası'!$D:$D,MATCH(F14,'Qida bazası'!$A:$A,0))/100,0)</f>
        <v/>
      </c>
      <c r="I14" s="7">
        <f>ROUND(G14*INDEX('Qida bazası'!$E:$E,MATCH(F14,'Qida bazası'!$A:$A,0))/100,1)</f>
        <v/>
      </c>
      <c r="J14" s="7">
        <f>ROUND(G14*INDEX('Qida bazası'!$F:$F,MATCH(F14,'Qida bazası'!$A:$A,0))/100,1)</f>
        <v/>
      </c>
      <c r="K14" s="7">
        <f>ROUND(G14*INDEX('Qida bazası'!$G:$G,MATCH(F14,'Qida bazası'!$A:$A,0))/100,1)</f>
        <v/>
      </c>
    </row>
    <row r="15">
      <c r="A15" s="6" t="n"/>
      <c r="B15" s="7" t="n"/>
      <c r="C15" s="6" t="n"/>
      <c r="D15" s="7" t="n"/>
      <c r="E15" s="7" t="n"/>
      <c r="F15" s="7" t="inlineStr">
        <is>
          <t>Bresaola (bresaola)</t>
        </is>
      </c>
      <c r="G15" s="7" t="n">
        <v>40</v>
      </c>
      <c r="H15" s="7">
        <f>ROUND(G15*INDEX('Qida bazası'!$D:$D,MATCH(F15,'Qida bazası'!$A:$A,0))/100,0)</f>
        <v/>
      </c>
      <c r="I15" s="7">
        <f>ROUND(G15*INDEX('Qida bazası'!$E:$E,MATCH(F15,'Qida bazası'!$A:$A,0))/100,1)</f>
        <v/>
      </c>
      <c r="J15" s="7">
        <f>ROUND(G15*INDEX('Qida bazası'!$F:$F,MATCH(F15,'Qida bazası'!$A:$A,0))/100,1)</f>
        <v/>
      </c>
      <c r="K15" s="7">
        <f>ROUND(G15*INDEX('Qida bazası'!$G:$G,MATCH(F15,'Qida bazası'!$A:$A,0))/100,1)</f>
        <v/>
      </c>
    </row>
    <row r="16">
      <c r="A16" s="6" t="n"/>
      <c r="B16" s="7" t="n"/>
      <c r="C16" s="6" t="n"/>
      <c r="D16" s="7" t="n"/>
      <c r="E16" s="7" t="n"/>
      <c r="F16" s="7" t="inlineStr">
        <is>
          <t>Alma (mela)</t>
        </is>
      </c>
      <c r="G16" s="7" t="n">
        <v>180</v>
      </c>
      <c r="H16" s="7">
        <f>ROUND(G16*INDEX('Qida bazası'!$D:$D,MATCH(F16,'Qida bazası'!$A:$A,0))/100,0)</f>
        <v/>
      </c>
      <c r="I16" s="7">
        <f>ROUND(G16*INDEX('Qida bazası'!$E:$E,MATCH(F16,'Qida bazası'!$A:$A,0))/100,1)</f>
        <v/>
      </c>
      <c r="J16" s="7">
        <f>ROUND(G16*INDEX('Qida bazası'!$F:$F,MATCH(F16,'Qida bazası'!$A:$A,0))/100,1)</f>
        <v/>
      </c>
      <c r="K16" s="7">
        <f>ROUND(G16*INDEX('Qida bazası'!$G:$G,MATCH(F16,'Qida bazası'!$A:$A,0))/100,1)</f>
        <v/>
      </c>
    </row>
    <row r="17">
      <c r="A17" s="6" t="n"/>
      <c r="B17" s="7" t="n"/>
      <c r="C17" s="6" t="inlineStr">
        <is>
          <t>Şam yeməyi</t>
        </is>
      </c>
      <c r="D17" s="7" t="inlineStr">
        <is>
          <t>20:30</t>
        </is>
      </c>
      <c r="E17" s="7" t="inlineStr">
        <is>
          <t>Tuna və pomidor sousu ilə makaron, salat</t>
        </is>
      </c>
      <c r="F17" s="7" t="inlineStr">
        <is>
          <t>Makaron (çiy) (pasta di semola)</t>
        </is>
      </c>
      <c r="G17" s="7" t="n">
        <v>110</v>
      </c>
      <c r="H17" s="7">
        <f>ROUND(G17*INDEX('Qida bazası'!$D:$D,MATCH(F17,'Qida bazası'!$A:$A,0))/100,0)</f>
        <v/>
      </c>
      <c r="I17" s="7">
        <f>ROUND(G17*INDEX('Qida bazası'!$E:$E,MATCH(F17,'Qida bazası'!$A:$A,0))/100,1)</f>
        <v/>
      </c>
      <c r="J17" s="7">
        <f>ROUND(G17*INDEX('Qida bazası'!$F:$F,MATCH(F17,'Qida bazası'!$A:$A,0))/100,1)</f>
        <v/>
      </c>
      <c r="K17" s="7">
        <f>ROUND(G17*INDEX('Qida bazası'!$G:$G,MATCH(F17,'Qida bazası'!$A:$A,0))/100,1)</f>
        <v/>
      </c>
    </row>
    <row r="18">
      <c r="A18" s="6" t="n"/>
      <c r="B18" s="7" t="n"/>
      <c r="C18" s="6" t="n"/>
      <c r="D18" s="7" t="n"/>
      <c r="E18" s="7" t="n"/>
      <c r="F18" s="7" t="inlineStr">
        <is>
          <t>Tuna, öz suyunda (tonno al naturale)</t>
        </is>
      </c>
      <c r="G18" s="7" t="n">
        <v>80</v>
      </c>
      <c r="H18" s="7">
        <f>ROUND(G18*INDEX('Qida bazası'!$D:$D,MATCH(F18,'Qida bazası'!$A:$A,0))/100,0)</f>
        <v/>
      </c>
      <c r="I18" s="7">
        <f>ROUND(G18*INDEX('Qida bazası'!$E:$E,MATCH(F18,'Qida bazası'!$A:$A,0))/100,1)</f>
        <v/>
      </c>
      <c r="J18" s="7">
        <f>ROUND(G18*INDEX('Qida bazası'!$F:$F,MATCH(F18,'Qida bazası'!$A:$A,0))/100,1)</f>
        <v/>
      </c>
      <c r="K18" s="7">
        <f>ROUND(G18*INDEX('Qida bazası'!$G:$G,MATCH(F18,'Qida bazası'!$A:$A,0))/100,1)</f>
        <v/>
      </c>
    </row>
    <row r="19">
      <c r="A19" s="6" t="n"/>
      <c r="B19" s="7" t="n"/>
      <c r="C19" s="6" t="n"/>
      <c r="D19" s="7" t="n"/>
      <c r="E19" s="7" t="n"/>
      <c r="F19" s="7" t="inlineStr">
        <is>
          <t>Pomidor sousu (passata di pomodoro)</t>
        </is>
      </c>
      <c r="G19" s="7" t="n">
        <v>150</v>
      </c>
      <c r="H19" s="7">
        <f>ROUND(G19*INDEX('Qida bazası'!$D:$D,MATCH(F19,'Qida bazası'!$A:$A,0))/100,0)</f>
        <v/>
      </c>
      <c r="I19" s="7">
        <f>ROUND(G19*INDEX('Qida bazası'!$E:$E,MATCH(F19,'Qida bazası'!$A:$A,0))/100,1)</f>
        <v/>
      </c>
      <c r="J19" s="7">
        <f>ROUND(G19*INDEX('Qida bazası'!$F:$F,MATCH(F19,'Qida bazası'!$A:$A,0))/100,1)</f>
        <v/>
      </c>
      <c r="K19" s="7">
        <f>ROUND(G19*INDEX('Qida bazası'!$G:$G,MATCH(F19,'Qida bazası'!$A:$A,0))/100,1)</f>
        <v/>
      </c>
    </row>
    <row r="20">
      <c r="A20" s="6" t="n"/>
      <c r="B20" s="7" t="n"/>
      <c r="C20" s="6" t="n"/>
      <c r="D20" s="7" t="n"/>
      <c r="E20" s="7" t="n"/>
      <c r="F20" s="7" t="inlineStr">
        <is>
          <t>Zeytun yağı (olio extravergine)</t>
        </is>
      </c>
      <c r="G20" s="7" t="n">
        <v>10</v>
      </c>
      <c r="H20" s="7">
        <f>ROUND(G20*INDEX('Qida bazası'!$D:$D,MATCH(F20,'Qida bazası'!$A:$A,0))/100,0)</f>
        <v/>
      </c>
      <c r="I20" s="7">
        <f>ROUND(G20*INDEX('Qida bazası'!$E:$E,MATCH(F20,'Qida bazası'!$A:$A,0))/100,1)</f>
        <v/>
      </c>
      <c r="J20" s="7">
        <f>ROUND(G20*INDEX('Qida bazası'!$F:$F,MATCH(F20,'Qida bazası'!$A:$A,0))/100,1)</f>
        <v/>
      </c>
      <c r="K20" s="7">
        <f>ROUND(G20*INDEX('Qida bazası'!$G:$G,MATCH(F20,'Qida bazası'!$A:$A,0))/100,1)</f>
        <v/>
      </c>
    </row>
    <row r="21">
      <c r="A21" s="6" t="n"/>
      <c r="B21" s="7" t="n"/>
      <c r="C21" s="6" t="n"/>
      <c r="D21" s="7" t="n"/>
      <c r="E21" s="7" t="n"/>
      <c r="F21" s="7" t="inlineStr">
        <is>
          <t>Yaşıl salat (insalata)</t>
        </is>
      </c>
      <c r="G21" s="7" t="n">
        <v>80</v>
      </c>
      <c r="H21" s="7">
        <f>ROUND(G21*INDEX('Qida bazası'!$D:$D,MATCH(F21,'Qida bazası'!$A:$A,0))/100,0)</f>
        <v/>
      </c>
      <c r="I21" s="7">
        <f>ROUND(G21*INDEX('Qida bazası'!$E:$E,MATCH(F21,'Qida bazası'!$A:$A,0))/100,1)</f>
        <v/>
      </c>
      <c r="J21" s="7">
        <f>ROUND(G21*INDEX('Qida bazası'!$F:$F,MATCH(F21,'Qida bazası'!$A:$A,0))/100,1)</f>
        <v/>
      </c>
      <c r="K21" s="7">
        <f>ROUND(G21*INDEX('Qida bazası'!$G:$G,MATCH(F21,'Qida bazası'!$A:$A,0))/100,1)</f>
        <v/>
      </c>
    </row>
    <row r="22">
      <c r="A22" s="6" t="n"/>
      <c r="B22" s="7" t="n"/>
      <c r="C22" s="6" t="n"/>
      <c r="D22" s="7" t="n"/>
      <c r="E22" s="7" t="n"/>
      <c r="F22" s="7" t="inlineStr">
        <is>
          <t>Parmezan (Parmigiano Reggiano)</t>
        </is>
      </c>
      <c r="G22" s="7" t="n">
        <v>10</v>
      </c>
      <c r="H22" s="7">
        <f>ROUND(G22*INDEX('Qida bazası'!$D:$D,MATCH(F22,'Qida bazası'!$A:$A,0))/100,0)</f>
        <v/>
      </c>
      <c r="I22" s="7">
        <f>ROUND(G22*INDEX('Qida bazası'!$E:$E,MATCH(F22,'Qida bazası'!$A:$A,0))/100,1)</f>
        <v/>
      </c>
      <c r="J22" s="7">
        <f>ROUND(G22*INDEX('Qida bazası'!$F:$F,MATCH(F22,'Qida bazası'!$A:$A,0))/100,1)</f>
        <v/>
      </c>
      <c r="K22" s="7">
        <f>ROUND(G22*INDEX('Qida bazası'!$G:$G,MATCH(F22,'Qida bazası'!$A:$A,0))/100,1)</f>
        <v/>
      </c>
    </row>
    <row r="23">
      <c r="F23" s="6" t="inlineStr">
        <is>
          <t>Cəmi: Bazar ertəsi</t>
        </is>
      </c>
      <c r="H23" s="27">
        <f>SUM(H2:H22)</f>
        <v/>
      </c>
      <c r="I23" s="27">
        <f>SUM(I2:I22)</f>
        <v/>
      </c>
      <c r="J23" s="27">
        <f>SUM(J2:J22)</f>
        <v/>
      </c>
      <c r="K23" s="27">
        <f>SUM(K2:K22)</f>
        <v/>
      </c>
    </row>
    <row r="24">
      <c r="G24" s="9" t="inlineStr">
        <is>
          <t>norma</t>
        </is>
      </c>
      <c r="H24" s="28">
        <f>Profil!$B$17</f>
        <v/>
      </c>
      <c r="I24" s="29">
        <f>Profil!$B$20</f>
        <v/>
      </c>
    </row>
    <row r="25"/>
    <row r="26">
      <c r="A26" s="6" t="inlineStr">
        <is>
          <t>Çərşənbə axşamı</t>
        </is>
      </c>
      <c r="B26" s="7" t="inlineStr">
        <is>
          <t>İstirahət</t>
        </is>
      </c>
      <c r="C26" s="6" t="inlineStr">
        <is>
          <t>Səhər yeməyi</t>
        </is>
      </c>
      <c r="D26" s="7" t="inlineStr">
        <is>
          <t>08:00</t>
        </is>
      </c>
      <c r="E26" s="7" t="inlineStr">
        <is>
          <t>Omlet (3 yumurta), çörək, pomidor</t>
        </is>
      </c>
      <c r="F26" s="7" t="inlineStr">
        <is>
          <t>Yumurta (uova)</t>
        </is>
      </c>
      <c r="G26" s="7" t="n">
        <v>165</v>
      </c>
      <c r="H26" s="7">
        <f>ROUND(G26*INDEX('Qida bazası'!$D:$D,MATCH(F26,'Qida bazası'!$A:$A,0))/100,0)</f>
        <v/>
      </c>
      <c r="I26" s="7">
        <f>ROUND(G26*INDEX('Qida bazası'!$E:$E,MATCH(F26,'Qida bazası'!$A:$A,0))/100,1)</f>
        <v/>
      </c>
      <c r="J26" s="7">
        <f>ROUND(G26*INDEX('Qida bazası'!$F:$F,MATCH(F26,'Qida bazası'!$A:$A,0))/100,1)</f>
        <v/>
      </c>
      <c r="K26" s="7">
        <f>ROUND(G26*INDEX('Qida bazası'!$G:$G,MATCH(F26,'Qida bazası'!$A:$A,0))/100,1)</f>
        <v/>
      </c>
    </row>
    <row r="27">
      <c r="A27" s="6" t="n"/>
      <c r="B27" s="7" t="n"/>
      <c r="C27" s="6" t="n"/>
      <c r="D27" s="7" t="n"/>
      <c r="E27" s="7" t="n"/>
      <c r="F27" s="7" t="inlineStr">
        <is>
          <t>Tam taxıl çörək (pane integrale)</t>
        </is>
      </c>
      <c r="G27" s="7" t="n">
        <v>80</v>
      </c>
      <c r="H27" s="7">
        <f>ROUND(G27*INDEX('Qida bazası'!$D:$D,MATCH(F27,'Qida bazası'!$A:$A,0))/100,0)</f>
        <v/>
      </c>
      <c r="I27" s="7">
        <f>ROUND(G27*INDEX('Qida bazası'!$E:$E,MATCH(F27,'Qida bazası'!$A:$A,0))/100,1)</f>
        <v/>
      </c>
      <c r="J27" s="7">
        <f>ROUND(G27*INDEX('Qida bazası'!$F:$F,MATCH(F27,'Qida bazası'!$A:$A,0))/100,1)</f>
        <v/>
      </c>
      <c r="K27" s="7">
        <f>ROUND(G27*INDEX('Qida bazası'!$G:$G,MATCH(F27,'Qida bazası'!$A:$A,0))/100,1)</f>
        <v/>
      </c>
    </row>
    <row r="28">
      <c r="A28" s="6" t="n"/>
      <c r="B28" s="7" t="n"/>
      <c r="C28" s="6" t="n"/>
      <c r="D28" s="7" t="n"/>
      <c r="E28" s="7" t="n"/>
      <c r="F28" s="7" t="inlineStr">
        <is>
          <t>Pomidor (pomodori)</t>
        </is>
      </c>
      <c r="G28" s="7" t="n">
        <v>120</v>
      </c>
      <c r="H28" s="7">
        <f>ROUND(G28*INDEX('Qida bazası'!$D:$D,MATCH(F28,'Qida bazası'!$A:$A,0))/100,0)</f>
        <v/>
      </c>
      <c r="I28" s="7">
        <f>ROUND(G28*INDEX('Qida bazası'!$E:$E,MATCH(F28,'Qida bazası'!$A:$A,0))/100,1)</f>
        <v/>
      </c>
      <c r="J28" s="7">
        <f>ROUND(G28*INDEX('Qida bazası'!$F:$F,MATCH(F28,'Qida bazası'!$A:$A,0))/100,1)</f>
        <v/>
      </c>
      <c r="K28" s="7">
        <f>ROUND(G28*INDEX('Qida bazası'!$G:$G,MATCH(F28,'Qida bazası'!$A:$A,0))/100,1)</f>
        <v/>
      </c>
    </row>
    <row r="29">
      <c r="A29" s="6" t="n"/>
      <c r="B29" s="7" t="n"/>
      <c r="C29" s="6" t="n"/>
      <c r="D29" s="7" t="n"/>
      <c r="E29" s="7" t="n"/>
      <c r="F29" s="7" t="inlineStr">
        <is>
          <t>Zeytun yağı (olio extravergine)</t>
        </is>
      </c>
      <c r="G29" s="7" t="n">
        <v>5</v>
      </c>
      <c r="H29" s="7">
        <f>ROUND(G29*INDEX('Qida bazası'!$D:$D,MATCH(F29,'Qida bazası'!$A:$A,0))/100,0)</f>
        <v/>
      </c>
      <c r="I29" s="7">
        <f>ROUND(G29*INDEX('Qida bazası'!$E:$E,MATCH(F29,'Qida bazası'!$A:$A,0))/100,1)</f>
        <v/>
      </c>
      <c r="J29" s="7">
        <f>ROUND(G29*INDEX('Qida bazası'!$F:$F,MATCH(F29,'Qida bazası'!$A:$A,0))/100,1)</f>
        <v/>
      </c>
      <c r="K29" s="7">
        <f>ROUND(G29*INDEX('Qida bazası'!$G:$G,MATCH(F29,'Qida bazası'!$A:$A,0))/100,1)</f>
        <v/>
      </c>
    </row>
    <row r="30">
      <c r="A30" s="6" t="n"/>
      <c r="B30" s="7" t="n"/>
      <c r="C30" s="6" t="inlineStr">
        <is>
          <t>Qəlyanaltı 1</t>
        </is>
      </c>
      <c r="D30" s="7" t="inlineStr">
        <is>
          <t>11:00</t>
        </is>
      </c>
      <c r="E30" s="7" t="inlineStr">
        <is>
          <t>Skyr və üzüm</t>
        </is>
      </c>
      <c r="F30" s="7" t="inlineStr">
        <is>
          <t>Skyr (skyr)</t>
        </is>
      </c>
      <c r="G30" s="7" t="n">
        <v>150</v>
      </c>
      <c r="H30" s="7">
        <f>ROUND(G30*INDEX('Qida bazası'!$D:$D,MATCH(F30,'Qida bazası'!$A:$A,0))/100,0)</f>
        <v/>
      </c>
      <c r="I30" s="7">
        <f>ROUND(G30*INDEX('Qida bazası'!$E:$E,MATCH(F30,'Qida bazası'!$A:$A,0))/100,1)</f>
        <v/>
      </c>
      <c r="J30" s="7">
        <f>ROUND(G30*INDEX('Qida bazası'!$F:$F,MATCH(F30,'Qida bazası'!$A:$A,0))/100,1)</f>
        <v/>
      </c>
      <c r="K30" s="7">
        <f>ROUND(G30*INDEX('Qida bazası'!$G:$G,MATCH(F30,'Qida bazası'!$A:$A,0))/100,1)</f>
        <v/>
      </c>
    </row>
    <row r="31">
      <c r="A31" s="6" t="n"/>
      <c r="B31" s="7" t="n"/>
      <c r="C31" s="6" t="n"/>
      <c r="D31" s="7" t="n"/>
      <c r="E31" s="7" t="n"/>
      <c r="F31" s="7" t="inlineStr">
        <is>
          <t>Üzüm (uva)</t>
        </is>
      </c>
      <c r="G31" s="7" t="n">
        <v>200</v>
      </c>
      <c r="H31" s="7">
        <f>ROUND(G31*INDEX('Qida bazası'!$D:$D,MATCH(F31,'Qida bazası'!$A:$A,0))/100,0)</f>
        <v/>
      </c>
      <c r="I31" s="7">
        <f>ROUND(G31*INDEX('Qida bazası'!$E:$E,MATCH(F31,'Qida bazası'!$A:$A,0))/100,1)</f>
        <v/>
      </c>
      <c r="J31" s="7">
        <f>ROUND(G31*INDEX('Qida bazası'!$F:$F,MATCH(F31,'Qida bazası'!$A:$A,0))/100,1)</f>
        <v/>
      </c>
      <c r="K31" s="7">
        <f>ROUND(G31*INDEX('Qida bazası'!$G:$G,MATCH(F31,'Qida bazası'!$A:$A,0))/100,1)</f>
        <v/>
      </c>
    </row>
    <row r="32">
      <c r="A32" s="6" t="n"/>
      <c r="B32" s="7" t="n"/>
      <c r="C32" s="6" t="inlineStr">
        <is>
          <t>Nahar</t>
        </is>
      </c>
      <c r="D32" s="7" t="inlineStr">
        <is>
          <t>13:30</t>
        </is>
      </c>
      <c r="E32" s="7" t="inlineStr">
        <is>
          <t>Mərcimək şorbası, çörək, yumurta</t>
        </is>
      </c>
      <c r="F32" s="7" t="inlineStr">
        <is>
          <t>Mərcimək (quru) (lenticchie secche)</t>
        </is>
      </c>
      <c r="G32" s="7" t="n">
        <v>80</v>
      </c>
      <c r="H32" s="7">
        <f>ROUND(G32*INDEX('Qida bazası'!$D:$D,MATCH(F32,'Qida bazası'!$A:$A,0))/100,0)</f>
        <v/>
      </c>
      <c r="I32" s="7">
        <f>ROUND(G32*INDEX('Qida bazası'!$E:$E,MATCH(F32,'Qida bazası'!$A:$A,0))/100,1)</f>
        <v/>
      </c>
      <c r="J32" s="7">
        <f>ROUND(G32*INDEX('Qida bazası'!$F:$F,MATCH(F32,'Qida bazası'!$A:$A,0))/100,1)</f>
        <v/>
      </c>
      <c r="K32" s="7">
        <f>ROUND(G32*INDEX('Qida bazası'!$G:$G,MATCH(F32,'Qida bazası'!$A:$A,0))/100,1)</f>
        <v/>
      </c>
    </row>
    <row r="33">
      <c r="A33" s="6" t="n"/>
      <c r="B33" s="7" t="n"/>
      <c r="C33" s="6" t="n"/>
      <c r="D33" s="7" t="n"/>
      <c r="E33" s="7" t="n"/>
      <c r="F33" s="7" t="inlineStr">
        <is>
          <t>Yerkökü (carote)</t>
        </is>
      </c>
      <c r="G33" s="7" t="n">
        <v>80</v>
      </c>
      <c r="H33" s="7">
        <f>ROUND(G33*INDEX('Qida bazası'!$D:$D,MATCH(F33,'Qida bazası'!$A:$A,0))/100,0)</f>
        <v/>
      </c>
      <c r="I33" s="7">
        <f>ROUND(G33*INDEX('Qida bazası'!$E:$E,MATCH(F33,'Qida bazası'!$A:$A,0))/100,1)</f>
        <v/>
      </c>
      <c r="J33" s="7">
        <f>ROUND(G33*INDEX('Qida bazası'!$F:$F,MATCH(F33,'Qida bazası'!$A:$A,0))/100,1)</f>
        <v/>
      </c>
      <c r="K33" s="7">
        <f>ROUND(G33*INDEX('Qida bazası'!$G:$G,MATCH(F33,'Qida bazası'!$A:$A,0))/100,1)</f>
        <v/>
      </c>
    </row>
    <row r="34">
      <c r="A34" s="6" t="n"/>
      <c r="B34" s="7" t="n"/>
      <c r="C34" s="6" t="n"/>
      <c r="D34" s="7" t="n"/>
      <c r="E34" s="7" t="n"/>
      <c r="F34" s="7" t="inlineStr">
        <is>
          <t>Pomidor sousu (passata di pomodoro)</t>
        </is>
      </c>
      <c r="G34" s="7" t="n">
        <v>100</v>
      </c>
      <c r="H34" s="7">
        <f>ROUND(G34*INDEX('Qida bazası'!$D:$D,MATCH(F34,'Qida bazası'!$A:$A,0))/100,0)</f>
        <v/>
      </c>
      <c r="I34" s="7">
        <f>ROUND(G34*INDEX('Qida bazası'!$E:$E,MATCH(F34,'Qida bazası'!$A:$A,0))/100,1)</f>
        <v/>
      </c>
      <c r="J34" s="7">
        <f>ROUND(G34*INDEX('Qida bazası'!$F:$F,MATCH(F34,'Qida bazası'!$A:$A,0))/100,1)</f>
        <v/>
      </c>
      <c r="K34" s="7">
        <f>ROUND(G34*INDEX('Qida bazası'!$G:$G,MATCH(F34,'Qida bazası'!$A:$A,0))/100,1)</f>
        <v/>
      </c>
    </row>
    <row r="35">
      <c r="A35" s="6" t="n"/>
      <c r="B35" s="7" t="n"/>
      <c r="C35" s="6" t="n"/>
      <c r="D35" s="7" t="n"/>
      <c r="E35" s="7" t="n"/>
      <c r="F35" s="7" t="inlineStr">
        <is>
          <t>Zeytun yağı (olio extravergine)</t>
        </is>
      </c>
      <c r="G35" s="7" t="n">
        <v>5</v>
      </c>
      <c r="H35" s="7">
        <f>ROUND(G35*INDEX('Qida bazası'!$D:$D,MATCH(F35,'Qida bazası'!$A:$A,0))/100,0)</f>
        <v/>
      </c>
      <c r="I35" s="7">
        <f>ROUND(G35*INDEX('Qida bazası'!$E:$E,MATCH(F35,'Qida bazası'!$A:$A,0))/100,1)</f>
        <v/>
      </c>
      <c r="J35" s="7">
        <f>ROUND(G35*INDEX('Qida bazası'!$F:$F,MATCH(F35,'Qida bazası'!$A:$A,0))/100,1)</f>
        <v/>
      </c>
      <c r="K35" s="7">
        <f>ROUND(G35*INDEX('Qida bazası'!$G:$G,MATCH(F35,'Qida bazası'!$A:$A,0))/100,1)</f>
        <v/>
      </c>
    </row>
    <row r="36">
      <c r="A36" s="6" t="n"/>
      <c r="B36" s="7" t="n"/>
      <c r="C36" s="6" t="n"/>
      <c r="D36" s="7" t="n"/>
      <c r="E36" s="7" t="n"/>
      <c r="F36" s="7" t="inlineStr">
        <is>
          <t>Ağ çörək (pane comune)</t>
        </is>
      </c>
      <c r="G36" s="7" t="n">
        <v>90</v>
      </c>
      <c r="H36" s="7">
        <f>ROUND(G36*INDEX('Qida bazası'!$D:$D,MATCH(F36,'Qida bazası'!$A:$A,0))/100,0)</f>
        <v/>
      </c>
      <c r="I36" s="7">
        <f>ROUND(G36*INDEX('Qida bazası'!$E:$E,MATCH(F36,'Qida bazası'!$A:$A,0))/100,1)</f>
        <v/>
      </c>
      <c r="J36" s="7">
        <f>ROUND(G36*INDEX('Qida bazası'!$F:$F,MATCH(F36,'Qida bazası'!$A:$A,0))/100,1)</f>
        <v/>
      </c>
      <c r="K36" s="7">
        <f>ROUND(G36*INDEX('Qida bazası'!$G:$G,MATCH(F36,'Qida bazası'!$A:$A,0))/100,1)</f>
        <v/>
      </c>
    </row>
    <row r="37">
      <c r="A37" s="6" t="n"/>
      <c r="B37" s="7" t="n"/>
      <c r="C37" s="6" t="n"/>
      <c r="D37" s="7" t="n"/>
      <c r="E37" s="7" t="n"/>
      <c r="F37" s="7" t="inlineStr">
        <is>
          <t>Yumurta (uova)</t>
        </is>
      </c>
      <c r="G37" s="7" t="n">
        <v>55</v>
      </c>
      <c r="H37" s="7">
        <f>ROUND(G37*INDEX('Qida bazası'!$D:$D,MATCH(F37,'Qida bazası'!$A:$A,0))/100,0)</f>
        <v/>
      </c>
      <c r="I37" s="7">
        <f>ROUND(G37*INDEX('Qida bazası'!$E:$E,MATCH(F37,'Qida bazası'!$A:$A,0))/100,1)</f>
        <v/>
      </c>
      <c r="J37" s="7">
        <f>ROUND(G37*INDEX('Qida bazası'!$F:$F,MATCH(F37,'Qida bazası'!$A:$A,0))/100,1)</f>
        <v/>
      </c>
      <c r="K37" s="7">
        <f>ROUND(G37*INDEX('Qida bazası'!$G:$G,MATCH(F37,'Qida bazası'!$A:$A,0))/100,1)</f>
        <v/>
      </c>
    </row>
    <row r="38">
      <c r="A38" s="6" t="n"/>
      <c r="B38" s="7" t="n"/>
      <c r="C38" s="6" t="inlineStr">
        <is>
          <t>Qəlyanaltı 2</t>
        </is>
      </c>
      <c r="D38" s="7" t="inlineStr">
        <is>
          <t>17:00</t>
        </is>
      </c>
      <c r="E38" s="7" t="inlineStr">
        <is>
          <t>Kefir, banan, badam</t>
        </is>
      </c>
      <c r="F38" s="7" t="inlineStr">
        <is>
          <t>Kefir (kefir)</t>
        </is>
      </c>
      <c r="G38" s="7" t="n">
        <v>250</v>
      </c>
      <c r="H38" s="7">
        <f>ROUND(G38*INDEX('Qida bazası'!$D:$D,MATCH(F38,'Qida bazası'!$A:$A,0))/100,0)</f>
        <v/>
      </c>
      <c r="I38" s="7">
        <f>ROUND(G38*INDEX('Qida bazası'!$E:$E,MATCH(F38,'Qida bazası'!$A:$A,0))/100,1)</f>
        <v/>
      </c>
      <c r="J38" s="7">
        <f>ROUND(G38*INDEX('Qida bazası'!$F:$F,MATCH(F38,'Qida bazası'!$A:$A,0))/100,1)</f>
        <v/>
      </c>
      <c r="K38" s="7">
        <f>ROUND(G38*INDEX('Qida bazası'!$G:$G,MATCH(F38,'Qida bazası'!$A:$A,0))/100,1)</f>
        <v/>
      </c>
    </row>
    <row r="39">
      <c r="A39" s="6" t="n"/>
      <c r="B39" s="7" t="n"/>
      <c r="C39" s="6" t="n"/>
      <c r="D39" s="7" t="n"/>
      <c r="E39" s="7" t="n"/>
      <c r="F39" s="7" t="inlineStr">
        <is>
          <t>Banan (banana)</t>
        </is>
      </c>
      <c r="G39" s="7" t="n">
        <v>120</v>
      </c>
      <c r="H39" s="7">
        <f>ROUND(G39*INDEX('Qida bazası'!$D:$D,MATCH(F39,'Qida bazası'!$A:$A,0))/100,0)</f>
        <v/>
      </c>
      <c r="I39" s="7">
        <f>ROUND(G39*INDEX('Qida bazası'!$E:$E,MATCH(F39,'Qida bazası'!$A:$A,0))/100,1)</f>
        <v/>
      </c>
      <c r="J39" s="7">
        <f>ROUND(G39*INDEX('Qida bazası'!$F:$F,MATCH(F39,'Qida bazası'!$A:$A,0))/100,1)</f>
        <v/>
      </c>
      <c r="K39" s="7">
        <f>ROUND(G39*INDEX('Qida bazası'!$G:$G,MATCH(F39,'Qida bazası'!$A:$A,0))/100,1)</f>
        <v/>
      </c>
    </row>
    <row r="40">
      <c r="A40" s="6" t="n"/>
      <c r="B40" s="7" t="n"/>
      <c r="C40" s="6" t="n"/>
      <c r="D40" s="7" t="n"/>
      <c r="E40" s="7" t="n"/>
      <c r="F40" s="7" t="inlineStr">
        <is>
          <t>Badam (mandorle)</t>
        </is>
      </c>
      <c r="G40" s="7" t="n">
        <v>20</v>
      </c>
      <c r="H40" s="7">
        <f>ROUND(G40*INDEX('Qida bazası'!$D:$D,MATCH(F40,'Qida bazası'!$A:$A,0))/100,0)</f>
        <v/>
      </c>
      <c r="I40" s="7">
        <f>ROUND(G40*INDEX('Qida bazası'!$E:$E,MATCH(F40,'Qida bazası'!$A:$A,0))/100,1)</f>
        <v/>
      </c>
      <c r="J40" s="7">
        <f>ROUND(G40*INDEX('Qida bazası'!$F:$F,MATCH(F40,'Qida bazası'!$A:$A,0))/100,1)</f>
        <v/>
      </c>
      <c r="K40" s="7">
        <f>ROUND(G40*INDEX('Qida bazası'!$G:$G,MATCH(F40,'Qida bazası'!$A:$A,0))/100,1)</f>
        <v/>
      </c>
    </row>
    <row r="41">
      <c r="A41" s="6" t="n"/>
      <c r="B41" s="7" t="n"/>
      <c r="C41" s="6" t="inlineStr">
        <is>
          <t>Şam yeməyi</t>
        </is>
      </c>
      <c r="D41" s="7" t="inlineStr">
        <is>
          <t>20:30</t>
        </is>
      </c>
      <c r="E41" s="7" t="inlineStr">
        <is>
          <t>Qızılbalıq, kartof, sukkini</t>
        </is>
      </c>
      <c r="F41" s="7" t="inlineStr">
        <is>
          <t>Qızılbalıq (çiy) (salmone)</t>
        </is>
      </c>
      <c r="G41" s="7" t="n">
        <v>130</v>
      </c>
      <c r="H41" s="7">
        <f>ROUND(G41*INDEX('Qida bazası'!$D:$D,MATCH(F41,'Qida bazası'!$A:$A,0))/100,0)</f>
        <v/>
      </c>
      <c r="I41" s="7">
        <f>ROUND(G41*INDEX('Qida bazası'!$E:$E,MATCH(F41,'Qida bazası'!$A:$A,0))/100,1)</f>
        <v/>
      </c>
      <c r="J41" s="7">
        <f>ROUND(G41*INDEX('Qida bazası'!$F:$F,MATCH(F41,'Qida bazası'!$A:$A,0))/100,1)</f>
        <v/>
      </c>
      <c r="K41" s="7">
        <f>ROUND(G41*INDEX('Qida bazası'!$G:$G,MATCH(F41,'Qida bazası'!$A:$A,0))/100,1)</f>
        <v/>
      </c>
    </row>
    <row r="42">
      <c r="A42" s="6" t="n"/>
      <c r="B42" s="7" t="n"/>
      <c r="C42" s="6" t="n"/>
      <c r="D42" s="7" t="n"/>
      <c r="E42" s="7" t="n"/>
      <c r="F42" s="7" t="inlineStr">
        <is>
          <t>Kartof (patate)</t>
        </is>
      </c>
      <c r="G42" s="7" t="n">
        <v>300</v>
      </c>
      <c r="H42" s="7">
        <f>ROUND(G42*INDEX('Qida bazası'!$D:$D,MATCH(F42,'Qida bazası'!$A:$A,0))/100,0)</f>
        <v/>
      </c>
      <c r="I42" s="7">
        <f>ROUND(G42*INDEX('Qida bazası'!$E:$E,MATCH(F42,'Qida bazası'!$A:$A,0))/100,1)</f>
        <v/>
      </c>
      <c r="J42" s="7">
        <f>ROUND(G42*INDEX('Qida bazası'!$F:$F,MATCH(F42,'Qida bazası'!$A:$A,0))/100,1)</f>
        <v/>
      </c>
      <c r="K42" s="7">
        <f>ROUND(G42*INDEX('Qida bazası'!$G:$G,MATCH(F42,'Qida bazası'!$A:$A,0))/100,1)</f>
        <v/>
      </c>
    </row>
    <row r="43">
      <c r="A43" s="6" t="n"/>
      <c r="B43" s="7" t="n"/>
      <c r="C43" s="6" t="n"/>
      <c r="D43" s="7" t="n"/>
      <c r="E43" s="7" t="n"/>
      <c r="F43" s="7" t="inlineStr">
        <is>
          <t>Sukkini (balqabaq) (zucchine)</t>
        </is>
      </c>
      <c r="G43" s="7" t="n">
        <v>200</v>
      </c>
      <c r="H43" s="7">
        <f>ROUND(G43*INDEX('Qida bazası'!$D:$D,MATCH(F43,'Qida bazası'!$A:$A,0))/100,0)</f>
        <v/>
      </c>
      <c r="I43" s="7">
        <f>ROUND(G43*INDEX('Qida bazası'!$E:$E,MATCH(F43,'Qida bazası'!$A:$A,0))/100,1)</f>
        <v/>
      </c>
      <c r="J43" s="7">
        <f>ROUND(G43*INDEX('Qida bazası'!$F:$F,MATCH(F43,'Qida bazası'!$A:$A,0))/100,1)</f>
        <v/>
      </c>
      <c r="K43" s="7">
        <f>ROUND(G43*INDEX('Qida bazası'!$G:$G,MATCH(F43,'Qida bazası'!$A:$A,0))/100,1)</f>
        <v/>
      </c>
    </row>
    <row r="44">
      <c r="A44" s="6" t="n"/>
      <c r="B44" s="7" t="n"/>
      <c r="C44" s="6" t="n"/>
      <c r="D44" s="7" t="n"/>
      <c r="E44" s="7" t="n"/>
      <c r="F44" s="7" t="inlineStr">
        <is>
          <t>Zeytun yağı (olio extravergine)</t>
        </is>
      </c>
      <c r="G44" s="7" t="n">
        <v>5</v>
      </c>
      <c r="H44" s="7">
        <f>ROUND(G44*INDEX('Qida bazası'!$D:$D,MATCH(F44,'Qida bazası'!$A:$A,0))/100,0)</f>
        <v/>
      </c>
      <c r="I44" s="7">
        <f>ROUND(G44*INDEX('Qida bazası'!$E:$E,MATCH(F44,'Qida bazası'!$A:$A,0))/100,1)</f>
        <v/>
      </c>
      <c r="J44" s="7">
        <f>ROUND(G44*INDEX('Qida bazası'!$F:$F,MATCH(F44,'Qida bazası'!$A:$A,0))/100,1)</f>
        <v/>
      </c>
      <c r="K44" s="7">
        <f>ROUND(G44*INDEX('Qida bazası'!$G:$G,MATCH(F44,'Qida bazası'!$A:$A,0))/100,1)</f>
        <v/>
      </c>
    </row>
    <row r="45">
      <c r="F45" s="6" t="inlineStr">
        <is>
          <t>Cəmi: Çərşənbə axşamı</t>
        </is>
      </c>
      <c r="H45" s="27">
        <f>SUM(H26:H44)</f>
        <v/>
      </c>
      <c r="I45" s="27">
        <f>SUM(I26:I44)</f>
        <v/>
      </c>
      <c r="J45" s="27">
        <f>SUM(J26:J44)</f>
        <v/>
      </c>
      <c r="K45" s="27">
        <f>SUM(K26:K44)</f>
        <v/>
      </c>
    </row>
    <row r="46">
      <c r="G46" s="9" t="inlineStr">
        <is>
          <t>norma</t>
        </is>
      </c>
      <c r="H46" s="28">
        <f>Profil!$B$16</f>
        <v/>
      </c>
      <c r="I46" s="29">
        <f>Profil!$B$20</f>
        <v/>
      </c>
    </row>
    <row r="47"/>
    <row r="48">
      <c r="A48" s="6" t="inlineStr">
        <is>
          <t>Çərşənbə</t>
        </is>
      </c>
      <c r="B48" s="7" t="inlineStr">
        <is>
          <t>Zal</t>
        </is>
      </c>
      <c r="C48" s="6" t="inlineStr">
        <is>
          <t>Səhər yeməyi</t>
        </is>
      </c>
      <c r="D48" s="7" t="inlineStr">
        <is>
          <t>08:00</t>
        </is>
      </c>
      <c r="E48" s="7" t="inlineStr">
        <is>
          <t>Kəsmik, yulaf, kivi</t>
        </is>
      </c>
      <c r="F48" s="7" t="inlineStr">
        <is>
          <t>Dənəli kəsmik (fiocchi di latte)</t>
        </is>
      </c>
      <c r="G48" s="7" t="n">
        <v>150</v>
      </c>
      <c r="H48" s="7">
        <f>ROUND(G48*INDEX('Qida bazası'!$D:$D,MATCH(F48,'Qida bazası'!$A:$A,0))/100,0)</f>
        <v/>
      </c>
      <c r="I48" s="7">
        <f>ROUND(G48*INDEX('Qida bazası'!$E:$E,MATCH(F48,'Qida bazası'!$A:$A,0))/100,1)</f>
        <v/>
      </c>
      <c r="J48" s="7">
        <f>ROUND(G48*INDEX('Qida bazası'!$F:$F,MATCH(F48,'Qida bazası'!$A:$A,0))/100,1)</f>
        <v/>
      </c>
      <c r="K48" s="7">
        <f>ROUND(G48*INDEX('Qida bazası'!$G:$G,MATCH(F48,'Qida bazası'!$A:$A,0))/100,1)</f>
        <v/>
      </c>
    </row>
    <row r="49">
      <c r="A49" s="6" t="n"/>
      <c r="B49" s="7" t="n"/>
      <c r="C49" s="6" t="n"/>
      <c r="D49" s="7" t="n"/>
      <c r="E49" s="7" t="n"/>
      <c r="F49" s="7" t="inlineStr">
        <is>
          <t>Yulaf yarması (fiocchi d'avena)</t>
        </is>
      </c>
      <c r="G49" s="7" t="n">
        <v>80</v>
      </c>
      <c r="H49" s="7">
        <f>ROUND(G49*INDEX('Qida bazası'!$D:$D,MATCH(F49,'Qida bazası'!$A:$A,0))/100,0)</f>
        <v/>
      </c>
      <c r="I49" s="7">
        <f>ROUND(G49*INDEX('Qida bazası'!$E:$E,MATCH(F49,'Qida bazası'!$A:$A,0))/100,1)</f>
        <v/>
      </c>
      <c r="J49" s="7">
        <f>ROUND(G49*INDEX('Qida bazası'!$F:$F,MATCH(F49,'Qida bazası'!$A:$A,0))/100,1)</f>
        <v/>
      </c>
      <c r="K49" s="7">
        <f>ROUND(G49*INDEX('Qida bazası'!$G:$G,MATCH(F49,'Qida bazası'!$A:$A,0))/100,1)</f>
        <v/>
      </c>
    </row>
    <row r="50">
      <c r="A50" s="6" t="n"/>
      <c r="B50" s="7" t="n"/>
      <c r="C50" s="6" t="n"/>
      <c r="D50" s="7" t="n"/>
      <c r="E50" s="7" t="n"/>
      <c r="F50" s="7" t="inlineStr">
        <is>
          <t>Süd 1,5% (latte parzialmente scremato)</t>
        </is>
      </c>
      <c r="G50" s="7" t="n">
        <v>200</v>
      </c>
      <c r="H50" s="7">
        <f>ROUND(G50*INDEX('Qida bazası'!$D:$D,MATCH(F50,'Qida bazası'!$A:$A,0))/100,0)</f>
        <v/>
      </c>
      <c r="I50" s="7">
        <f>ROUND(G50*INDEX('Qida bazası'!$E:$E,MATCH(F50,'Qida bazası'!$A:$A,0))/100,1)</f>
        <v/>
      </c>
      <c r="J50" s="7">
        <f>ROUND(G50*INDEX('Qida bazası'!$F:$F,MATCH(F50,'Qida bazası'!$A:$A,0))/100,1)</f>
        <v/>
      </c>
      <c r="K50" s="7">
        <f>ROUND(G50*INDEX('Qida bazası'!$G:$G,MATCH(F50,'Qida bazası'!$A:$A,0))/100,1)</f>
        <v/>
      </c>
    </row>
    <row r="51">
      <c r="A51" s="6" t="n"/>
      <c r="B51" s="7" t="n"/>
      <c r="C51" s="6" t="n"/>
      <c r="D51" s="7" t="n"/>
      <c r="E51" s="7" t="n"/>
      <c r="F51" s="7" t="inlineStr">
        <is>
          <t>Kivi (kiwi)</t>
        </is>
      </c>
      <c r="G51" s="7" t="n">
        <v>150</v>
      </c>
      <c r="H51" s="7">
        <f>ROUND(G51*INDEX('Qida bazası'!$D:$D,MATCH(F51,'Qida bazası'!$A:$A,0))/100,0)</f>
        <v/>
      </c>
      <c r="I51" s="7">
        <f>ROUND(G51*INDEX('Qida bazası'!$E:$E,MATCH(F51,'Qida bazası'!$A:$A,0))/100,1)</f>
        <v/>
      </c>
      <c r="J51" s="7">
        <f>ROUND(G51*INDEX('Qida bazası'!$F:$F,MATCH(F51,'Qida bazası'!$A:$A,0))/100,1)</f>
        <v/>
      </c>
      <c r="K51" s="7">
        <f>ROUND(G51*INDEX('Qida bazası'!$G:$G,MATCH(F51,'Qida bazası'!$A:$A,0))/100,1)</f>
        <v/>
      </c>
    </row>
    <row r="52">
      <c r="A52" s="6" t="n"/>
      <c r="B52" s="7" t="n"/>
      <c r="C52" s="6" t="inlineStr">
        <is>
          <t>Qəlyanaltı 1</t>
        </is>
      </c>
      <c r="D52" s="7" t="inlineStr">
        <is>
          <t>11:00</t>
        </is>
      </c>
      <c r="E52" s="7" t="inlineStr">
        <is>
          <t>Piadina + bişmiş vetçina</t>
        </is>
      </c>
      <c r="F52" s="7" t="inlineStr">
        <is>
          <t>Piadina (piadina romagnola)</t>
        </is>
      </c>
      <c r="G52" s="7" t="n">
        <v>110</v>
      </c>
      <c r="H52" s="7">
        <f>ROUND(G52*INDEX('Qida bazası'!$D:$D,MATCH(F52,'Qida bazası'!$A:$A,0))/100,0)</f>
        <v/>
      </c>
      <c r="I52" s="7">
        <f>ROUND(G52*INDEX('Qida bazası'!$E:$E,MATCH(F52,'Qida bazası'!$A:$A,0))/100,1)</f>
        <v/>
      </c>
      <c r="J52" s="7">
        <f>ROUND(G52*INDEX('Qida bazası'!$F:$F,MATCH(F52,'Qida bazası'!$A:$A,0))/100,1)</f>
        <v/>
      </c>
      <c r="K52" s="7">
        <f>ROUND(G52*INDEX('Qida bazası'!$G:$G,MATCH(F52,'Qida bazası'!$A:$A,0))/100,1)</f>
        <v/>
      </c>
    </row>
    <row r="53">
      <c r="A53" s="6" t="n"/>
      <c r="B53" s="7" t="n"/>
      <c r="C53" s="6" t="n"/>
      <c r="D53" s="7" t="n"/>
      <c r="E53" s="7" t="n"/>
      <c r="F53" s="7" t="inlineStr">
        <is>
          <t>Bişmiş vetçina (prosciutto cotto)</t>
        </is>
      </c>
      <c r="G53" s="7" t="n">
        <v>60</v>
      </c>
      <c r="H53" s="7">
        <f>ROUND(G53*INDEX('Qida bazası'!$D:$D,MATCH(F53,'Qida bazası'!$A:$A,0))/100,0)</f>
        <v/>
      </c>
      <c r="I53" s="7">
        <f>ROUND(G53*INDEX('Qida bazası'!$E:$E,MATCH(F53,'Qida bazası'!$A:$A,0))/100,1)</f>
        <v/>
      </c>
      <c r="J53" s="7">
        <f>ROUND(G53*INDEX('Qida bazası'!$F:$F,MATCH(F53,'Qida bazası'!$A:$A,0))/100,1)</f>
        <v/>
      </c>
      <c r="K53" s="7">
        <f>ROUND(G53*INDEX('Qida bazası'!$G:$G,MATCH(F53,'Qida bazası'!$A:$A,0))/100,1)</f>
        <v/>
      </c>
    </row>
    <row r="54">
      <c r="A54" s="6" t="n"/>
      <c r="B54" s="7" t="n"/>
      <c r="C54" s="6" t="inlineStr">
        <is>
          <t>Nahar</t>
        </is>
      </c>
      <c r="D54" s="7" t="inlineStr">
        <is>
          <t>13:30</t>
        </is>
      </c>
      <c r="E54" s="7" t="inlineStr">
        <is>
          <t>Mal qiyməsi, düyü, salat</t>
        </is>
      </c>
      <c r="F54" s="7" t="inlineStr">
        <is>
          <t>Mal qiyməsi 5% (çiy) (macinato magro di manzo)</t>
        </is>
      </c>
      <c r="G54" s="7" t="n">
        <v>150</v>
      </c>
      <c r="H54" s="7">
        <f>ROUND(G54*INDEX('Qida bazası'!$D:$D,MATCH(F54,'Qida bazası'!$A:$A,0))/100,0)</f>
        <v/>
      </c>
      <c r="I54" s="7">
        <f>ROUND(G54*INDEX('Qida bazası'!$E:$E,MATCH(F54,'Qida bazası'!$A:$A,0))/100,1)</f>
        <v/>
      </c>
      <c r="J54" s="7">
        <f>ROUND(G54*INDEX('Qida bazası'!$F:$F,MATCH(F54,'Qida bazası'!$A:$A,0))/100,1)</f>
        <v/>
      </c>
      <c r="K54" s="7">
        <f>ROUND(G54*INDEX('Qida bazası'!$G:$G,MATCH(F54,'Qida bazası'!$A:$A,0))/100,1)</f>
        <v/>
      </c>
    </row>
    <row r="55">
      <c r="A55" s="6" t="n"/>
      <c r="B55" s="7" t="n"/>
      <c r="C55" s="6" t="n"/>
      <c r="D55" s="7" t="n"/>
      <c r="E55" s="7" t="n"/>
      <c r="F55" s="7" t="inlineStr">
        <is>
          <t>Düyü (çiy) (riso)</t>
        </is>
      </c>
      <c r="G55" s="7" t="n">
        <v>120</v>
      </c>
      <c r="H55" s="7">
        <f>ROUND(G55*INDEX('Qida bazası'!$D:$D,MATCH(F55,'Qida bazası'!$A:$A,0))/100,0)</f>
        <v/>
      </c>
      <c r="I55" s="7">
        <f>ROUND(G55*INDEX('Qida bazası'!$E:$E,MATCH(F55,'Qida bazası'!$A:$A,0))/100,1)</f>
        <v/>
      </c>
      <c r="J55" s="7">
        <f>ROUND(G55*INDEX('Qida bazası'!$F:$F,MATCH(F55,'Qida bazası'!$A:$A,0))/100,1)</f>
        <v/>
      </c>
      <c r="K55" s="7">
        <f>ROUND(G55*INDEX('Qida bazası'!$G:$G,MATCH(F55,'Qida bazası'!$A:$A,0))/100,1)</f>
        <v/>
      </c>
    </row>
    <row r="56">
      <c r="A56" s="6" t="n"/>
      <c r="B56" s="7" t="n"/>
      <c r="C56" s="6" t="n"/>
      <c r="D56" s="7" t="n"/>
      <c r="E56" s="7" t="n"/>
      <c r="F56" s="7" t="inlineStr">
        <is>
          <t>Yaşıl salat (insalata)</t>
        </is>
      </c>
      <c r="G56" s="7" t="n">
        <v>100</v>
      </c>
      <c r="H56" s="7">
        <f>ROUND(G56*INDEX('Qida bazası'!$D:$D,MATCH(F56,'Qida bazası'!$A:$A,0))/100,0)</f>
        <v/>
      </c>
      <c r="I56" s="7">
        <f>ROUND(G56*INDEX('Qida bazası'!$E:$E,MATCH(F56,'Qida bazası'!$A:$A,0))/100,1)</f>
        <v/>
      </c>
      <c r="J56" s="7">
        <f>ROUND(G56*INDEX('Qida bazası'!$F:$F,MATCH(F56,'Qida bazası'!$A:$A,0))/100,1)</f>
        <v/>
      </c>
      <c r="K56" s="7">
        <f>ROUND(G56*INDEX('Qida bazası'!$G:$G,MATCH(F56,'Qida bazası'!$A:$A,0))/100,1)</f>
        <v/>
      </c>
    </row>
    <row r="57">
      <c r="A57" s="6" t="n"/>
      <c r="B57" s="7" t="n"/>
      <c r="C57" s="6" t="n"/>
      <c r="D57" s="7" t="n"/>
      <c r="E57" s="7" t="n"/>
      <c r="F57" s="7" t="inlineStr">
        <is>
          <t>Zeytun yağı (olio extravergine)</t>
        </is>
      </c>
      <c r="G57" s="7" t="n">
        <v>10</v>
      </c>
      <c r="H57" s="7">
        <f>ROUND(G57*INDEX('Qida bazası'!$D:$D,MATCH(F57,'Qida bazası'!$A:$A,0))/100,0)</f>
        <v/>
      </c>
      <c r="I57" s="7">
        <f>ROUND(G57*INDEX('Qida bazası'!$E:$E,MATCH(F57,'Qida bazası'!$A:$A,0))/100,1)</f>
        <v/>
      </c>
      <c r="J57" s="7">
        <f>ROUND(G57*INDEX('Qida bazası'!$F:$F,MATCH(F57,'Qida bazası'!$A:$A,0))/100,1)</f>
        <v/>
      </c>
      <c r="K57" s="7">
        <f>ROUND(G57*INDEX('Qida bazası'!$G:$G,MATCH(F57,'Qida bazası'!$A:$A,0))/100,1)</f>
        <v/>
      </c>
    </row>
    <row r="58">
      <c r="A58" s="6" t="n"/>
      <c r="B58" s="7" t="n"/>
      <c r="C58" s="6" t="inlineStr">
        <is>
          <t>Qəlyanaltı 2</t>
        </is>
      </c>
      <c r="D58" s="7" t="inlineStr">
        <is>
          <t>17:00</t>
        </is>
      </c>
      <c r="E58" s="7" t="inlineStr">
        <is>
          <t>Yunan yoqurtu, banan, bal</t>
        </is>
      </c>
      <c r="F58" s="7" t="inlineStr">
        <is>
          <t>Yunan yoqurtu 0% (yogurt greco 0%)</t>
        </is>
      </c>
      <c r="G58" s="7" t="n">
        <v>170</v>
      </c>
      <c r="H58" s="7">
        <f>ROUND(G58*INDEX('Qida bazası'!$D:$D,MATCH(F58,'Qida bazası'!$A:$A,0))/100,0)</f>
        <v/>
      </c>
      <c r="I58" s="7">
        <f>ROUND(G58*INDEX('Qida bazası'!$E:$E,MATCH(F58,'Qida bazası'!$A:$A,0))/100,1)</f>
        <v/>
      </c>
      <c r="J58" s="7">
        <f>ROUND(G58*INDEX('Qida bazası'!$F:$F,MATCH(F58,'Qida bazası'!$A:$A,0))/100,1)</f>
        <v/>
      </c>
      <c r="K58" s="7">
        <f>ROUND(G58*INDEX('Qida bazası'!$G:$G,MATCH(F58,'Qida bazası'!$A:$A,0))/100,1)</f>
        <v/>
      </c>
    </row>
    <row r="59">
      <c r="A59" s="6" t="n"/>
      <c r="B59" s="7" t="n"/>
      <c r="C59" s="6" t="n"/>
      <c r="D59" s="7" t="n"/>
      <c r="E59" s="7" t="n"/>
      <c r="F59" s="7" t="inlineStr">
        <is>
          <t>Banan (banana)</t>
        </is>
      </c>
      <c r="G59" s="7" t="n">
        <v>120</v>
      </c>
      <c r="H59" s="7">
        <f>ROUND(G59*INDEX('Qida bazası'!$D:$D,MATCH(F59,'Qida bazası'!$A:$A,0))/100,0)</f>
        <v/>
      </c>
      <c r="I59" s="7">
        <f>ROUND(G59*INDEX('Qida bazası'!$E:$E,MATCH(F59,'Qida bazası'!$A:$A,0))/100,1)</f>
        <v/>
      </c>
      <c r="J59" s="7">
        <f>ROUND(G59*INDEX('Qida bazası'!$F:$F,MATCH(F59,'Qida bazası'!$A:$A,0))/100,1)</f>
        <v/>
      </c>
      <c r="K59" s="7">
        <f>ROUND(G59*INDEX('Qida bazası'!$G:$G,MATCH(F59,'Qida bazası'!$A:$A,0))/100,1)</f>
        <v/>
      </c>
    </row>
    <row r="60">
      <c r="A60" s="6" t="n"/>
      <c r="B60" s="7" t="n"/>
      <c r="C60" s="6" t="n"/>
      <c r="D60" s="7" t="n"/>
      <c r="E60" s="7" t="n"/>
      <c r="F60" s="7" t="inlineStr">
        <is>
          <t>Bal (miele)</t>
        </is>
      </c>
      <c r="G60" s="7" t="n">
        <v>10</v>
      </c>
      <c r="H60" s="7">
        <f>ROUND(G60*INDEX('Qida bazası'!$D:$D,MATCH(F60,'Qida bazası'!$A:$A,0))/100,0)</f>
        <v/>
      </c>
      <c r="I60" s="7">
        <f>ROUND(G60*INDEX('Qida bazası'!$E:$E,MATCH(F60,'Qida bazası'!$A:$A,0))/100,1)</f>
        <v/>
      </c>
      <c r="J60" s="7">
        <f>ROUND(G60*INDEX('Qida bazası'!$F:$F,MATCH(F60,'Qida bazası'!$A:$A,0))/100,1)</f>
        <v/>
      </c>
      <c r="K60" s="7">
        <f>ROUND(G60*INDEX('Qida bazası'!$G:$G,MATCH(F60,'Qida bazası'!$A:$A,0))/100,1)</f>
        <v/>
      </c>
    </row>
    <row r="61">
      <c r="A61" s="6" t="n"/>
      <c r="B61" s="7" t="n"/>
      <c r="C61" s="6" t="n"/>
      <c r="D61" s="7" t="n"/>
      <c r="E61" s="7" t="n"/>
      <c r="F61" s="7" t="inlineStr">
        <is>
          <t>Düyü qalletası (gallette di riso)</t>
        </is>
      </c>
      <c r="G61" s="7" t="n">
        <v>16</v>
      </c>
      <c r="H61" s="7">
        <f>ROUND(G61*INDEX('Qida bazası'!$D:$D,MATCH(F61,'Qida bazası'!$A:$A,0))/100,0)</f>
        <v/>
      </c>
      <c r="I61" s="7">
        <f>ROUND(G61*INDEX('Qida bazası'!$E:$E,MATCH(F61,'Qida bazası'!$A:$A,0))/100,1)</f>
        <v/>
      </c>
      <c r="J61" s="7">
        <f>ROUND(G61*INDEX('Qida bazası'!$F:$F,MATCH(F61,'Qida bazası'!$A:$A,0))/100,1)</f>
        <v/>
      </c>
      <c r="K61" s="7">
        <f>ROUND(G61*INDEX('Qida bazası'!$G:$G,MATCH(F61,'Qida bazası'!$A:$A,0))/100,1)</f>
        <v/>
      </c>
    </row>
    <row r="62">
      <c r="A62" s="6" t="n"/>
      <c r="B62" s="7" t="n"/>
      <c r="C62" s="6" t="inlineStr">
        <is>
          <t>Şam yeməyi</t>
        </is>
      </c>
      <c r="D62" s="7" t="inlineStr">
        <is>
          <t>20:30</t>
        </is>
      </c>
      <c r="E62" s="7" t="inlineStr">
        <is>
          <t>Hind toyuğu, batat, ispanaq</t>
        </is>
      </c>
      <c r="F62" s="7" t="inlineStr">
        <is>
          <t>Hind toyuğu döşü (çiy) (fesa di tacchino)</t>
        </is>
      </c>
      <c r="G62" s="7" t="n">
        <v>150</v>
      </c>
      <c r="H62" s="7">
        <f>ROUND(G62*INDEX('Qida bazası'!$D:$D,MATCH(F62,'Qida bazası'!$A:$A,0))/100,0)</f>
        <v/>
      </c>
      <c r="I62" s="7">
        <f>ROUND(G62*INDEX('Qida bazası'!$E:$E,MATCH(F62,'Qida bazası'!$A:$A,0))/100,1)</f>
        <v/>
      </c>
      <c r="J62" s="7">
        <f>ROUND(G62*INDEX('Qida bazası'!$F:$F,MATCH(F62,'Qida bazası'!$A:$A,0))/100,1)</f>
        <v/>
      </c>
      <c r="K62" s="7">
        <f>ROUND(G62*INDEX('Qida bazası'!$G:$G,MATCH(F62,'Qida bazası'!$A:$A,0))/100,1)</f>
        <v/>
      </c>
    </row>
    <row r="63">
      <c r="A63" s="6" t="n"/>
      <c r="B63" s="7" t="n"/>
      <c r="C63" s="6" t="n"/>
      <c r="D63" s="7" t="n"/>
      <c r="E63" s="7" t="n"/>
      <c r="F63" s="7" t="inlineStr">
        <is>
          <t>Batat (patata dolce)</t>
        </is>
      </c>
      <c r="G63" s="7" t="n">
        <v>350</v>
      </c>
      <c r="H63" s="7">
        <f>ROUND(G63*INDEX('Qida bazası'!$D:$D,MATCH(F63,'Qida bazası'!$A:$A,0))/100,0)</f>
        <v/>
      </c>
      <c r="I63" s="7">
        <f>ROUND(G63*INDEX('Qida bazası'!$E:$E,MATCH(F63,'Qida bazası'!$A:$A,0))/100,1)</f>
        <v/>
      </c>
      <c r="J63" s="7">
        <f>ROUND(G63*INDEX('Qida bazası'!$F:$F,MATCH(F63,'Qida bazası'!$A:$A,0))/100,1)</f>
        <v/>
      </c>
      <c r="K63" s="7">
        <f>ROUND(G63*INDEX('Qida bazası'!$G:$G,MATCH(F63,'Qida bazası'!$A:$A,0))/100,1)</f>
        <v/>
      </c>
    </row>
    <row r="64">
      <c r="A64" s="6" t="n"/>
      <c r="B64" s="7" t="n"/>
      <c r="C64" s="6" t="n"/>
      <c r="D64" s="7" t="n"/>
      <c r="E64" s="7" t="n"/>
      <c r="F64" s="7" t="inlineStr">
        <is>
          <t>İspanaq (spinaci)</t>
        </is>
      </c>
      <c r="G64" s="7" t="n">
        <v>150</v>
      </c>
      <c r="H64" s="7">
        <f>ROUND(G64*INDEX('Qida bazası'!$D:$D,MATCH(F64,'Qida bazası'!$A:$A,0))/100,0)</f>
        <v/>
      </c>
      <c r="I64" s="7">
        <f>ROUND(G64*INDEX('Qida bazası'!$E:$E,MATCH(F64,'Qida bazası'!$A:$A,0))/100,1)</f>
        <v/>
      </c>
      <c r="J64" s="7">
        <f>ROUND(G64*INDEX('Qida bazası'!$F:$F,MATCH(F64,'Qida bazası'!$A:$A,0))/100,1)</f>
        <v/>
      </c>
      <c r="K64" s="7">
        <f>ROUND(G64*INDEX('Qida bazası'!$G:$G,MATCH(F64,'Qida bazası'!$A:$A,0))/100,1)</f>
        <v/>
      </c>
    </row>
    <row r="65">
      <c r="A65" s="6" t="n"/>
      <c r="B65" s="7" t="n"/>
      <c r="C65" s="6" t="n"/>
      <c r="D65" s="7" t="n"/>
      <c r="E65" s="7" t="n"/>
      <c r="F65" s="7" t="inlineStr">
        <is>
          <t>Zeytun yağı (olio extravergine)</t>
        </is>
      </c>
      <c r="G65" s="7" t="n">
        <v>10</v>
      </c>
      <c r="H65" s="7">
        <f>ROUND(G65*INDEX('Qida bazası'!$D:$D,MATCH(F65,'Qida bazası'!$A:$A,0))/100,0)</f>
        <v/>
      </c>
      <c r="I65" s="7">
        <f>ROUND(G65*INDEX('Qida bazası'!$E:$E,MATCH(F65,'Qida bazası'!$A:$A,0))/100,1)</f>
        <v/>
      </c>
      <c r="J65" s="7">
        <f>ROUND(G65*INDEX('Qida bazası'!$F:$F,MATCH(F65,'Qida bazası'!$A:$A,0))/100,1)</f>
        <v/>
      </c>
      <c r="K65" s="7">
        <f>ROUND(G65*INDEX('Qida bazası'!$G:$G,MATCH(F65,'Qida bazası'!$A:$A,0))/100,1)</f>
        <v/>
      </c>
    </row>
    <row r="66">
      <c r="F66" s="6" t="inlineStr">
        <is>
          <t>Cəmi: Çərşənbə</t>
        </is>
      </c>
      <c r="H66" s="27">
        <f>SUM(H48:H65)</f>
        <v/>
      </c>
      <c r="I66" s="27">
        <f>SUM(I48:I65)</f>
        <v/>
      </c>
      <c r="J66" s="27">
        <f>SUM(J48:J65)</f>
        <v/>
      </c>
      <c r="K66" s="27">
        <f>SUM(K48:K65)</f>
        <v/>
      </c>
    </row>
    <row r="67">
      <c r="G67" s="9" t="inlineStr">
        <is>
          <t>norma</t>
        </is>
      </c>
      <c r="H67" s="28">
        <f>Profil!$B$17</f>
        <v/>
      </c>
      <c r="I67" s="29">
        <f>Profil!$B$20</f>
        <v/>
      </c>
    </row>
    <row r="68"/>
    <row r="69">
      <c r="A69" s="6" t="inlineStr">
        <is>
          <t>Cümə axşamı</t>
        </is>
      </c>
      <c r="B69" s="7" t="inlineStr">
        <is>
          <t>İstirahət</t>
        </is>
      </c>
      <c r="C69" s="6" t="inlineStr">
        <is>
          <t>Səhər yeməyi</t>
        </is>
      </c>
      <c r="D69" s="7" t="inlineStr">
        <is>
          <t>08:00</t>
        </is>
      </c>
      <c r="E69" s="7" t="inlineStr">
        <is>
          <t>Yulaf, süd, alma, qoz</t>
        </is>
      </c>
      <c r="F69" s="7" t="inlineStr">
        <is>
          <t>Yulaf yarması (fiocchi d'avena)</t>
        </is>
      </c>
      <c r="G69" s="7" t="n">
        <v>80</v>
      </c>
      <c r="H69" s="7">
        <f>ROUND(G69*INDEX('Qida bazası'!$D:$D,MATCH(F69,'Qida bazası'!$A:$A,0))/100,0)</f>
        <v/>
      </c>
      <c r="I69" s="7">
        <f>ROUND(G69*INDEX('Qida bazası'!$E:$E,MATCH(F69,'Qida bazası'!$A:$A,0))/100,1)</f>
        <v/>
      </c>
      <c r="J69" s="7">
        <f>ROUND(G69*INDEX('Qida bazası'!$F:$F,MATCH(F69,'Qida bazası'!$A:$A,0))/100,1)</f>
        <v/>
      </c>
      <c r="K69" s="7">
        <f>ROUND(G69*INDEX('Qida bazası'!$G:$G,MATCH(F69,'Qida bazası'!$A:$A,0))/100,1)</f>
        <v/>
      </c>
    </row>
    <row r="70">
      <c r="A70" s="6" t="n"/>
      <c r="B70" s="7" t="n"/>
      <c r="C70" s="6" t="n"/>
      <c r="D70" s="7" t="n"/>
      <c r="E70" s="7" t="n"/>
      <c r="F70" s="7" t="inlineStr">
        <is>
          <t>Süd 1,5% (latte parzialmente scremato)</t>
        </is>
      </c>
      <c r="G70" s="7" t="n">
        <v>250</v>
      </c>
      <c r="H70" s="7">
        <f>ROUND(G70*INDEX('Qida bazası'!$D:$D,MATCH(F70,'Qida bazası'!$A:$A,0))/100,0)</f>
        <v/>
      </c>
      <c r="I70" s="7">
        <f>ROUND(G70*INDEX('Qida bazası'!$E:$E,MATCH(F70,'Qida bazası'!$A:$A,0))/100,1)</f>
        <v/>
      </c>
      <c r="J70" s="7">
        <f>ROUND(G70*INDEX('Qida bazası'!$F:$F,MATCH(F70,'Qida bazası'!$A:$A,0))/100,1)</f>
        <v/>
      </c>
      <c r="K70" s="7">
        <f>ROUND(G70*INDEX('Qida bazası'!$G:$G,MATCH(F70,'Qida bazası'!$A:$A,0))/100,1)</f>
        <v/>
      </c>
    </row>
    <row r="71">
      <c r="A71" s="6" t="n"/>
      <c r="B71" s="7" t="n"/>
      <c r="C71" s="6" t="n"/>
      <c r="D71" s="7" t="n"/>
      <c r="E71" s="7" t="n"/>
      <c r="F71" s="7" t="inlineStr">
        <is>
          <t>Alma (mela)</t>
        </is>
      </c>
      <c r="G71" s="7" t="n">
        <v>180</v>
      </c>
      <c r="H71" s="7">
        <f>ROUND(G71*INDEX('Qida bazası'!$D:$D,MATCH(F71,'Qida bazası'!$A:$A,0))/100,0)</f>
        <v/>
      </c>
      <c r="I71" s="7">
        <f>ROUND(G71*INDEX('Qida bazası'!$E:$E,MATCH(F71,'Qida bazası'!$A:$A,0))/100,1)</f>
        <v/>
      </c>
      <c r="J71" s="7">
        <f>ROUND(G71*INDEX('Qida bazası'!$F:$F,MATCH(F71,'Qida bazası'!$A:$A,0))/100,1)</f>
        <v/>
      </c>
      <c r="K71" s="7">
        <f>ROUND(G71*INDEX('Qida bazası'!$G:$G,MATCH(F71,'Qida bazası'!$A:$A,0))/100,1)</f>
        <v/>
      </c>
    </row>
    <row r="72">
      <c r="A72" s="6" t="n"/>
      <c r="B72" s="7" t="n"/>
      <c r="C72" s="6" t="n"/>
      <c r="D72" s="7" t="n"/>
      <c r="E72" s="7" t="n"/>
      <c r="F72" s="7" t="inlineStr">
        <is>
          <t>Qoz (noci)</t>
        </is>
      </c>
      <c r="G72" s="7" t="n">
        <v>15</v>
      </c>
      <c r="H72" s="7">
        <f>ROUND(G72*INDEX('Qida bazası'!$D:$D,MATCH(F72,'Qida bazası'!$A:$A,0))/100,0)</f>
        <v/>
      </c>
      <c r="I72" s="7">
        <f>ROUND(G72*INDEX('Qida bazası'!$E:$E,MATCH(F72,'Qida bazası'!$A:$A,0))/100,1)</f>
        <v/>
      </c>
      <c r="J72" s="7">
        <f>ROUND(G72*INDEX('Qida bazası'!$F:$F,MATCH(F72,'Qida bazası'!$A:$A,0))/100,1)</f>
        <v/>
      </c>
      <c r="K72" s="7">
        <f>ROUND(G72*INDEX('Qida bazası'!$G:$G,MATCH(F72,'Qida bazası'!$A:$A,0))/100,1)</f>
        <v/>
      </c>
    </row>
    <row r="73">
      <c r="A73" s="6" t="n"/>
      <c r="B73" s="7" t="n"/>
      <c r="C73" s="6" t="inlineStr">
        <is>
          <t>Qəlyanaltı 1</t>
        </is>
      </c>
      <c r="D73" s="7" t="inlineStr">
        <is>
          <t>11:00</t>
        </is>
      </c>
      <c r="E73" s="7" t="inlineStr">
        <is>
          <t>Rikotta, bal, çörək</t>
        </is>
      </c>
      <c r="F73" s="7" t="inlineStr">
        <is>
          <t>Rikotta (ricotta vaccina)</t>
        </is>
      </c>
      <c r="G73" s="7" t="n">
        <v>100</v>
      </c>
      <c r="H73" s="7">
        <f>ROUND(G73*INDEX('Qida bazası'!$D:$D,MATCH(F73,'Qida bazası'!$A:$A,0))/100,0)</f>
        <v/>
      </c>
      <c r="I73" s="7">
        <f>ROUND(G73*INDEX('Qida bazası'!$E:$E,MATCH(F73,'Qida bazası'!$A:$A,0))/100,1)</f>
        <v/>
      </c>
      <c r="J73" s="7">
        <f>ROUND(G73*INDEX('Qida bazası'!$F:$F,MATCH(F73,'Qida bazası'!$A:$A,0))/100,1)</f>
        <v/>
      </c>
      <c r="K73" s="7">
        <f>ROUND(G73*INDEX('Qida bazası'!$G:$G,MATCH(F73,'Qida bazası'!$A:$A,0))/100,1)</f>
        <v/>
      </c>
    </row>
    <row r="74">
      <c r="A74" s="6" t="n"/>
      <c r="B74" s="7" t="n"/>
      <c r="C74" s="6" t="n"/>
      <c r="D74" s="7" t="n"/>
      <c r="E74" s="7" t="n"/>
      <c r="F74" s="7" t="inlineStr">
        <is>
          <t>Tam taxıl çörək (pane integrale)</t>
        </is>
      </c>
      <c r="G74" s="7" t="n">
        <v>60</v>
      </c>
      <c r="H74" s="7">
        <f>ROUND(G74*INDEX('Qida bazası'!$D:$D,MATCH(F74,'Qida bazası'!$A:$A,0))/100,0)</f>
        <v/>
      </c>
      <c r="I74" s="7">
        <f>ROUND(G74*INDEX('Qida bazası'!$E:$E,MATCH(F74,'Qida bazası'!$A:$A,0))/100,1)</f>
        <v/>
      </c>
      <c r="J74" s="7">
        <f>ROUND(G74*INDEX('Qida bazası'!$F:$F,MATCH(F74,'Qida bazası'!$A:$A,0))/100,1)</f>
        <v/>
      </c>
      <c r="K74" s="7">
        <f>ROUND(G74*INDEX('Qida bazası'!$G:$G,MATCH(F74,'Qida bazası'!$A:$A,0))/100,1)</f>
        <v/>
      </c>
    </row>
    <row r="75">
      <c r="A75" s="6" t="n"/>
      <c r="B75" s="7" t="n"/>
      <c r="C75" s="6" t="n"/>
      <c r="D75" s="7" t="n"/>
      <c r="E75" s="7" t="n"/>
      <c r="F75" s="7" t="inlineStr">
        <is>
          <t>Bal (miele)</t>
        </is>
      </c>
      <c r="G75" s="7" t="n">
        <v>10</v>
      </c>
      <c r="H75" s="7">
        <f>ROUND(G75*INDEX('Qida bazası'!$D:$D,MATCH(F75,'Qida bazası'!$A:$A,0))/100,0)</f>
        <v/>
      </c>
      <c r="I75" s="7">
        <f>ROUND(G75*INDEX('Qida bazası'!$E:$E,MATCH(F75,'Qida bazası'!$A:$A,0))/100,1)</f>
        <v/>
      </c>
      <c r="J75" s="7">
        <f>ROUND(G75*INDEX('Qida bazası'!$F:$F,MATCH(F75,'Qida bazası'!$A:$A,0))/100,1)</f>
        <v/>
      </c>
      <c r="K75" s="7">
        <f>ROUND(G75*INDEX('Qida bazası'!$G:$G,MATCH(F75,'Qida bazası'!$A:$A,0))/100,1)</f>
        <v/>
      </c>
    </row>
    <row r="76">
      <c r="A76" s="6" t="n"/>
      <c r="B76" s="7" t="n"/>
      <c r="C76" s="6" t="inlineStr">
        <is>
          <t>Nahar</t>
        </is>
      </c>
      <c r="D76" s="7" t="inlineStr">
        <is>
          <t>13:30</t>
        </is>
      </c>
      <c r="E76" s="7" t="inlineStr">
        <is>
          <t>Noxud və tuna salatı, çörək</t>
        </is>
      </c>
      <c r="F76" s="7" t="inlineStr">
        <is>
          <t>Noxud (konserv, süzülmüş) (ceci lessati)</t>
        </is>
      </c>
      <c r="G76" s="7" t="n">
        <v>240</v>
      </c>
      <c r="H76" s="7">
        <f>ROUND(G76*INDEX('Qida bazası'!$D:$D,MATCH(F76,'Qida bazası'!$A:$A,0))/100,0)</f>
        <v/>
      </c>
      <c r="I76" s="7">
        <f>ROUND(G76*INDEX('Qida bazası'!$E:$E,MATCH(F76,'Qida bazası'!$A:$A,0))/100,1)</f>
        <v/>
      </c>
      <c r="J76" s="7">
        <f>ROUND(G76*INDEX('Qida bazası'!$F:$F,MATCH(F76,'Qida bazası'!$A:$A,0))/100,1)</f>
        <v/>
      </c>
      <c r="K76" s="7">
        <f>ROUND(G76*INDEX('Qida bazası'!$G:$G,MATCH(F76,'Qida bazası'!$A:$A,0))/100,1)</f>
        <v/>
      </c>
    </row>
    <row r="77">
      <c r="A77" s="6" t="n"/>
      <c r="B77" s="7" t="n"/>
      <c r="C77" s="6" t="n"/>
      <c r="D77" s="7" t="n"/>
      <c r="E77" s="7" t="n"/>
      <c r="F77" s="7" t="inlineStr">
        <is>
          <t>Tuna, öz suyunda (tonno al naturale)</t>
        </is>
      </c>
      <c r="G77" s="7" t="n">
        <v>80</v>
      </c>
      <c r="H77" s="7">
        <f>ROUND(G77*INDEX('Qida bazası'!$D:$D,MATCH(F77,'Qida bazası'!$A:$A,0))/100,0)</f>
        <v/>
      </c>
      <c r="I77" s="7">
        <f>ROUND(G77*INDEX('Qida bazası'!$E:$E,MATCH(F77,'Qida bazası'!$A:$A,0))/100,1)</f>
        <v/>
      </c>
      <c r="J77" s="7">
        <f>ROUND(G77*INDEX('Qida bazası'!$F:$F,MATCH(F77,'Qida bazası'!$A:$A,0))/100,1)</f>
        <v/>
      </c>
      <c r="K77" s="7">
        <f>ROUND(G77*INDEX('Qida bazası'!$G:$G,MATCH(F77,'Qida bazası'!$A:$A,0))/100,1)</f>
        <v/>
      </c>
    </row>
    <row r="78">
      <c r="A78" s="6" t="n"/>
      <c r="B78" s="7" t="n"/>
      <c r="C78" s="6" t="n"/>
      <c r="D78" s="7" t="n"/>
      <c r="E78" s="7" t="n"/>
      <c r="F78" s="7" t="inlineStr">
        <is>
          <t>Pomidor (pomodori)</t>
        </is>
      </c>
      <c r="G78" s="7" t="n">
        <v>150</v>
      </c>
      <c r="H78" s="7">
        <f>ROUND(G78*INDEX('Qida bazası'!$D:$D,MATCH(F78,'Qida bazası'!$A:$A,0))/100,0)</f>
        <v/>
      </c>
      <c r="I78" s="7">
        <f>ROUND(G78*INDEX('Qida bazası'!$E:$E,MATCH(F78,'Qida bazası'!$A:$A,0))/100,1)</f>
        <v/>
      </c>
      <c r="J78" s="7">
        <f>ROUND(G78*INDEX('Qida bazası'!$F:$F,MATCH(F78,'Qida bazası'!$A:$A,0))/100,1)</f>
        <v/>
      </c>
      <c r="K78" s="7">
        <f>ROUND(G78*INDEX('Qida bazası'!$G:$G,MATCH(F78,'Qida bazası'!$A:$A,0))/100,1)</f>
        <v/>
      </c>
    </row>
    <row r="79">
      <c r="A79" s="6" t="n"/>
      <c r="B79" s="7" t="n"/>
      <c r="C79" s="6" t="n"/>
      <c r="D79" s="7" t="n"/>
      <c r="E79" s="7" t="n"/>
      <c r="F79" s="7" t="inlineStr">
        <is>
          <t>Xiyar (cetrioli)</t>
        </is>
      </c>
      <c r="G79" s="7" t="n">
        <v>100</v>
      </c>
      <c r="H79" s="7">
        <f>ROUND(G79*INDEX('Qida bazası'!$D:$D,MATCH(F79,'Qida bazası'!$A:$A,0))/100,0)</f>
        <v/>
      </c>
      <c r="I79" s="7">
        <f>ROUND(G79*INDEX('Qida bazası'!$E:$E,MATCH(F79,'Qida bazası'!$A:$A,0))/100,1)</f>
        <v/>
      </c>
      <c r="J79" s="7">
        <f>ROUND(G79*INDEX('Qida bazası'!$F:$F,MATCH(F79,'Qida bazası'!$A:$A,0))/100,1)</f>
        <v/>
      </c>
      <c r="K79" s="7">
        <f>ROUND(G79*INDEX('Qida bazası'!$G:$G,MATCH(F79,'Qida bazası'!$A:$A,0))/100,1)</f>
        <v/>
      </c>
    </row>
    <row r="80">
      <c r="A80" s="6" t="n"/>
      <c r="B80" s="7" t="n"/>
      <c r="C80" s="6" t="n"/>
      <c r="D80" s="7" t="n"/>
      <c r="E80" s="7" t="n"/>
      <c r="F80" s="7" t="inlineStr">
        <is>
          <t>Zeytun yağı (olio extravergine)</t>
        </is>
      </c>
      <c r="G80" s="7" t="n">
        <v>10</v>
      </c>
      <c r="H80" s="7">
        <f>ROUND(G80*INDEX('Qida bazası'!$D:$D,MATCH(F80,'Qida bazası'!$A:$A,0))/100,0)</f>
        <v/>
      </c>
      <c r="I80" s="7">
        <f>ROUND(G80*INDEX('Qida bazası'!$E:$E,MATCH(F80,'Qida bazası'!$A:$A,0))/100,1)</f>
        <v/>
      </c>
      <c r="J80" s="7">
        <f>ROUND(G80*INDEX('Qida bazası'!$F:$F,MATCH(F80,'Qida bazası'!$A:$A,0))/100,1)</f>
        <v/>
      </c>
      <c r="K80" s="7">
        <f>ROUND(G80*INDEX('Qida bazası'!$G:$G,MATCH(F80,'Qida bazası'!$A:$A,0))/100,1)</f>
        <v/>
      </c>
    </row>
    <row r="81">
      <c r="A81" s="6" t="n"/>
      <c r="B81" s="7" t="n"/>
      <c r="C81" s="6" t="n"/>
      <c r="D81" s="7" t="n"/>
      <c r="E81" s="7" t="n"/>
      <c r="F81" s="7" t="inlineStr">
        <is>
          <t>Ağ çörək (pane comune)</t>
        </is>
      </c>
      <c r="G81" s="7" t="n">
        <v>80</v>
      </c>
      <c r="H81" s="7">
        <f>ROUND(G81*INDEX('Qida bazası'!$D:$D,MATCH(F81,'Qida bazası'!$A:$A,0))/100,0)</f>
        <v/>
      </c>
      <c r="I81" s="7">
        <f>ROUND(G81*INDEX('Qida bazası'!$E:$E,MATCH(F81,'Qida bazası'!$A:$A,0))/100,1)</f>
        <v/>
      </c>
      <c r="J81" s="7">
        <f>ROUND(G81*INDEX('Qida bazası'!$F:$F,MATCH(F81,'Qida bazası'!$A:$A,0))/100,1)</f>
        <v/>
      </c>
      <c r="K81" s="7">
        <f>ROUND(G81*INDEX('Qida bazası'!$G:$G,MATCH(F81,'Qida bazası'!$A:$A,0))/100,1)</f>
        <v/>
      </c>
    </row>
    <row r="82">
      <c r="A82" s="6" t="n"/>
      <c r="B82" s="7" t="n"/>
      <c r="C82" s="6" t="inlineStr">
        <is>
          <t>Qəlyanaltı 2</t>
        </is>
      </c>
      <c r="D82" s="7" t="inlineStr">
        <is>
          <t>17:00</t>
        </is>
      </c>
      <c r="E82" s="7" t="inlineStr">
        <is>
          <t>Skyr, xurma</t>
        </is>
      </c>
      <c r="F82" s="7" t="inlineStr">
        <is>
          <t>Skyr (skyr)</t>
        </is>
      </c>
      <c r="G82" s="7" t="n">
        <v>150</v>
      </c>
      <c r="H82" s="7">
        <f>ROUND(G82*INDEX('Qida bazası'!$D:$D,MATCH(F82,'Qida bazası'!$A:$A,0))/100,0)</f>
        <v/>
      </c>
      <c r="I82" s="7">
        <f>ROUND(G82*INDEX('Qida bazası'!$E:$E,MATCH(F82,'Qida bazası'!$A:$A,0))/100,1)</f>
        <v/>
      </c>
      <c r="J82" s="7">
        <f>ROUND(G82*INDEX('Qida bazası'!$F:$F,MATCH(F82,'Qida bazası'!$A:$A,0))/100,1)</f>
        <v/>
      </c>
      <c r="K82" s="7">
        <f>ROUND(G82*INDEX('Qida bazası'!$G:$G,MATCH(F82,'Qida bazası'!$A:$A,0))/100,1)</f>
        <v/>
      </c>
    </row>
    <row r="83">
      <c r="A83" s="6" t="n"/>
      <c r="B83" s="7" t="n"/>
      <c r="C83" s="6" t="n"/>
      <c r="D83" s="7" t="n"/>
      <c r="E83" s="7" t="n"/>
      <c r="F83" s="7" t="inlineStr">
        <is>
          <t>Xurma (cachi)</t>
        </is>
      </c>
      <c r="G83" s="7" t="n">
        <v>200</v>
      </c>
      <c r="H83" s="7">
        <f>ROUND(G83*INDEX('Qida bazası'!$D:$D,MATCH(F83,'Qida bazası'!$A:$A,0))/100,0)</f>
        <v/>
      </c>
      <c r="I83" s="7">
        <f>ROUND(G83*INDEX('Qida bazası'!$E:$E,MATCH(F83,'Qida bazası'!$A:$A,0))/100,1)</f>
        <v/>
      </c>
      <c r="J83" s="7">
        <f>ROUND(G83*INDEX('Qida bazası'!$F:$F,MATCH(F83,'Qida bazası'!$A:$A,0))/100,1)</f>
        <v/>
      </c>
      <c r="K83" s="7">
        <f>ROUND(G83*INDEX('Qida bazası'!$G:$G,MATCH(F83,'Qida bazası'!$A:$A,0))/100,1)</f>
        <v/>
      </c>
    </row>
    <row r="84">
      <c r="A84" s="6" t="n"/>
      <c r="B84" s="7" t="n"/>
      <c r="C84" s="6" t="inlineStr">
        <is>
          <t>Şam yeməyi</t>
        </is>
      </c>
      <c r="D84" s="7" t="inlineStr">
        <is>
          <t>20:30</t>
        </is>
      </c>
      <c r="E84" s="7" t="inlineStr">
        <is>
          <t>Toyuq, kartof, yerkökü</t>
        </is>
      </c>
      <c r="F84" s="7" t="inlineStr">
        <is>
          <t>Toyuq döşü (çiy) (petto di pollo)</t>
        </is>
      </c>
      <c r="G84" s="7" t="n">
        <v>140</v>
      </c>
      <c r="H84" s="7">
        <f>ROUND(G84*INDEX('Qida bazası'!$D:$D,MATCH(F84,'Qida bazası'!$A:$A,0))/100,0)</f>
        <v/>
      </c>
      <c r="I84" s="7">
        <f>ROUND(G84*INDEX('Qida bazası'!$E:$E,MATCH(F84,'Qida bazası'!$A:$A,0))/100,1)</f>
        <v/>
      </c>
      <c r="J84" s="7">
        <f>ROUND(G84*INDEX('Qida bazası'!$F:$F,MATCH(F84,'Qida bazası'!$A:$A,0))/100,1)</f>
        <v/>
      </c>
      <c r="K84" s="7">
        <f>ROUND(G84*INDEX('Qida bazası'!$G:$G,MATCH(F84,'Qida bazası'!$A:$A,0))/100,1)</f>
        <v/>
      </c>
    </row>
    <row r="85">
      <c r="A85" s="6" t="n"/>
      <c r="B85" s="7" t="n"/>
      <c r="C85" s="6" t="n"/>
      <c r="D85" s="7" t="n"/>
      <c r="E85" s="7" t="n"/>
      <c r="F85" s="7" t="inlineStr">
        <is>
          <t>Kartof (patate)</t>
        </is>
      </c>
      <c r="G85" s="7" t="n">
        <v>300</v>
      </c>
      <c r="H85" s="7">
        <f>ROUND(G85*INDEX('Qida bazası'!$D:$D,MATCH(F85,'Qida bazası'!$A:$A,0))/100,0)</f>
        <v/>
      </c>
      <c r="I85" s="7">
        <f>ROUND(G85*INDEX('Qida bazası'!$E:$E,MATCH(F85,'Qida bazası'!$A:$A,0))/100,1)</f>
        <v/>
      </c>
      <c r="J85" s="7">
        <f>ROUND(G85*INDEX('Qida bazası'!$F:$F,MATCH(F85,'Qida bazası'!$A:$A,0))/100,1)</f>
        <v/>
      </c>
      <c r="K85" s="7">
        <f>ROUND(G85*INDEX('Qida bazası'!$G:$G,MATCH(F85,'Qida bazası'!$A:$A,0))/100,1)</f>
        <v/>
      </c>
    </row>
    <row r="86">
      <c r="A86" s="6" t="n"/>
      <c r="B86" s="7" t="n"/>
      <c r="C86" s="6" t="n"/>
      <c r="D86" s="7" t="n"/>
      <c r="E86" s="7" t="n"/>
      <c r="F86" s="7" t="inlineStr">
        <is>
          <t>Yerkökü (carote)</t>
        </is>
      </c>
      <c r="G86" s="7" t="n">
        <v>150</v>
      </c>
      <c r="H86" s="7">
        <f>ROUND(G86*INDEX('Qida bazası'!$D:$D,MATCH(F86,'Qida bazası'!$A:$A,0))/100,0)</f>
        <v/>
      </c>
      <c r="I86" s="7">
        <f>ROUND(G86*INDEX('Qida bazası'!$E:$E,MATCH(F86,'Qida bazası'!$A:$A,0))/100,1)</f>
        <v/>
      </c>
      <c r="J86" s="7">
        <f>ROUND(G86*INDEX('Qida bazası'!$F:$F,MATCH(F86,'Qida bazası'!$A:$A,0))/100,1)</f>
        <v/>
      </c>
      <c r="K86" s="7">
        <f>ROUND(G86*INDEX('Qida bazası'!$G:$G,MATCH(F86,'Qida bazası'!$A:$A,0))/100,1)</f>
        <v/>
      </c>
    </row>
    <row r="87">
      <c r="A87" s="6" t="n"/>
      <c r="B87" s="7" t="n"/>
      <c r="C87" s="6" t="n"/>
      <c r="D87" s="7" t="n"/>
      <c r="E87" s="7" t="n"/>
      <c r="F87" s="7" t="inlineStr">
        <is>
          <t>Zeytun yağı (olio extravergine)</t>
        </is>
      </c>
      <c r="G87" s="7" t="n">
        <v>10</v>
      </c>
      <c r="H87" s="7">
        <f>ROUND(G87*INDEX('Qida bazası'!$D:$D,MATCH(F87,'Qida bazası'!$A:$A,0))/100,0)</f>
        <v/>
      </c>
      <c r="I87" s="7">
        <f>ROUND(G87*INDEX('Qida bazası'!$E:$E,MATCH(F87,'Qida bazası'!$A:$A,0))/100,1)</f>
        <v/>
      </c>
      <c r="J87" s="7">
        <f>ROUND(G87*INDEX('Qida bazası'!$F:$F,MATCH(F87,'Qida bazası'!$A:$A,0))/100,1)</f>
        <v/>
      </c>
      <c r="K87" s="7">
        <f>ROUND(G87*INDEX('Qida bazası'!$G:$G,MATCH(F87,'Qida bazası'!$A:$A,0))/100,1)</f>
        <v/>
      </c>
    </row>
    <row r="88">
      <c r="F88" s="6" t="inlineStr">
        <is>
          <t>Cəmi: Cümə axşamı</t>
        </is>
      </c>
      <c r="H88" s="27">
        <f>SUM(H69:H87)</f>
        <v/>
      </c>
      <c r="I88" s="27">
        <f>SUM(I69:I87)</f>
        <v/>
      </c>
      <c r="J88" s="27">
        <f>SUM(J69:J87)</f>
        <v/>
      </c>
      <c r="K88" s="27">
        <f>SUM(K69:K87)</f>
        <v/>
      </c>
    </row>
    <row r="89">
      <c r="G89" s="9" t="inlineStr">
        <is>
          <t>norma</t>
        </is>
      </c>
      <c r="H89" s="28">
        <f>Profil!$B$16</f>
        <v/>
      </c>
      <c r="I89" s="29">
        <f>Profil!$B$20</f>
        <v/>
      </c>
    </row>
    <row r="90"/>
    <row r="91">
      <c r="A91" s="6" t="inlineStr">
        <is>
          <t>Cümə</t>
        </is>
      </c>
      <c r="B91" s="7" t="inlineStr">
        <is>
          <t>Zal</t>
        </is>
      </c>
      <c r="C91" s="6" t="inlineStr">
        <is>
          <t>Səhər yeməyi</t>
        </is>
      </c>
      <c r="D91" s="7" t="inlineStr">
        <is>
          <t>08:00</t>
        </is>
      </c>
      <c r="E91" s="7" t="inlineStr">
        <is>
          <t>Yumurta, çörək, portağal</t>
        </is>
      </c>
      <c r="F91" s="7" t="inlineStr">
        <is>
          <t>Yumurta (uova)</t>
        </is>
      </c>
      <c r="G91" s="7" t="n">
        <v>110</v>
      </c>
      <c r="H91" s="7">
        <f>ROUND(G91*INDEX('Qida bazası'!$D:$D,MATCH(F91,'Qida bazası'!$A:$A,0))/100,0)</f>
        <v/>
      </c>
      <c r="I91" s="7">
        <f>ROUND(G91*INDEX('Qida bazası'!$E:$E,MATCH(F91,'Qida bazası'!$A:$A,0))/100,1)</f>
        <v/>
      </c>
      <c r="J91" s="7">
        <f>ROUND(G91*INDEX('Qida bazası'!$F:$F,MATCH(F91,'Qida bazası'!$A:$A,0))/100,1)</f>
        <v/>
      </c>
      <c r="K91" s="7">
        <f>ROUND(G91*INDEX('Qida bazası'!$G:$G,MATCH(F91,'Qida bazası'!$A:$A,0))/100,1)</f>
        <v/>
      </c>
    </row>
    <row r="92">
      <c r="A92" s="6" t="n"/>
      <c r="B92" s="7" t="n"/>
      <c r="C92" s="6" t="n"/>
      <c r="D92" s="7" t="n"/>
      <c r="E92" s="7" t="n"/>
      <c r="F92" s="7" t="inlineStr">
        <is>
          <t>Yumurta ağı (albume)</t>
        </is>
      </c>
      <c r="G92" s="7" t="n">
        <v>100</v>
      </c>
      <c r="H92" s="7">
        <f>ROUND(G92*INDEX('Qida bazası'!$D:$D,MATCH(F92,'Qida bazası'!$A:$A,0))/100,0)</f>
        <v/>
      </c>
      <c r="I92" s="7">
        <f>ROUND(G92*INDEX('Qida bazası'!$E:$E,MATCH(F92,'Qida bazası'!$A:$A,0))/100,1)</f>
        <v/>
      </c>
      <c r="J92" s="7">
        <f>ROUND(G92*INDEX('Qida bazası'!$F:$F,MATCH(F92,'Qida bazası'!$A:$A,0))/100,1)</f>
        <v/>
      </c>
      <c r="K92" s="7">
        <f>ROUND(G92*INDEX('Qida bazası'!$G:$G,MATCH(F92,'Qida bazası'!$A:$A,0))/100,1)</f>
        <v/>
      </c>
    </row>
    <row r="93">
      <c r="A93" s="6" t="n"/>
      <c r="B93" s="7" t="n"/>
      <c r="C93" s="6" t="n"/>
      <c r="D93" s="7" t="n"/>
      <c r="E93" s="7" t="n"/>
      <c r="F93" s="7" t="inlineStr">
        <is>
          <t>Tam taxıl çörək (pane integrale)</t>
        </is>
      </c>
      <c r="G93" s="7" t="n">
        <v>100</v>
      </c>
      <c r="H93" s="7">
        <f>ROUND(G93*INDEX('Qida bazası'!$D:$D,MATCH(F93,'Qida bazası'!$A:$A,0))/100,0)</f>
        <v/>
      </c>
      <c r="I93" s="7">
        <f>ROUND(G93*INDEX('Qida bazası'!$E:$E,MATCH(F93,'Qida bazası'!$A:$A,0))/100,1)</f>
        <v/>
      </c>
      <c r="J93" s="7">
        <f>ROUND(G93*INDEX('Qida bazası'!$F:$F,MATCH(F93,'Qida bazası'!$A:$A,0))/100,1)</f>
        <v/>
      </c>
      <c r="K93" s="7">
        <f>ROUND(G93*INDEX('Qida bazası'!$G:$G,MATCH(F93,'Qida bazası'!$A:$A,0))/100,1)</f>
        <v/>
      </c>
    </row>
    <row r="94">
      <c r="A94" s="6" t="n"/>
      <c r="B94" s="7" t="n"/>
      <c r="C94" s="6" t="n"/>
      <c r="D94" s="7" t="n"/>
      <c r="E94" s="7" t="n"/>
      <c r="F94" s="7" t="inlineStr">
        <is>
          <t>Portağal (arancia)</t>
        </is>
      </c>
      <c r="G94" s="7" t="n">
        <v>150</v>
      </c>
      <c r="H94" s="7">
        <f>ROUND(G94*INDEX('Qida bazası'!$D:$D,MATCH(F94,'Qida bazası'!$A:$A,0))/100,0)</f>
        <v/>
      </c>
      <c r="I94" s="7">
        <f>ROUND(G94*INDEX('Qida bazası'!$E:$E,MATCH(F94,'Qida bazası'!$A:$A,0))/100,1)</f>
        <v/>
      </c>
      <c r="J94" s="7">
        <f>ROUND(G94*INDEX('Qida bazası'!$F:$F,MATCH(F94,'Qida bazası'!$A:$A,0))/100,1)</f>
        <v/>
      </c>
      <c r="K94" s="7">
        <f>ROUND(G94*INDEX('Qida bazası'!$G:$G,MATCH(F94,'Qida bazası'!$A:$A,0))/100,1)</f>
        <v/>
      </c>
    </row>
    <row r="95">
      <c r="A95" s="6" t="n"/>
      <c r="B95" s="7" t="n"/>
      <c r="C95" s="6" t="n"/>
      <c r="D95" s="7" t="n"/>
      <c r="E95" s="7" t="n"/>
      <c r="F95" s="7" t="inlineStr">
        <is>
          <t>Zeytun yağı (olio extravergine)</t>
        </is>
      </c>
      <c r="G95" s="7" t="n">
        <v>5</v>
      </c>
      <c r="H95" s="7">
        <f>ROUND(G95*INDEX('Qida bazası'!$D:$D,MATCH(F95,'Qida bazası'!$A:$A,0))/100,0)</f>
        <v/>
      </c>
      <c r="I95" s="7">
        <f>ROUND(G95*INDEX('Qida bazası'!$E:$E,MATCH(F95,'Qida bazası'!$A:$A,0))/100,1)</f>
        <v/>
      </c>
      <c r="J95" s="7">
        <f>ROUND(G95*INDEX('Qida bazası'!$F:$F,MATCH(F95,'Qida bazası'!$A:$A,0))/100,1)</f>
        <v/>
      </c>
      <c r="K95" s="7">
        <f>ROUND(G95*INDEX('Qida bazası'!$G:$G,MATCH(F95,'Qida bazası'!$A:$A,0))/100,1)</f>
        <v/>
      </c>
    </row>
    <row r="96">
      <c r="A96" s="6" t="n"/>
      <c r="B96" s="7" t="n"/>
      <c r="C96" s="6" t="inlineStr">
        <is>
          <t>Qəlyanaltı 1</t>
        </is>
      </c>
      <c r="D96" s="7" t="inlineStr">
        <is>
          <t>11:00</t>
        </is>
      </c>
      <c r="E96" s="7" t="inlineStr">
        <is>
          <t>Yunan yoqurtu, yulaf, banan</t>
        </is>
      </c>
      <c r="F96" s="7" t="inlineStr">
        <is>
          <t>Yunan yoqurtu 0% (yogurt greco 0%)</t>
        </is>
      </c>
      <c r="G96" s="7" t="n">
        <v>170</v>
      </c>
      <c r="H96" s="7">
        <f>ROUND(G96*INDEX('Qida bazası'!$D:$D,MATCH(F96,'Qida bazası'!$A:$A,0))/100,0)</f>
        <v/>
      </c>
      <c r="I96" s="7">
        <f>ROUND(G96*INDEX('Qida bazası'!$E:$E,MATCH(F96,'Qida bazası'!$A:$A,0))/100,1)</f>
        <v/>
      </c>
      <c r="J96" s="7">
        <f>ROUND(G96*INDEX('Qida bazası'!$F:$F,MATCH(F96,'Qida bazası'!$A:$A,0))/100,1)</f>
        <v/>
      </c>
      <c r="K96" s="7">
        <f>ROUND(G96*INDEX('Qida bazası'!$G:$G,MATCH(F96,'Qida bazası'!$A:$A,0))/100,1)</f>
        <v/>
      </c>
    </row>
    <row r="97">
      <c r="A97" s="6" t="n"/>
      <c r="B97" s="7" t="n"/>
      <c r="C97" s="6" t="n"/>
      <c r="D97" s="7" t="n"/>
      <c r="E97" s="7" t="n"/>
      <c r="F97" s="7" t="inlineStr">
        <is>
          <t>Yulaf yarması (fiocchi d'avena)</t>
        </is>
      </c>
      <c r="G97" s="7" t="n">
        <v>60</v>
      </c>
      <c r="H97" s="7">
        <f>ROUND(G97*INDEX('Qida bazası'!$D:$D,MATCH(F97,'Qida bazası'!$A:$A,0))/100,0)</f>
        <v/>
      </c>
      <c r="I97" s="7">
        <f>ROUND(G97*INDEX('Qida bazası'!$E:$E,MATCH(F97,'Qida bazası'!$A:$A,0))/100,1)</f>
        <v/>
      </c>
      <c r="J97" s="7">
        <f>ROUND(G97*INDEX('Qida bazası'!$F:$F,MATCH(F97,'Qida bazası'!$A:$A,0))/100,1)</f>
        <v/>
      </c>
      <c r="K97" s="7">
        <f>ROUND(G97*INDEX('Qida bazası'!$G:$G,MATCH(F97,'Qida bazası'!$A:$A,0))/100,1)</f>
        <v/>
      </c>
    </row>
    <row r="98">
      <c r="A98" s="6" t="n"/>
      <c r="B98" s="7" t="n"/>
      <c r="C98" s="6" t="n"/>
      <c r="D98" s="7" t="n"/>
      <c r="E98" s="7" t="n"/>
      <c r="F98" s="7" t="inlineStr">
        <is>
          <t>Banan (banana)</t>
        </is>
      </c>
      <c r="G98" s="7" t="n">
        <v>120</v>
      </c>
      <c r="H98" s="7">
        <f>ROUND(G98*INDEX('Qida bazası'!$D:$D,MATCH(F98,'Qida bazası'!$A:$A,0))/100,0)</f>
        <v/>
      </c>
      <c r="I98" s="7">
        <f>ROUND(G98*INDEX('Qida bazası'!$E:$E,MATCH(F98,'Qida bazası'!$A:$A,0))/100,1)</f>
        <v/>
      </c>
      <c r="J98" s="7">
        <f>ROUND(G98*INDEX('Qida bazası'!$F:$F,MATCH(F98,'Qida bazası'!$A:$A,0))/100,1)</f>
        <v/>
      </c>
      <c r="K98" s="7">
        <f>ROUND(G98*INDEX('Qida bazası'!$G:$G,MATCH(F98,'Qida bazası'!$A:$A,0))/100,1)</f>
        <v/>
      </c>
    </row>
    <row r="99">
      <c r="A99" s="6" t="n"/>
      <c r="B99" s="7" t="n"/>
      <c r="C99" s="6" t="inlineStr">
        <is>
          <t>Nahar</t>
        </is>
      </c>
      <c r="D99" s="7" t="inlineStr">
        <is>
          <t>13:30</t>
        </is>
      </c>
      <c r="E99" s="7" t="inlineStr">
        <is>
          <t>Tagliatelle al ragù (restoran / mensa)</t>
        </is>
      </c>
      <c r="F99" s="7" t="inlineStr">
        <is>
          <t>Tagliatelle al ragù (hazır) (tagliatelle al ragù)</t>
        </is>
      </c>
      <c r="G99" s="7" t="n">
        <v>280</v>
      </c>
      <c r="H99" s="7">
        <f>ROUND(G99*INDEX('Qida bazası'!$D:$D,MATCH(F99,'Qida bazası'!$A:$A,0))/100,0)</f>
        <v/>
      </c>
      <c r="I99" s="7">
        <f>ROUND(G99*INDEX('Qida bazası'!$E:$E,MATCH(F99,'Qida bazası'!$A:$A,0))/100,1)</f>
        <v/>
      </c>
      <c r="J99" s="7">
        <f>ROUND(G99*INDEX('Qida bazası'!$F:$F,MATCH(F99,'Qida bazası'!$A:$A,0))/100,1)</f>
        <v/>
      </c>
      <c r="K99" s="7">
        <f>ROUND(G99*INDEX('Qida bazası'!$G:$G,MATCH(F99,'Qida bazası'!$A:$A,0))/100,1)</f>
        <v/>
      </c>
    </row>
    <row r="100">
      <c r="A100" s="6" t="n"/>
      <c r="B100" s="7" t="n"/>
      <c r="C100" s="6" t="n"/>
      <c r="D100" s="7" t="n"/>
      <c r="E100" s="7" t="n"/>
      <c r="F100" s="7" t="inlineStr">
        <is>
          <t>Yaşıl salat (insalata)</t>
        </is>
      </c>
      <c r="G100" s="7" t="n">
        <v>100</v>
      </c>
      <c r="H100" s="7">
        <f>ROUND(G100*INDEX('Qida bazası'!$D:$D,MATCH(F100,'Qida bazası'!$A:$A,0))/100,0)</f>
        <v/>
      </c>
      <c r="I100" s="7">
        <f>ROUND(G100*INDEX('Qida bazası'!$E:$E,MATCH(F100,'Qida bazası'!$A:$A,0))/100,1)</f>
        <v/>
      </c>
      <c r="J100" s="7">
        <f>ROUND(G100*INDEX('Qida bazası'!$F:$F,MATCH(F100,'Qida bazası'!$A:$A,0))/100,1)</f>
        <v/>
      </c>
      <c r="K100" s="7">
        <f>ROUND(G100*INDEX('Qida bazası'!$G:$G,MATCH(F100,'Qida bazası'!$A:$A,0))/100,1)</f>
        <v/>
      </c>
    </row>
    <row r="101">
      <c r="A101" s="6" t="n"/>
      <c r="B101" s="7" t="n"/>
      <c r="C101" s="6" t="n"/>
      <c r="D101" s="7" t="n"/>
      <c r="E101" s="7" t="n"/>
      <c r="F101" s="7" t="inlineStr">
        <is>
          <t>Zeytun yağı (olio extravergine)</t>
        </is>
      </c>
      <c r="G101" s="7" t="n">
        <v>5</v>
      </c>
      <c r="H101" s="7">
        <f>ROUND(G101*INDEX('Qida bazası'!$D:$D,MATCH(F101,'Qida bazası'!$A:$A,0))/100,0)</f>
        <v/>
      </c>
      <c r="I101" s="7">
        <f>ROUND(G101*INDEX('Qida bazası'!$E:$E,MATCH(F101,'Qida bazası'!$A:$A,0))/100,1)</f>
        <v/>
      </c>
      <c r="J101" s="7">
        <f>ROUND(G101*INDEX('Qida bazası'!$F:$F,MATCH(F101,'Qida bazası'!$A:$A,0))/100,1)</f>
        <v/>
      </c>
      <c r="K101" s="7">
        <f>ROUND(G101*INDEX('Qida bazası'!$G:$G,MATCH(F101,'Qida bazası'!$A:$A,0))/100,1)</f>
        <v/>
      </c>
    </row>
    <row r="102">
      <c r="A102" s="6" t="n"/>
      <c r="B102" s="7" t="n"/>
      <c r="C102" s="6" t="inlineStr">
        <is>
          <t>Qəlyanaltı 2</t>
        </is>
      </c>
      <c r="D102" s="7" t="inlineStr">
        <is>
          <t>17:00</t>
        </is>
      </c>
      <c r="E102" s="7" t="inlineStr">
        <is>
          <t>Qalleta + bresaola, alma</t>
        </is>
      </c>
      <c r="F102" s="7" t="inlineStr">
        <is>
          <t>Düyü qalletası (gallette di riso)</t>
        </is>
      </c>
      <c r="G102" s="7" t="n">
        <v>50</v>
      </c>
      <c r="H102" s="7">
        <f>ROUND(G102*INDEX('Qida bazası'!$D:$D,MATCH(F102,'Qida bazası'!$A:$A,0))/100,0)</f>
        <v/>
      </c>
      <c r="I102" s="7">
        <f>ROUND(G102*INDEX('Qida bazası'!$E:$E,MATCH(F102,'Qida bazası'!$A:$A,0))/100,1)</f>
        <v/>
      </c>
      <c r="J102" s="7">
        <f>ROUND(G102*INDEX('Qida bazası'!$F:$F,MATCH(F102,'Qida bazası'!$A:$A,0))/100,1)</f>
        <v/>
      </c>
      <c r="K102" s="7">
        <f>ROUND(G102*INDEX('Qida bazası'!$G:$G,MATCH(F102,'Qida bazası'!$A:$A,0))/100,1)</f>
        <v/>
      </c>
    </row>
    <row r="103">
      <c r="A103" s="6" t="n"/>
      <c r="B103" s="7" t="n"/>
      <c r="C103" s="6" t="n"/>
      <c r="D103" s="7" t="n"/>
      <c r="E103" s="7" t="n"/>
      <c r="F103" s="7" t="inlineStr">
        <is>
          <t>Bresaola (bresaola)</t>
        </is>
      </c>
      <c r="G103" s="7" t="n">
        <v>60</v>
      </c>
      <c r="H103" s="7">
        <f>ROUND(G103*INDEX('Qida bazası'!$D:$D,MATCH(F103,'Qida bazası'!$A:$A,0))/100,0)</f>
        <v/>
      </c>
      <c r="I103" s="7">
        <f>ROUND(G103*INDEX('Qida bazası'!$E:$E,MATCH(F103,'Qida bazası'!$A:$A,0))/100,1)</f>
        <v/>
      </c>
      <c r="J103" s="7">
        <f>ROUND(G103*INDEX('Qida bazası'!$F:$F,MATCH(F103,'Qida bazası'!$A:$A,0))/100,1)</f>
        <v/>
      </c>
      <c r="K103" s="7">
        <f>ROUND(G103*INDEX('Qida bazası'!$G:$G,MATCH(F103,'Qida bazası'!$A:$A,0))/100,1)</f>
        <v/>
      </c>
    </row>
    <row r="104">
      <c r="A104" s="6" t="n"/>
      <c r="B104" s="7" t="n"/>
      <c r="C104" s="6" t="n"/>
      <c r="D104" s="7" t="n"/>
      <c r="E104" s="7" t="n"/>
      <c r="F104" s="7" t="inlineStr">
        <is>
          <t>Alma (mela)</t>
        </is>
      </c>
      <c r="G104" s="7" t="n">
        <v>180</v>
      </c>
      <c r="H104" s="7">
        <f>ROUND(G104*INDEX('Qida bazası'!$D:$D,MATCH(F104,'Qida bazası'!$A:$A,0))/100,0)</f>
        <v/>
      </c>
      <c r="I104" s="7">
        <f>ROUND(G104*INDEX('Qida bazası'!$E:$E,MATCH(F104,'Qida bazası'!$A:$A,0))/100,1)</f>
        <v/>
      </c>
      <c r="J104" s="7">
        <f>ROUND(G104*INDEX('Qida bazası'!$F:$F,MATCH(F104,'Qida bazası'!$A:$A,0))/100,1)</f>
        <v/>
      </c>
      <c r="K104" s="7">
        <f>ROUND(G104*INDEX('Qida bazası'!$G:$G,MATCH(F104,'Qida bazası'!$A:$A,0))/100,1)</f>
        <v/>
      </c>
    </row>
    <row r="105">
      <c r="A105" s="6" t="n"/>
      <c r="B105" s="7" t="n"/>
      <c r="C105" s="6" t="inlineStr">
        <is>
          <t>Şam yeməyi</t>
        </is>
      </c>
      <c r="D105" s="7" t="inlineStr">
        <is>
          <t>20:30</t>
        </is>
      </c>
      <c r="E105" s="7" t="inlineStr">
        <is>
          <t>Treska, düyü, brokoli</t>
        </is>
      </c>
      <c r="F105" s="7" t="inlineStr">
        <is>
          <t>Treska (çiy) (merluzzo)</t>
        </is>
      </c>
      <c r="G105" s="7" t="n">
        <v>200</v>
      </c>
      <c r="H105" s="7">
        <f>ROUND(G105*INDEX('Qida bazası'!$D:$D,MATCH(F105,'Qida bazası'!$A:$A,0))/100,0)</f>
        <v/>
      </c>
      <c r="I105" s="7">
        <f>ROUND(G105*INDEX('Qida bazası'!$E:$E,MATCH(F105,'Qida bazası'!$A:$A,0))/100,1)</f>
        <v/>
      </c>
      <c r="J105" s="7">
        <f>ROUND(G105*INDEX('Qida bazası'!$F:$F,MATCH(F105,'Qida bazası'!$A:$A,0))/100,1)</f>
        <v/>
      </c>
      <c r="K105" s="7">
        <f>ROUND(G105*INDEX('Qida bazası'!$G:$G,MATCH(F105,'Qida bazası'!$A:$A,0))/100,1)</f>
        <v/>
      </c>
    </row>
    <row r="106">
      <c r="A106" s="6" t="n"/>
      <c r="B106" s="7" t="n"/>
      <c r="C106" s="6" t="n"/>
      <c r="D106" s="7" t="n"/>
      <c r="E106" s="7" t="n"/>
      <c r="F106" s="7" t="inlineStr">
        <is>
          <t>Düyü (çiy) (riso)</t>
        </is>
      </c>
      <c r="G106" s="7" t="n">
        <v>120</v>
      </c>
      <c r="H106" s="7">
        <f>ROUND(G106*INDEX('Qida bazası'!$D:$D,MATCH(F106,'Qida bazası'!$A:$A,0))/100,0)</f>
        <v/>
      </c>
      <c r="I106" s="7">
        <f>ROUND(G106*INDEX('Qida bazası'!$E:$E,MATCH(F106,'Qida bazası'!$A:$A,0))/100,1)</f>
        <v/>
      </c>
      <c r="J106" s="7">
        <f>ROUND(G106*INDEX('Qida bazası'!$F:$F,MATCH(F106,'Qida bazası'!$A:$A,0))/100,1)</f>
        <v/>
      </c>
      <c r="K106" s="7">
        <f>ROUND(G106*INDEX('Qida bazası'!$G:$G,MATCH(F106,'Qida bazası'!$A:$A,0))/100,1)</f>
        <v/>
      </c>
    </row>
    <row r="107">
      <c r="A107" s="6" t="n"/>
      <c r="B107" s="7" t="n"/>
      <c r="C107" s="6" t="n"/>
      <c r="D107" s="7" t="n"/>
      <c r="E107" s="7" t="n"/>
      <c r="F107" s="7" t="inlineStr">
        <is>
          <t>Brokoli (broccoli)</t>
        </is>
      </c>
      <c r="G107" s="7" t="n">
        <v>200</v>
      </c>
      <c r="H107" s="7">
        <f>ROUND(G107*INDEX('Qida bazası'!$D:$D,MATCH(F107,'Qida bazası'!$A:$A,0))/100,0)</f>
        <v/>
      </c>
      <c r="I107" s="7">
        <f>ROUND(G107*INDEX('Qida bazası'!$E:$E,MATCH(F107,'Qida bazası'!$A:$A,0))/100,1)</f>
        <v/>
      </c>
      <c r="J107" s="7">
        <f>ROUND(G107*INDEX('Qida bazası'!$F:$F,MATCH(F107,'Qida bazası'!$A:$A,0))/100,1)</f>
        <v/>
      </c>
      <c r="K107" s="7">
        <f>ROUND(G107*INDEX('Qida bazası'!$G:$G,MATCH(F107,'Qida bazası'!$A:$A,0))/100,1)</f>
        <v/>
      </c>
    </row>
    <row r="108">
      <c r="A108" s="6" t="n"/>
      <c r="B108" s="7" t="n"/>
      <c r="C108" s="6" t="n"/>
      <c r="D108" s="7" t="n"/>
      <c r="E108" s="7" t="n"/>
      <c r="F108" s="7" t="inlineStr">
        <is>
          <t>Zeytun yağı (olio extravergine)</t>
        </is>
      </c>
      <c r="G108" s="7" t="n">
        <v>10</v>
      </c>
      <c r="H108" s="7">
        <f>ROUND(G108*INDEX('Qida bazası'!$D:$D,MATCH(F108,'Qida bazası'!$A:$A,0))/100,0)</f>
        <v/>
      </c>
      <c r="I108" s="7">
        <f>ROUND(G108*INDEX('Qida bazası'!$E:$E,MATCH(F108,'Qida bazası'!$A:$A,0))/100,1)</f>
        <v/>
      </c>
      <c r="J108" s="7">
        <f>ROUND(G108*INDEX('Qida bazası'!$F:$F,MATCH(F108,'Qida bazası'!$A:$A,0))/100,1)</f>
        <v/>
      </c>
      <c r="K108" s="7">
        <f>ROUND(G108*INDEX('Qida bazası'!$G:$G,MATCH(F108,'Qida bazası'!$A:$A,0))/100,1)</f>
        <v/>
      </c>
    </row>
    <row r="109">
      <c r="F109" s="6" t="inlineStr">
        <is>
          <t>Cəmi: Cümə</t>
        </is>
      </c>
      <c r="H109" s="27">
        <f>SUM(H91:H108)</f>
        <v/>
      </c>
      <c r="I109" s="27">
        <f>SUM(I91:I108)</f>
        <v/>
      </c>
      <c r="J109" s="27">
        <f>SUM(J91:J108)</f>
        <v/>
      </c>
      <c r="K109" s="27">
        <f>SUM(K91:K108)</f>
        <v/>
      </c>
    </row>
    <row r="110">
      <c r="G110" s="9" t="inlineStr">
        <is>
          <t>norma</t>
        </is>
      </c>
      <c r="H110" s="28">
        <f>Profil!$B$17</f>
        <v/>
      </c>
      <c r="I110" s="29">
        <f>Profil!$B$20</f>
        <v/>
      </c>
    </row>
    <row r="111"/>
    <row r="112">
      <c r="A112" s="6" t="inlineStr">
        <is>
          <t>Şənbə</t>
        </is>
      </c>
      <c r="B112" s="7" t="inlineStr">
        <is>
          <t>İstirahət</t>
        </is>
      </c>
      <c r="C112" s="6" t="inlineStr">
        <is>
          <t>Səhər yeməyi</t>
        </is>
      </c>
      <c r="D112" s="7" t="inlineStr">
        <is>
          <t>08:00</t>
        </is>
      </c>
      <c r="E112" s="7" t="inlineStr">
        <is>
          <t>Bar: kapuçino + kruasan, sonra skyr</t>
        </is>
      </c>
      <c r="F112" s="7" t="inlineStr">
        <is>
          <t>Kapuçino (cappuccino)</t>
        </is>
      </c>
      <c r="G112" s="7" t="n">
        <v>150</v>
      </c>
      <c r="H112" s="7">
        <f>ROUND(G112*INDEX('Qida bazası'!$D:$D,MATCH(F112,'Qida bazası'!$A:$A,0))/100,0)</f>
        <v/>
      </c>
      <c r="I112" s="7">
        <f>ROUND(G112*INDEX('Qida bazası'!$E:$E,MATCH(F112,'Qida bazası'!$A:$A,0))/100,1)</f>
        <v/>
      </c>
      <c r="J112" s="7">
        <f>ROUND(G112*INDEX('Qida bazası'!$F:$F,MATCH(F112,'Qida bazası'!$A:$A,0))/100,1)</f>
        <v/>
      </c>
      <c r="K112" s="7">
        <f>ROUND(G112*INDEX('Qida bazası'!$G:$G,MATCH(F112,'Qida bazası'!$A:$A,0))/100,1)</f>
        <v/>
      </c>
    </row>
    <row r="113">
      <c r="A113" s="6" t="n"/>
      <c r="B113" s="7" t="n"/>
      <c r="C113" s="6" t="n"/>
      <c r="D113" s="7" t="n"/>
      <c r="E113" s="7" t="n"/>
      <c r="F113" s="7" t="inlineStr">
        <is>
          <t>Kruasan (bar) (cornetto / brioche)</t>
        </is>
      </c>
      <c r="G113" s="7" t="n">
        <v>60</v>
      </c>
      <c r="H113" s="7">
        <f>ROUND(G113*INDEX('Qida bazası'!$D:$D,MATCH(F113,'Qida bazası'!$A:$A,0))/100,0)</f>
        <v/>
      </c>
      <c r="I113" s="7">
        <f>ROUND(G113*INDEX('Qida bazası'!$E:$E,MATCH(F113,'Qida bazası'!$A:$A,0))/100,1)</f>
        <v/>
      </c>
      <c r="J113" s="7">
        <f>ROUND(G113*INDEX('Qida bazası'!$F:$F,MATCH(F113,'Qida bazası'!$A:$A,0))/100,1)</f>
        <v/>
      </c>
      <c r="K113" s="7">
        <f>ROUND(G113*INDEX('Qida bazası'!$G:$G,MATCH(F113,'Qida bazası'!$A:$A,0))/100,1)</f>
        <v/>
      </c>
    </row>
    <row r="114">
      <c r="A114" s="6" t="n"/>
      <c r="B114" s="7" t="n"/>
      <c r="C114" s="6" t="n"/>
      <c r="D114" s="7" t="n"/>
      <c r="E114" s="7" t="n"/>
      <c r="F114" s="7" t="inlineStr">
        <is>
          <t>Skyr (skyr)</t>
        </is>
      </c>
      <c r="G114" s="7" t="n">
        <v>150</v>
      </c>
      <c r="H114" s="7">
        <f>ROUND(G114*INDEX('Qida bazası'!$D:$D,MATCH(F114,'Qida bazası'!$A:$A,0))/100,0)</f>
        <v/>
      </c>
      <c r="I114" s="7">
        <f>ROUND(G114*INDEX('Qida bazası'!$E:$E,MATCH(F114,'Qida bazası'!$A:$A,0))/100,1)</f>
        <v/>
      </c>
      <c r="J114" s="7">
        <f>ROUND(G114*INDEX('Qida bazası'!$F:$F,MATCH(F114,'Qida bazası'!$A:$A,0))/100,1)</f>
        <v/>
      </c>
      <c r="K114" s="7">
        <f>ROUND(G114*INDEX('Qida bazası'!$G:$G,MATCH(F114,'Qida bazası'!$A:$A,0))/100,1)</f>
        <v/>
      </c>
    </row>
    <row r="115">
      <c r="A115" s="6" t="n"/>
      <c r="B115" s="7" t="n"/>
      <c r="C115" s="6" t="inlineStr">
        <is>
          <t>Qəlyanaltı 1</t>
        </is>
      </c>
      <c r="D115" s="7" t="inlineStr">
        <is>
          <t>11:00</t>
        </is>
      </c>
      <c r="E115" s="7" t="inlineStr">
        <is>
          <t>Banan, badam</t>
        </is>
      </c>
      <c r="F115" s="7" t="inlineStr">
        <is>
          <t>Banan (banana)</t>
        </is>
      </c>
      <c r="G115" s="7" t="n">
        <v>120</v>
      </c>
      <c r="H115" s="7">
        <f>ROUND(G115*INDEX('Qida bazası'!$D:$D,MATCH(F115,'Qida bazası'!$A:$A,0))/100,0)</f>
        <v/>
      </c>
      <c r="I115" s="7">
        <f>ROUND(G115*INDEX('Qida bazası'!$E:$E,MATCH(F115,'Qida bazası'!$A:$A,0))/100,1)</f>
        <v/>
      </c>
      <c r="J115" s="7">
        <f>ROUND(G115*INDEX('Qida bazası'!$F:$F,MATCH(F115,'Qida bazası'!$A:$A,0))/100,1)</f>
        <v/>
      </c>
      <c r="K115" s="7">
        <f>ROUND(G115*INDEX('Qida bazası'!$G:$G,MATCH(F115,'Qida bazası'!$A:$A,0))/100,1)</f>
        <v/>
      </c>
    </row>
    <row r="116">
      <c r="A116" s="6" t="n"/>
      <c r="B116" s="7" t="n"/>
      <c r="C116" s="6" t="n"/>
      <c r="D116" s="7" t="n"/>
      <c r="E116" s="7" t="n"/>
      <c r="F116" s="7" t="inlineStr">
        <is>
          <t>Badam (mandorle)</t>
        </is>
      </c>
      <c r="G116" s="7" t="n">
        <v>25</v>
      </c>
      <c r="H116" s="7">
        <f>ROUND(G116*INDEX('Qida bazası'!$D:$D,MATCH(F116,'Qida bazası'!$A:$A,0))/100,0)</f>
        <v/>
      </c>
      <c r="I116" s="7">
        <f>ROUND(G116*INDEX('Qida bazası'!$E:$E,MATCH(F116,'Qida bazası'!$A:$A,0))/100,1)</f>
        <v/>
      </c>
      <c r="J116" s="7">
        <f>ROUND(G116*INDEX('Qida bazası'!$F:$F,MATCH(F116,'Qida bazası'!$A:$A,0))/100,1)</f>
        <v/>
      </c>
      <c r="K116" s="7">
        <f>ROUND(G116*INDEX('Qida bazası'!$G:$G,MATCH(F116,'Qida bazası'!$A:$A,0))/100,1)</f>
        <v/>
      </c>
    </row>
    <row r="117">
      <c r="A117" s="6" t="n"/>
      <c r="B117" s="7" t="n"/>
      <c r="C117" s="6" t="inlineStr">
        <is>
          <t>Nahar</t>
        </is>
      </c>
      <c r="D117" s="7" t="inlineStr">
        <is>
          <t>13:30</t>
        </is>
      </c>
      <c r="E117" s="7" t="inlineStr">
        <is>
          <t>Tortellini in brodo + toyuq salatı</t>
        </is>
      </c>
      <c r="F117" s="7" t="inlineStr">
        <is>
          <t>Tortellini in brodo (hazır) (tortellini in brodo)</t>
        </is>
      </c>
      <c r="G117" s="7" t="n">
        <v>300</v>
      </c>
      <c r="H117" s="7">
        <f>ROUND(G117*INDEX('Qida bazası'!$D:$D,MATCH(F117,'Qida bazası'!$A:$A,0))/100,0)</f>
        <v/>
      </c>
      <c r="I117" s="7">
        <f>ROUND(G117*INDEX('Qida bazası'!$E:$E,MATCH(F117,'Qida bazası'!$A:$A,0))/100,1)</f>
        <v/>
      </c>
      <c r="J117" s="7">
        <f>ROUND(G117*INDEX('Qida bazası'!$F:$F,MATCH(F117,'Qida bazası'!$A:$A,0))/100,1)</f>
        <v/>
      </c>
      <c r="K117" s="7">
        <f>ROUND(G117*INDEX('Qida bazası'!$G:$G,MATCH(F117,'Qida bazası'!$A:$A,0))/100,1)</f>
        <v/>
      </c>
    </row>
    <row r="118">
      <c r="A118" s="6" t="n"/>
      <c r="B118" s="7" t="n"/>
      <c r="C118" s="6" t="n"/>
      <c r="D118" s="7" t="n"/>
      <c r="E118" s="7" t="n"/>
      <c r="F118" s="7" t="inlineStr">
        <is>
          <t>Toyuq döşü (çiy) (petto di pollo)</t>
        </is>
      </c>
      <c r="G118" s="7" t="n">
        <v>120</v>
      </c>
      <c r="H118" s="7">
        <f>ROUND(G118*INDEX('Qida bazası'!$D:$D,MATCH(F118,'Qida bazası'!$A:$A,0))/100,0)</f>
        <v/>
      </c>
      <c r="I118" s="7">
        <f>ROUND(G118*INDEX('Qida bazası'!$E:$E,MATCH(F118,'Qida bazası'!$A:$A,0))/100,1)</f>
        <v/>
      </c>
      <c r="J118" s="7">
        <f>ROUND(G118*INDEX('Qida bazası'!$F:$F,MATCH(F118,'Qida bazası'!$A:$A,0))/100,1)</f>
        <v/>
      </c>
      <c r="K118" s="7">
        <f>ROUND(G118*INDEX('Qida bazası'!$G:$G,MATCH(F118,'Qida bazası'!$A:$A,0))/100,1)</f>
        <v/>
      </c>
    </row>
    <row r="119">
      <c r="A119" s="6" t="n"/>
      <c r="B119" s="7" t="n"/>
      <c r="C119" s="6" t="n"/>
      <c r="D119" s="7" t="n"/>
      <c r="E119" s="7" t="n"/>
      <c r="F119" s="7" t="inlineStr">
        <is>
          <t>Yaşıl salat (insalata)</t>
        </is>
      </c>
      <c r="G119" s="7" t="n">
        <v>100</v>
      </c>
      <c r="H119" s="7">
        <f>ROUND(G119*INDEX('Qida bazası'!$D:$D,MATCH(F119,'Qida bazası'!$A:$A,0))/100,0)</f>
        <v/>
      </c>
      <c r="I119" s="7">
        <f>ROUND(G119*INDEX('Qida bazası'!$E:$E,MATCH(F119,'Qida bazası'!$A:$A,0))/100,1)</f>
        <v/>
      </c>
      <c r="J119" s="7">
        <f>ROUND(G119*INDEX('Qida bazası'!$F:$F,MATCH(F119,'Qida bazası'!$A:$A,0))/100,1)</f>
        <v/>
      </c>
      <c r="K119" s="7">
        <f>ROUND(G119*INDEX('Qida bazası'!$G:$G,MATCH(F119,'Qida bazası'!$A:$A,0))/100,1)</f>
        <v/>
      </c>
    </row>
    <row r="120">
      <c r="A120" s="6" t="n"/>
      <c r="B120" s="7" t="n"/>
      <c r="C120" s="6" t="n"/>
      <c r="D120" s="7" t="n"/>
      <c r="E120" s="7" t="n"/>
      <c r="F120" s="7" t="inlineStr">
        <is>
          <t>Zeytun yağı (olio extravergine)</t>
        </is>
      </c>
      <c r="G120" s="7" t="n">
        <v>5</v>
      </c>
      <c r="H120" s="7">
        <f>ROUND(G120*INDEX('Qida bazası'!$D:$D,MATCH(F120,'Qida bazası'!$A:$A,0))/100,0)</f>
        <v/>
      </c>
      <c r="I120" s="7">
        <f>ROUND(G120*INDEX('Qida bazası'!$E:$E,MATCH(F120,'Qida bazası'!$A:$A,0))/100,1)</f>
        <v/>
      </c>
      <c r="J120" s="7">
        <f>ROUND(G120*INDEX('Qida bazası'!$F:$F,MATCH(F120,'Qida bazası'!$A:$A,0))/100,1)</f>
        <v/>
      </c>
      <c r="K120" s="7">
        <f>ROUND(G120*INDEX('Qida bazası'!$G:$G,MATCH(F120,'Qida bazası'!$A:$A,0))/100,1)</f>
        <v/>
      </c>
    </row>
    <row r="121">
      <c r="A121" s="6" t="n"/>
      <c r="B121" s="7" t="n"/>
      <c r="C121" s="6" t="n"/>
      <c r="D121" s="7" t="n"/>
      <c r="E121" s="7" t="n"/>
      <c r="F121" s="7" t="inlineStr">
        <is>
          <t>Ağ çörək (pane comune)</t>
        </is>
      </c>
      <c r="G121" s="7" t="n">
        <v>60</v>
      </c>
      <c r="H121" s="7">
        <f>ROUND(G121*INDEX('Qida bazası'!$D:$D,MATCH(F121,'Qida bazası'!$A:$A,0))/100,0)</f>
        <v/>
      </c>
      <c r="I121" s="7">
        <f>ROUND(G121*INDEX('Qida bazası'!$E:$E,MATCH(F121,'Qida bazası'!$A:$A,0))/100,1)</f>
        <v/>
      </c>
      <c r="J121" s="7">
        <f>ROUND(G121*INDEX('Qida bazası'!$F:$F,MATCH(F121,'Qida bazası'!$A:$A,0))/100,1)</f>
        <v/>
      </c>
      <c r="K121" s="7">
        <f>ROUND(G121*INDEX('Qida bazası'!$G:$G,MATCH(F121,'Qida bazası'!$A:$A,0))/100,1)</f>
        <v/>
      </c>
    </row>
    <row r="122">
      <c r="A122" s="6" t="n"/>
      <c r="B122" s="7" t="n"/>
      <c r="C122" s="6" t="inlineStr">
        <is>
          <t>Qəlyanaltı 2</t>
        </is>
      </c>
      <c r="D122" s="7" t="inlineStr">
        <is>
          <t>17:00</t>
        </is>
      </c>
      <c r="E122" s="7" t="inlineStr">
        <is>
          <t>Kəsmik, üzüm</t>
        </is>
      </c>
      <c r="F122" s="7" t="inlineStr">
        <is>
          <t>Dənəli kəsmik (fiocchi di latte)</t>
        </is>
      </c>
      <c r="G122" s="7" t="n">
        <v>150</v>
      </c>
      <c r="H122" s="7">
        <f>ROUND(G122*INDEX('Qida bazası'!$D:$D,MATCH(F122,'Qida bazası'!$A:$A,0))/100,0)</f>
        <v/>
      </c>
      <c r="I122" s="7">
        <f>ROUND(G122*INDEX('Qida bazası'!$E:$E,MATCH(F122,'Qida bazası'!$A:$A,0))/100,1)</f>
        <v/>
      </c>
      <c r="J122" s="7">
        <f>ROUND(G122*INDEX('Qida bazası'!$F:$F,MATCH(F122,'Qida bazası'!$A:$A,0))/100,1)</f>
        <v/>
      </c>
      <c r="K122" s="7">
        <f>ROUND(G122*INDEX('Qida bazası'!$G:$G,MATCH(F122,'Qida bazası'!$A:$A,0))/100,1)</f>
        <v/>
      </c>
    </row>
    <row r="123">
      <c r="A123" s="6" t="n"/>
      <c r="B123" s="7" t="n"/>
      <c r="C123" s="6" t="n"/>
      <c r="D123" s="7" t="n"/>
      <c r="E123" s="7" t="n"/>
      <c r="F123" s="7" t="inlineStr">
        <is>
          <t>Üzüm (uva)</t>
        </is>
      </c>
      <c r="G123" s="7" t="n">
        <v>200</v>
      </c>
      <c r="H123" s="7">
        <f>ROUND(G123*INDEX('Qida bazası'!$D:$D,MATCH(F123,'Qida bazası'!$A:$A,0))/100,0)</f>
        <v/>
      </c>
      <c r="I123" s="7">
        <f>ROUND(G123*INDEX('Qida bazası'!$E:$E,MATCH(F123,'Qida bazası'!$A:$A,0))/100,1)</f>
        <v/>
      </c>
      <c r="J123" s="7">
        <f>ROUND(G123*INDEX('Qida bazası'!$F:$F,MATCH(F123,'Qida bazası'!$A:$A,0))/100,1)</f>
        <v/>
      </c>
      <c r="K123" s="7">
        <f>ROUND(G123*INDEX('Qida bazası'!$G:$G,MATCH(F123,'Qida bazası'!$A:$A,0))/100,1)</f>
        <v/>
      </c>
    </row>
    <row r="124">
      <c r="A124" s="6" t="n"/>
      <c r="B124" s="7" t="n"/>
      <c r="C124" s="6" t="n"/>
      <c r="D124" s="7" t="n"/>
      <c r="E124" s="7" t="n"/>
      <c r="F124" s="7" t="inlineStr">
        <is>
          <t>Bal (miele)</t>
        </is>
      </c>
      <c r="G124" s="7" t="n">
        <v>10</v>
      </c>
      <c r="H124" s="7">
        <f>ROUND(G124*INDEX('Qida bazası'!$D:$D,MATCH(F124,'Qida bazası'!$A:$A,0))/100,0)</f>
        <v/>
      </c>
      <c r="I124" s="7">
        <f>ROUND(G124*INDEX('Qida bazası'!$E:$E,MATCH(F124,'Qida bazası'!$A:$A,0))/100,1)</f>
        <v/>
      </c>
      <c r="J124" s="7">
        <f>ROUND(G124*INDEX('Qida bazası'!$F:$F,MATCH(F124,'Qida bazası'!$A:$A,0))/100,1)</f>
        <v/>
      </c>
      <c r="K124" s="7">
        <f>ROUND(G124*INDEX('Qida bazası'!$G:$G,MATCH(F124,'Qida bazası'!$A:$A,0))/100,1)</f>
        <v/>
      </c>
    </row>
    <row r="125">
      <c r="A125" s="6" t="n"/>
      <c r="B125" s="7" t="n"/>
      <c r="C125" s="6" t="inlineStr">
        <is>
          <t>Şam yeməyi</t>
        </is>
      </c>
      <c r="D125" s="7" t="inlineStr">
        <is>
          <t>20:30</t>
        </is>
      </c>
      <c r="E125" s="7" t="inlineStr">
        <is>
          <t>Pizza margherita (bayır), salat</t>
        </is>
      </c>
      <c r="F125" s="7" t="inlineStr">
        <is>
          <t>Pizza margherita (pizza margherita)</t>
        </is>
      </c>
      <c r="G125" s="7" t="n">
        <v>300</v>
      </c>
      <c r="H125" s="7">
        <f>ROUND(G125*INDEX('Qida bazası'!$D:$D,MATCH(F125,'Qida bazası'!$A:$A,0))/100,0)</f>
        <v/>
      </c>
      <c r="I125" s="7">
        <f>ROUND(G125*INDEX('Qida bazası'!$E:$E,MATCH(F125,'Qida bazası'!$A:$A,0))/100,1)</f>
        <v/>
      </c>
      <c r="J125" s="7">
        <f>ROUND(G125*INDEX('Qida bazası'!$F:$F,MATCH(F125,'Qida bazası'!$A:$A,0))/100,1)</f>
        <v/>
      </c>
      <c r="K125" s="7">
        <f>ROUND(G125*INDEX('Qida bazası'!$G:$G,MATCH(F125,'Qida bazası'!$A:$A,0))/100,1)</f>
        <v/>
      </c>
    </row>
    <row r="126">
      <c r="A126" s="6" t="n"/>
      <c r="B126" s="7" t="n"/>
      <c r="C126" s="6" t="n"/>
      <c r="D126" s="7" t="n"/>
      <c r="E126" s="7" t="n"/>
      <c r="F126" s="7" t="inlineStr">
        <is>
          <t>Yaşıl salat (insalata)</t>
        </is>
      </c>
      <c r="G126" s="7" t="n">
        <v>80</v>
      </c>
      <c r="H126" s="7">
        <f>ROUND(G126*INDEX('Qida bazası'!$D:$D,MATCH(F126,'Qida bazası'!$A:$A,0))/100,0)</f>
        <v/>
      </c>
      <c r="I126" s="7">
        <f>ROUND(G126*INDEX('Qida bazası'!$E:$E,MATCH(F126,'Qida bazası'!$A:$A,0))/100,1)</f>
        <v/>
      </c>
      <c r="J126" s="7">
        <f>ROUND(G126*INDEX('Qida bazası'!$F:$F,MATCH(F126,'Qida bazası'!$A:$A,0))/100,1)</f>
        <v/>
      </c>
      <c r="K126" s="7">
        <f>ROUND(G126*INDEX('Qida bazası'!$G:$G,MATCH(F126,'Qida bazası'!$A:$A,0))/100,1)</f>
        <v/>
      </c>
    </row>
    <row r="127">
      <c r="F127" s="6" t="inlineStr">
        <is>
          <t>Cəmi: Şənbə</t>
        </is>
      </c>
      <c r="H127" s="27">
        <f>SUM(H112:H126)</f>
        <v/>
      </c>
      <c r="I127" s="27">
        <f>SUM(I112:I126)</f>
        <v/>
      </c>
      <c r="J127" s="27">
        <f>SUM(J112:J126)</f>
        <v/>
      </c>
      <c r="K127" s="27">
        <f>SUM(K112:K126)</f>
        <v/>
      </c>
    </row>
    <row r="128">
      <c r="G128" s="9" t="inlineStr">
        <is>
          <t>norma</t>
        </is>
      </c>
      <c r="H128" s="28">
        <f>Profil!$B$16</f>
        <v/>
      </c>
      <c r="I128" s="29">
        <f>Profil!$B$20</f>
        <v/>
      </c>
    </row>
    <row r="129"/>
    <row r="130">
      <c r="A130" s="6" t="inlineStr">
        <is>
          <t>Bazar</t>
        </is>
      </c>
      <c r="B130" s="7" t="inlineStr">
        <is>
          <t>İstirahət</t>
        </is>
      </c>
      <c r="C130" s="6" t="inlineStr">
        <is>
          <t>Səhər yeməyi</t>
        </is>
      </c>
      <c r="D130" s="7" t="inlineStr">
        <is>
          <t>08:00</t>
        </is>
      </c>
      <c r="E130" s="7" t="inlineStr">
        <is>
          <t>Yulaf pancake (yulaf + yumurta + banan)</t>
        </is>
      </c>
      <c r="F130" s="7" t="inlineStr">
        <is>
          <t>Yulaf yarması (fiocchi d'avena)</t>
        </is>
      </c>
      <c r="G130" s="7" t="n">
        <v>70</v>
      </c>
      <c r="H130" s="7">
        <f>ROUND(G130*INDEX('Qida bazası'!$D:$D,MATCH(F130,'Qida bazası'!$A:$A,0))/100,0)</f>
        <v/>
      </c>
      <c r="I130" s="7">
        <f>ROUND(G130*INDEX('Qida bazası'!$E:$E,MATCH(F130,'Qida bazası'!$A:$A,0))/100,1)</f>
        <v/>
      </c>
      <c r="J130" s="7">
        <f>ROUND(G130*INDEX('Qida bazası'!$F:$F,MATCH(F130,'Qida bazası'!$A:$A,0))/100,1)</f>
        <v/>
      </c>
      <c r="K130" s="7">
        <f>ROUND(G130*INDEX('Qida bazası'!$G:$G,MATCH(F130,'Qida bazası'!$A:$A,0))/100,1)</f>
        <v/>
      </c>
    </row>
    <row r="131">
      <c r="A131" s="6" t="n"/>
      <c r="B131" s="7" t="n"/>
      <c r="C131" s="6" t="n"/>
      <c r="D131" s="7" t="n"/>
      <c r="E131" s="7" t="n"/>
      <c r="F131" s="7" t="inlineStr">
        <is>
          <t>Yumurta (uova)</t>
        </is>
      </c>
      <c r="G131" s="7" t="n">
        <v>110</v>
      </c>
      <c r="H131" s="7">
        <f>ROUND(G131*INDEX('Qida bazası'!$D:$D,MATCH(F131,'Qida bazası'!$A:$A,0))/100,0)</f>
        <v/>
      </c>
      <c r="I131" s="7">
        <f>ROUND(G131*INDEX('Qida bazası'!$E:$E,MATCH(F131,'Qida bazası'!$A:$A,0))/100,1)</f>
        <v/>
      </c>
      <c r="J131" s="7">
        <f>ROUND(G131*INDEX('Qida bazası'!$F:$F,MATCH(F131,'Qida bazası'!$A:$A,0))/100,1)</f>
        <v/>
      </c>
      <c r="K131" s="7">
        <f>ROUND(G131*INDEX('Qida bazası'!$G:$G,MATCH(F131,'Qida bazası'!$A:$A,0))/100,1)</f>
        <v/>
      </c>
    </row>
    <row r="132">
      <c r="A132" s="6" t="n"/>
      <c r="B132" s="7" t="n"/>
      <c r="C132" s="6" t="n"/>
      <c r="D132" s="7" t="n"/>
      <c r="E132" s="7" t="n"/>
      <c r="F132" s="7" t="inlineStr">
        <is>
          <t>Banan (banana)</t>
        </is>
      </c>
      <c r="G132" s="7" t="n">
        <v>120</v>
      </c>
      <c r="H132" s="7">
        <f>ROUND(G132*INDEX('Qida bazası'!$D:$D,MATCH(F132,'Qida bazası'!$A:$A,0))/100,0)</f>
        <v/>
      </c>
      <c r="I132" s="7">
        <f>ROUND(G132*INDEX('Qida bazası'!$E:$E,MATCH(F132,'Qida bazası'!$A:$A,0))/100,1)</f>
        <v/>
      </c>
      <c r="J132" s="7">
        <f>ROUND(G132*INDEX('Qida bazası'!$F:$F,MATCH(F132,'Qida bazası'!$A:$A,0))/100,1)</f>
        <v/>
      </c>
      <c r="K132" s="7">
        <f>ROUND(G132*INDEX('Qida bazası'!$G:$G,MATCH(F132,'Qida bazası'!$A:$A,0))/100,1)</f>
        <v/>
      </c>
    </row>
    <row r="133">
      <c r="A133" s="6" t="n"/>
      <c r="B133" s="7" t="n"/>
      <c r="C133" s="6" t="n"/>
      <c r="D133" s="7" t="n"/>
      <c r="E133" s="7" t="n"/>
      <c r="F133" s="7" t="inlineStr">
        <is>
          <t>Yunan yoqurtu 0% (yogurt greco 0%)</t>
        </is>
      </c>
      <c r="G133" s="7" t="n">
        <v>100</v>
      </c>
      <c r="H133" s="7">
        <f>ROUND(G133*INDEX('Qida bazası'!$D:$D,MATCH(F133,'Qida bazası'!$A:$A,0))/100,0)</f>
        <v/>
      </c>
      <c r="I133" s="7">
        <f>ROUND(G133*INDEX('Qida bazası'!$E:$E,MATCH(F133,'Qida bazası'!$A:$A,0))/100,1)</f>
        <v/>
      </c>
      <c r="J133" s="7">
        <f>ROUND(G133*INDEX('Qida bazası'!$F:$F,MATCH(F133,'Qida bazası'!$A:$A,0))/100,1)</f>
        <v/>
      </c>
      <c r="K133" s="7">
        <f>ROUND(G133*INDEX('Qida bazası'!$G:$G,MATCH(F133,'Qida bazası'!$A:$A,0))/100,1)</f>
        <v/>
      </c>
    </row>
    <row r="134">
      <c r="A134" s="6" t="n"/>
      <c r="B134" s="7" t="n"/>
      <c r="C134" s="6" t="n"/>
      <c r="D134" s="7" t="n"/>
      <c r="E134" s="7" t="n"/>
      <c r="F134" s="7" t="inlineStr">
        <is>
          <t>Bal (miele)</t>
        </is>
      </c>
      <c r="G134" s="7" t="n">
        <v>10</v>
      </c>
      <c r="H134" s="7">
        <f>ROUND(G134*INDEX('Qida bazası'!$D:$D,MATCH(F134,'Qida bazası'!$A:$A,0))/100,0)</f>
        <v/>
      </c>
      <c r="I134" s="7">
        <f>ROUND(G134*INDEX('Qida bazası'!$E:$E,MATCH(F134,'Qida bazası'!$A:$A,0))/100,1)</f>
        <v/>
      </c>
      <c r="J134" s="7">
        <f>ROUND(G134*INDEX('Qida bazası'!$F:$F,MATCH(F134,'Qida bazası'!$A:$A,0))/100,1)</f>
        <v/>
      </c>
      <c r="K134" s="7">
        <f>ROUND(G134*INDEX('Qida bazası'!$G:$G,MATCH(F134,'Qida bazası'!$A:$A,0))/100,1)</f>
        <v/>
      </c>
    </row>
    <row r="135">
      <c r="A135" s="6" t="n"/>
      <c r="B135" s="7" t="n"/>
      <c r="C135" s="6" t="inlineStr">
        <is>
          <t>Qəlyanaltı 1</t>
        </is>
      </c>
      <c r="D135" s="7" t="inlineStr">
        <is>
          <t>11:00</t>
        </is>
      </c>
      <c r="E135" s="7" t="inlineStr">
        <is>
          <t>Kefir, qoz</t>
        </is>
      </c>
      <c r="F135" s="7" t="inlineStr">
        <is>
          <t>Kefir (kefir)</t>
        </is>
      </c>
      <c r="G135" s="7" t="n">
        <v>250</v>
      </c>
      <c r="H135" s="7">
        <f>ROUND(G135*INDEX('Qida bazası'!$D:$D,MATCH(F135,'Qida bazası'!$A:$A,0))/100,0)</f>
        <v/>
      </c>
      <c r="I135" s="7">
        <f>ROUND(G135*INDEX('Qida bazası'!$E:$E,MATCH(F135,'Qida bazası'!$A:$A,0))/100,1)</f>
        <v/>
      </c>
      <c r="J135" s="7">
        <f>ROUND(G135*INDEX('Qida bazası'!$F:$F,MATCH(F135,'Qida bazası'!$A:$A,0))/100,1)</f>
        <v/>
      </c>
      <c r="K135" s="7">
        <f>ROUND(G135*INDEX('Qida bazası'!$G:$G,MATCH(F135,'Qida bazası'!$A:$A,0))/100,1)</f>
        <v/>
      </c>
    </row>
    <row r="136">
      <c r="A136" s="6" t="n"/>
      <c r="B136" s="7" t="n"/>
      <c r="C136" s="6" t="n"/>
      <c r="D136" s="7" t="n"/>
      <c r="E136" s="7" t="n"/>
      <c r="F136" s="7" t="inlineStr">
        <is>
          <t>Qoz (noci)</t>
        </is>
      </c>
      <c r="G136" s="7" t="n">
        <v>10</v>
      </c>
      <c r="H136" s="7">
        <f>ROUND(G136*INDEX('Qida bazası'!$D:$D,MATCH(F136,'Qida bazası'!$A:$A,0))/100,0)</f>
        <v/>
      </c>
      <c r="I136" s="7">
        <f>ROUND(G136*INDEX('Qida bazası'!$E:$E,MATCH(F136,'Qida bazası'!$A:$A,0))/100,1)</f>
        <v/>
      </c>
      <c r="J136" s="7">
        <f>ROUND(G136*INDEX('Qida bazası'!$F:$F,MATCH(F136,'Qida bazası'!$A:$A,0))/100,1)</f>
        <v/>
      </c>
      <c r="K136" s="7">
        <f>ROUND(G136*INDEX('Qida bazası'!$G:$G,MATCH(F136,'Qida bazası'!$A:$A,0))/100,1)</f>
        <v/>
      </c>
    </row>
    <row r="137">
      <c r="A137" s="6" t="n"/>
      <c r="B137" s="7" t="n"/>
      <c r="C137" s="6" t="inlineStr">
        <is>
          <t>Nahar</t>
        </is>
      </c>
      <c r="D137" s="7" t="inlineStr">
        <is>
          <t>13:30</t>
        </is>
      </c>
      <c r="E137" s="7" t="inlineStr">
        <is>
          <t>Mal əti, kartof, salat</t>
        </is>
      </c>
      <c r="F137" s="7" t="inlineStr">
        <is>
          <t>Mal əti, yağsız (çiy) (fesa di manzo)</t>
        </is>
      </c>
      <c r="G137" s="7" t="n">
        <v>150</v>
      </c>
      <c r="H137" s="7">
        <f>ROUND(G137*INDEX('Qida bazası'!$D:$D,MATCH(F137,'Qida bazası'!$A:$A,0))/100,0)</f>
        <v/>
      </c>
      <c r="I137" s="7">
        <f>ROUND(G137*INDEX('Qida bazası'!$E:$E,MATCH(F137,'Qida bazası'!$A:$A,0))/100,1)</f>
        <v/>
      </c>
      <c r="J137" s="7">
        <f>ROUND(G137*INDEX('Qida bazası'!$F:$F,MATCH(F137,'Qida bazası'!$A:$A,0))/100,1)</f>
        <v/>
      </c>
      <c r="K137" s="7">
        <f>ROUND(G137*INDEX('Qida bazası'!$G:$G,MATCH(F137,'Qida bazası'!$A:$A,0))/100,1)</f>
        <v/>
      </c>
    </row>
    <row r="138">
      <c r="A138" s="6" t="n"/>
      <c r="B138" s="7" t="n"/>
      <c r="C138" s="6" t="n"/>
      <c r="D138" s="7" t="n"/>
      <c r="E138" s="7" t="n"/>
      <c r="F138" s="7" t="inlineStr">
        <is>
          <t>Kartof (patate)</t>
        </is>
      </c>
      <c r="G138" s="7" t="n">
        <v>350</v>
      </c>
      <c r="H138" s="7">
        <f>ROUND(G138*INDEX('Qida bazası'!$D:$D,MATCH(F138,'Qida bazası'!$A:$A,0))/100,0)</f>
        <v/>
      </c>
      <c r="I138" s="7">
        <f>ROUND(G138*INDEX('Qida bazası'!$E:$E,MATCH(F138,'Qida bazası'!$A:$A,0))/100,1)</f>
        <v/>
      </c>
      <c r="J138" s="7">
        <f>ROUND(G138*INDEX('Qida bazası'!$F:$F,MATCH(F138,'Qida bazası'!$A:$A,0))/100,1)</f>
        <v/>
      </c>
      <c r="K138" s="7">
        <f>ROUND(G138*INDEX('Qida bazası'!$G:$G,MATCH(F138,'Qida bazası'!$A:$A,0))/100,1)</f>
        <v/>
      </c>
    </row>
    <row r="139">
      <c r="A139" s="6" t="n"/>
      <c r="B139" s="7" t="n"/>
      <c r="C139" s="6" t="n"/>
      <c r="D139" s="7" t="n"/>
      <c r="E139" s="7" t="n"/>
      <c r="F139" s="7" t="inlineStr">
        <is>
          <t>Yaşıl salat (insalata)</t>
        </is>
      </c>
      <c r="G139" s="7" t="n">
        <v>100</v>
      </c>
      <c r="H139" s="7">
        <f>ROUND(G139*INDEX('Qida bazası'!$D:$D,MATCH(F139,'Qida bazası'!$A:$A,0))/100,0)</f>
        <v/>
      </c>
      <c r="I139" s="7">
        <f>ROUND(G139*INDEX('Qida bazası'!$E:$E,MATCH(F139,'Qida bazası'!$A:$A,0))/100,1)</f>
        <v/>
      </c>
      <c r="J139" s="7">
        <f>ROUND(G139*INDEX('Qida bazası'!$F:$F,MATCH(F139,'Qida bazası'!$A:$A,0))/100,1)</f>
        <v/>
      </c>
      <c r="K139" s="7">
        <f>ROUND(G139*INDEX('Qida bazası'!$G:$G,MATCH(F139,'Qida bazası'!$A:$A,0))/100,1)</f>
        <v/>
      </c>
    </row>
    <row r="140">
      <c r="A140" s="6" t="n"/>
      <c r="B140" s="7" t="n"/>
      <c r="C140" s="6" t="n"/>
      <c r="D140" s="7" t="n"/>
      <c r="E140" s="7" t="n"/>
      <c r="F140" s="7" t="inlineStr">
        <is>
          <t>Zeytun yağı (olio extravergine)</t>
        </is>
      </c>
      <c r="G140" s="7" t="n">
        <v>5</v>
      </c>
      <c r="H140" s="7">
        <f>ROUND(G140*INDEX('Qida bazası'!$D:$D,MATCH(F140,'Qida bazası'!$A:$A,0))/100,0)</f>
        <v/>
      </c>
      <c r="I140" s="7">
        <f>ROUND(G140*INDEX('Qida bazası'!$E:$E,MATCH(F140,'Qida bazası'!$A:$A,0))/100,1)</f>
        <v/>
      </c>
      <c r="J140" s="7">
        <f>ROUND(G140*INDEX('Qida bazası'!$F:$F,MATCH(F140,'Qida bazası'!$A:$A,0))/100,1)</f>
        <v/>
      </c>
      <c r="K140" s="7">
        <f>ROUND(G140*INDEX('Qida bazası'!$G:$G,MATCH(F140,'Qida bazası'!$A:$A,0))/100,1)</f>
        <v/>
      </c>
    </row>
    <row r="141">
      <c r="A141" s="6" t="n"/>
      <c r="B141" s="7" t="n"/>
      <c r="C141" s="6" t="inlineStr">
        <is>
          <t>Qəlyanaltı 2</t>
        </is>
      </c>
      <c r="D141" s="7" t="inlineStr">
        <is>
          <t>17:00</t>
        </is>
      </c>
      <c r="E141" s="7" t="inlineStr">
        <is>
          <t>Piadina + mortadella + motsarella</t>
        </is>
      </c>
      <c r="F141" s="7" t="inlineStr">
        <is>
          <t>Piadina (piadina romagnola)</t>
        </is>
      </c>
      <c r="G141" s="7" t="n">
        <v>110</v>
      </c>
      <c r="H141" s="7">
        <f>ROUND(G141*INDEX('Qida bazası'!$D:$D,MATCH(F141,'Qida bazası'!$A:$A,0))/100,0)</f>
        <v/>
      </c>
      <c r="I141" s="7">
        <f>ROUND(G141*INDEX('Qida bazası'!$E:$E,MATCH(F141,'Qida bazası'!$A:$A,0))/100,1)</f>
        <v/>
      </c>
      <c r="J141" s="7">
        <f>ROUND(G141*INDEX('Qida bazası'!$F:$F,MATCH(F141,'Qida bazası'!$A:$A,0))/100,1)</f>
        <v/>
      </c>
      <c r="K141" s="7">
        <f>ROUND(G141*INDEX('Qida bazası'!$G:$G,MATCH(F141,'Qida bazası'!$A:$A,0))/100,1)</f>
        <v/>
      </c>
    </row>
    <row r="142">
      <c r="A142" s="6" t="n"/>
      <c r="B142" s="7" t="n"/>
      <c r="C142" s="6" t="n"/>
      <c r="D142" s="7" t="n"/>
      <c r="E142" s="7" t="n"/>
      <c r="F142" s="7" t="inlineStr">
        <is>
          <t>Mortadella (Bolonya) (mortadella)</t>
        </is>
      </c>
      <c r="G142" s="7" t="n">
        <v>20</v>
      </c>
      <c r="H142" s="7">
        <f>ROUND(G142*INDEX('Qida bazası'!$D:$D,MATCH(F142,'Qida bazası'!$A:$A,0))/100,0)</f>
        <v/>
      </c>
      <c r="I142" s="7">
        <f>ROUND(G142*INDEX('Qida bazası'!$E:$E,MATCH(F142,'Qida bazası'!$A:$A,0))/100,1)</f>
        <v/>
      </c>
      <c r="J142" s="7">
        <f>ROUND(G142*INDEX('Qida bazası'!$F:$F,MATCH(F142,'Qida bazası'!$A:$A,0))/100,1)</f>
        <v/>
      </c>
      <c r="K142" s="7">
        <f>ROUND(G142*INDEX('Qida bazası'!$G:$G,MATCH(F142,'Qida bazası'!$A:$A,0))/100,1)</f>
        <v/>
      </c>
    </row>
    <row r="143">
      <c r="A143" s="6" t="n"/>
      <c r="B143" s="7" t="n"/>
      <c r="C143" s="6" t="n"/>
      <c r="D143" s="7" t="n"/>
      <c r="E143" s="7" t="n"/>
      <c r="F143" s="7" t="inlineStr">
        <is>
          <t>Motsarella (mozzarella)</t>
        </is>
      </c>
      <c r="G143" s="7" t="n">
        <v>30</v>
      </c>
      <c r="H143" s="7">
        <f>ROUND(G143*INDEX('Qida bazası'!$D:$D,MATCH(F143,'Qida bazası'!$A:$A,0))/100,0)</f>
        <v/>
      </c>
      <c r="I143" s="7">
        <f>ROUND(G143*INDEX('Qida bazası'!$E:$E,MATCH(F143,'Qida bazası'!$A:$A,0))/100,1)</f>
        <v/>
      </c>
      <c r="J143" s="7">
        <f>ROUND(G143*INDEX('Qida bazası'!$F:$F,MATCH(F143,'Qida bazası'!$A:$A,0))/100,1)</f>
        <v/>
      </c>
      <c r="K143" s="7">
        <f>ROUND(G143*INDEX('Qida bazası'!$G:$G,MATCH(F143,'Qida bazası'!$A:$A,0))/100,1)</f>
        <v/>
      </c>
    </row>
    <row r="144">
      <c r="A144" s="6" t="n"/>
      <c r="B144" s="7" t="n"/>
      <c r="C144" s="6" t="inlineStr">
        <is>
          <t>Şam yeməyi</t>
        </is>
      </c>
      <c r="D144" s="7" t="inlineStr">
        <is>
          <t>20:30</t>
        </is>
      </c>
      <c r="E144" s="7" t="inlineStr">
        <is>
          <t>Krevet ilə tam taxıl makaron, sukkini</t>
        </is>
      </c>
      <c r="F144" s="7" t="inlineStr">
        <is>
          <t>Tam taxıl makaron (çiy) (pasta integrale)</t>
        </is>
      </c>
      <c r="G144" s="7" t="n">
        <v>90</v>
      </c>
      <c r="H144" s="7">
        <f>ROUND(G144*INDEX('Qida bazası'!$D:$D,MATCH(F144,'Qida bazası'!$A:$A,0))/100,0)</f>
        <v/>
      </c>
      <c r="I144" s="7">
        <f>ROUND(G144*INDEX('Qida bazası'!$E:$E,MATCH(F144,'Qida bazası'!$A:$A,0))/100,1)</f>
        <v/>
      </c>
      <c r="J144" s="7">
        <f>ROUND(G144*INDEX('Qida bazası'!$F:$F,MATCH(F144,'Qida bazası'!$A:$A,0))/100,1)</f>
        <v/>
      </c>
      <c r="K144" s="7">
        <f>ROUND(G144*INDEX('Qida bazası'!$G:$G,MATCH(F144,'Qida bazası'!$A:$A,0))/100,1)</f>
        <v/>
      </c>
    </row>
    <row r="145">
      <c r="A145" s="6" t="n"/>
      <c r="B145" s="7" t="n"/>
      <c r="C145" s="6" t="n"/>
      <c r="D145" s="7" t="n"/>
      <c r="E145" s="7" t="n"/>
      <c r="F145" s="7" t="inlineStr">
        <is>
          <t>Krevet (çiy) (gamberi)</t>
        </is>
      </c>
      <c r="G145" s="7" t="n">
        <v>150</v>
      </c>
      <c r="H145" s="7">
        <f>ROUND(G145*INDEX('Qida bazası'!$D:$D,MATCH(F145,'Qida bazası'!$A:$A,0))/100,0)</f>
        <v/>
      </c>
      <c r="I145" s="7">
        <f>ROUND(G145*INDEX('Qida bazası'!$E:$E,MATCH(F145,'Qida bazası'!$A:$A,0))/100,1)</f>
        <v/>
      </c>
      <c r="J145" s="7">
        <f>ROUND(G145*INDEX('Qida bazası'!$F:$F,MATCH(F145,'Qida bazası'!$A:$A,0))/100,1)</f>
        <v/>
      </c>
      <c r="K145" s="7">
        <f>ROUND(G145*INDEX('Qida bazası'!$G:$G,MATCH(F145,'Qida bazası'!$A:$A,0))/100,1)</f>
        <v/>
      </c>
    </row>
    <row r="146">
      <c r="A146" s="6" t="n"/>
      <c r="B146" s="7" t="n"/>
      <c r="C146" s="6" t="n"/>
      <c r="D146" s="7" t="n"/>
      <c r="E146" s="7" t="n"/>
      <c r="F146" s="7" t="inlineStr">
        <is>
          <t>Sukkini (balqabaq) (zucchine)</t>
        </is>
      </c>
      <c r="G146" s="7" t="n">
        <v>200</v>
      </c>
      <c r="H146" s="7">
        <f>ROUND(G146*INDEX('Qida bazası'!$D:$D,MATCH(F146,'Qida bazası'!$A:$A,0))/100,0)</f>
        <v/>
      </c>
      <c r="I146" s="7">
        <f>ROUND(G146*INDEX('Qida bazası'!$E:$E,MATCH(F146,'Qida bazası'!$A:$A,0))/100,1)</f>
        <v/>
      </c>
      <c r="J146" s="7">
        <f>ROUND(G146*INDEX('Qida bazası'!$F:$F,MATCH(F146,'Qida bazası'!$A:$A,0))/100,1)</f>
        <v/>
      </c>
      <c r="K146" s="7">
        <f>ROUND(G146*INDEX('Qida bazası'!$G:$G,MATCH(F146,'Qida bazası'!$A:$A,0))/100,1)</f>
        <v/>
      </c>
    </row>
    <row r="147">
      <c r="A147" s="6" t="n"/>
      <c r="B147" s="7" t="n"/>
      <c r="C147" s="6" t="n"/>
      <c r="D147" s="7" t="n"/>
      <c r="E147" s="7" t="n"/>
      <c r="F147" s="7" t="inlineStr">
        <is>
          <t>Zeytun yağı (olio extravergine)</t>
        </is>
      </c>
      <c r="G147" s="7" t="n">
        <v>10</v>
      </c>
      <c r="H147" s="7">
        <f>ROUND(G147*INDEX('Qida bazası'!$D:$D,MATCH(F147,'Qida bazası'!$A:$A,0))/100,0)</f>
        <v/>
      </c>
      <c r="I147" s="7">
        <f>ROUND(G147*INDEX('Qida bazası'!$E:$E,MATCH(F147,'Qida bazası'!$A:$A,0))/100,1)</f>
        <v/>
      </c>
      <c r="J147" s="7">
        <f>ROUND(G147*INDEX('Qida bazası'!$F:$F,MATCH(F147,'Qida bazası'!$A:$A,0))/100,1)</f>
        <v/>
      </c>
      <c r="K147" s="7">
        <f>ROUND(G147*INDEX('Qida bazası'!$G:$G,MATCH(F147,'Qida bazası'!$A:$A,0))/100,1)</f>
        <v/>
      </c>
    </row>
    <row r="148">
      <c r="A148" s="6" t="n"/>
      <c r="B148" s="7" t="n"/>
      <c r="C148" s="6" t="n"/>
      <c r="D148" s="7" t="n"/>
      <c r="E148" s="7" t="n"/>
      <c r="F148" s="7" t="inlineStr">
        <is>
          <t>Parmezan (Parmigiano Reggiano)</t>
        </is>
      </c>
      <c r="G148" s="7" t="n">
        <v>10</v>
      </c>
      <c r="H148" s="7">
        <f>ROUND(G148*INDEX('Qida bazası'!$D:$D,MATCH(F148,'Qida bazası'!$A:$A,0))/100,0)</f>
        <v/>
      </c>
      <c r="I148" s="7">
        <f>ROUND(G148*INDEX('Qida bazası'!$E:$E,MATCH(F148,'Qida bazası'!$A:$A,0))/100,1)</f>
        <v/>
      </c>
      <c r="J148" s="7">
        <f>ROUND(G148*INDEX('Qida bazası'!$F:$F,MATCH(F148,'Qida bazası'!$A:$A,0))/100,1)</f>
        <v/>
      </c>
      <c r="K148" s="7">
        <f>ROUND(G148*INDEX('Qida bazası'!$G:$G,MATCH(F148,'Qida bazası'!$A:$A,0))/100,1)</f>
        <v/>
      </c>
    </row>
    <row r="149">
      <c r="F149" s="6" t="inlineStr">
        <is>
          <t>Cəmi: Bazar</t>
        </is>
      </c>
      <c r="H149" s="27">
        <f>SUM(H130:H148)</f>
        <v/>
      </c>
      <c r="I149" s="27">
        <f>SUM(I130:I148)</f>
        <v/>
      </c>
      <c r="J149" s="27">
        <f>SUM(J130:J148)</f>
        <v/>
      </c>
      <c r="K149" s="27">
        <f>SUM(K130:K148)</f>
        <v/>
      </c>
    </row>
    <row r="150">
      <c r="G150" s="9" t="inlineStr">
        <is>
          <t>norma</t>
        </is>
      </c>
      <c r="H150" s="28">
        <f>Profil!$B$16</f>
        <v/>
      </c>
      <c r="I150" s="29">
        <f>Profil!$B$20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60" customWidth="1" min="3" max="3"/>
  </cols>
  <sheetData>
    <row r="1">
      <c r="A1" s="5" t="inlineStr">
        <is>
          <t>İstirahət günü</t>
        </is>
      </c>
    </row>
    <row r="2">
      <c r="A2" s="7" t="inlineStr">
        <is>
          <t>08:00</t>
        </is>
      </c>
      <c r="B2" s="7" t="inlineStr">
        <is>
          <t>Səhər yeməyi</t>
        </is>
      </c>
      <c r="C2" s="9" t="inlineStr">
        <is>
          <t>Oyandıqdan sonra 30–60 dəq ərzində</t>
        </is>
      </c>
    </row>
    <row r="3">
      <c r="A3" s="7" t="inlineStr">
        <is>
          <t>11:00</t>
        </is>
      </c>
      <c r="B3" s="7" t="inlineStr">
        <is>
          <t>Qəlyanaltı 1</t>
        </is>
      </c>
      <c r="C3" s="9" t="inlineStr">
        <is>
          <t>Dərs/iş arasında</t>
        </is>
      </c>
    </row>
    <row r="4">
      <c r="A4" s="7" t="inlineStr">
        <is>
          <t>13:30</t>
        </is>
      </c>
      <c r="B4" s="7" t="inlineStr">
        <is>
          <t>Nahar</t>
        </is>
      </c>
      <c r="C4" s="9" t="inlineStr">
        <is>
          <t>Günün əsas yeməyi</t>
        </is>
      </c>
    </row>
    <row r="5">
      <c r="A5" s="7" t="inlineStr">
        <is>
          <t>17:00</t>
        </is>
      </c>
      <c r="B5" s="7" t="inlineStr">
        <is>
          <t>Qəlyanaltı 2</t>
        </is>
      </c>
      <c r="C5" s="9" t="inlineStr">
        <is>
          <t>Protein + meyvə</t>
        </is>
      </c>
    </row>
    <row r="6">
      <c r="A6" s="7" t="inlineStr">
        <is>
          <t>20:30</t>
        </is>
      </c>
      <c r="B6" s="7" t="inlineStr">
        <is>
          <t>Şam yeməyi</t>
        </is>
      </c>
      <c r="C6" s="9" t="inlineStr">
        <is>
          <t>Yatmazdan 2–3 saat əvvəl</t>
        </is>
      </c>
    </row>
    <row r="7"/>
    <row r="8">
      <c r="A8" s="5" t="inlineStr">
        <is>
          <t>Məşq səhər (≈ 08:30–09:45)</t>
        </is>
      </c>
    </row>
    <row r="9">
      <c r="A9" s="7" t="inlineStr">
        <is>
          <t>07:15</t>
        </is>
      </c>
      <c r="B9" s="7" t="inlineStr">
        <is>
          <t>Qəlyanaltı 1 (məşqdən əvvəl)</t>
        </is>
      </c>
      <c r="C9" s="9" t="inlineStr">
        <is>
          <t>Yüngül: banan + yoqurt və ya 2 qalleta + bal</t>
        </is>
      </c>
    </row>
    <row r="10">
      <c r="A10" s="6" t="inlineStr">
        <is>
          <t>08:30</t>
        </is>
      </c>
      <c r="B10" s="6" t="inlineStr">
        <is>
          <t>MƏŞQ</t>
        </is>
      </c>
      <c r="C10" s="9" t="inlineStr">
        <is>
          <t>Su götür (500–750 ml)</t>
        </is>
      </c>
    </row>
    <row r="11">
      <c r="A11" s="7" t="inlineStr">
        <is>
          <t>10:15</t>
        </is>
      </c>
      <c r="B11" s="7" t="inlineStr">
        <is>
          <t>Səhər yeməyi (məşqdən sonra)</t>
        </is>
      </c>
      <c r="C11" s="9" t="inlineStr">
        <is>
          <t>Ən böyük yemək: protein + çox karbohidrat</t>
        </is>
      </c>
    </row>
    <row r="12">
      <c r="A12" s="7" t="inlineStr">
        <is>
          <t>13:30</t>
        </is>
      </c>
      <c r="B12" s="7" t="inlineStr">
        <is>
          <t>Nahar</t>
        </is>
      </c>
      <c r="C12" s="9" t="inlineStr"/>
    </row>
    <row r="13">
      <c r="A13" s="7" t="inlineStr">
        <is>
          <t>17:00</t>
        </is>
      </c>
      <c r="B13" s="7" t="inlineStr">
        <is>
          <t>Qəlyanaltı 2</t>
        </is>
      </c>
      <c r="C13" s="9" t="inlineStr"/>
    </row>
    <row r="14">
      <c r="A14" s="7" t="inlineStr">
        <is>
          <t>20:30</t>
        </is>
      </c>
      <c r="B14" s="7" t="inlineStr">
        <is>
          <t>Şam yeməyi</t>
        </is>
      </c>
      <c r="C14" s="9" t="inlineStr"/>
    </row>
    <row r="15"/>
    <row r="16">
      <c r="A16" s="5" t="inlineStr">
        <is>
          <t>Məşq gündüz (≈ 14:00–15:15)</t>
        </is>
      </c>
    </row>
    <row r="17">
      <c r="A17" s="7" t="inlineStr">
        <is>
          <t>08:00</t>
        </is>
      </c>
      <c r="B17" s="7" t="inlineStr">
        <is>
          <t>Səhər yeməyi</t>
        </is>
      </c>
      <c r="C17" s="9" t="inlineStr"/>
    </row>
    <row r="18">
      <c r="A18" s="7" t="inlineStr">
        <is>
          <t>11:45</t>
        </is>
      </c>
      <c r="B18" s="7" t="inlineStr">
        <is>
          <t>Nahar (məşqdən 2 saat əvvəl)</t>
        </is>
      </c>
      <c r="C18" s="9" t="inlineStr">
        <is>
          <t>Karbohidrat + protein, az yağ</t>
        </is>
      </c>
    </row>
    <row r="19">
      <c r="A19" s="6" t="inlineStr">
        <is>
          <t>14:00</t>
        </is>
      </c>
      <c r="B19" s="6" t="inlineStr">
        <is>
          <t>MƏŞQ</t>
        </is>
      </c>
      <c r="C19" s="9" t="inlineStr"/>
    </row>
    <row r="20">
      <c r="A20" s="7" t="inlineStr">
        <is>
          <t>15:45</t>
        </is>
      </c>
      <c r="B20" s="7" t="inlineStr">
        <is>
          <t>Qəlyanaltı 1 (məşqdən sonra)</t>
        </is>
      </c>
      <c r="C20" s="9" t="inlineStr">
        <is>
          <t>Yoqurt/skyr + banan və ya panino</t>
        </is>
      </c>
    </row>
    <row r="21">
      <c r="A21" s="7" t="inlineStr">
        <is>
          <t>18:00</t>
        </is>
      </c>
      <c r="B21" s="7" t="inlineStr">
        <is>
          <t>Qəlyanaltı 2</t>
        </is>
      </c>
      <c r="C21" s="9" t="inlineStr"/>
    </row>
    <row r="22">
      <c r="A22" s="7" t="inlineStr">
        <is>
          <t>21:00</t>
        </is>
      </c>
      <c r="B22" s="7" t="inlineStr">
        <is>
          <t>Şam yeməyi</t>
        </is>
      </c>
      <c r="C22" s="9" t="inlineStr"/>
    </row>
    <row r="23"/>
    <row r="24">
      <c r="A24" s="5" t="inlineStr">
        <is>
          <t>Məşq axşam (≈ 18:30–19:45)</t>
        </is>
      </c>
    </row>
    <row r="25">
      <c r="A25" s="7" t="inlineStr">
        <is>
          <t>08:00</t>
        </is>
      </c>
      <c r="B25" s="7" t="inlineStr">
        <is>
          <t>Səhər yeməyi</t>
        </is>
      </c>
      <c r="C25" s="9" t="inlineStr"/>
    </row>
    <row r="26">
      <c r="A26" s="7" t="inlineStr">
        <is>
          <t>11:00</t>
        </is>
      </c>
      <c r="B26" s="7" t="inlineStr">
        <is>
          <t>Qəlyanaltı 1</t>
        </is>
      </c>
      <c r="C26" s="9" t="inlineStr"/>
    </row>
    <row r="27">
      <c r="A27" s="7" t="inlineStr">
        <is>
          <t>13:30</t>
        </is>
      </c>
      <c r="B27" s="7" t="inlineStr">
        <is>
          <t>Nahar</t>
        </is>
      </c>
      <c r="C27" s="9" t="inlineStr"/>
    </row>
    <row r="28">
      <c r="A28" s="7" t="inlineStr">
        <is>
          <t>17:00</t>
        </is>
      </c>
      <c r="B28" s="7" t="inlineStr">
        <is>
          <t>Qəlyanaltı 2 (məşqdən əvvəl)</t>
        </is>
      </c>
      <c r="C28" s="9" t="inlineStr">
        <is>
          <t>Banan + yoqurt və ya piadina; ağır yağlı şey yox</t>
        </is>
      </c>
    </row>
    <row r="29">
      <c r="A29" s="6" t="inlineStr">
        <is>
          <t>18:30</t>
        </is>
      </c>
      <c r="B29" s="6" t="inlineStr">
        <is>
          <t>MƏŞQ</t>
        </is>
      </c>
      <c r="C29" s="9" t="inlineStr"/>
    </row>
    <row r="30">
      <c r="A30" s="7" t="inlineStr">
        <is>
          <t>20:30</t>
        </is>
      </c>
      <c r="B30" s="7" t="inlineStr">
        <is>
          <t>Şam yeməyi (məşqdən sonra)</t>
        </is>
      </c>
      <c r="C30" s="9" t="inlineStr">
        <is>
          <t>Protein + karbohidrat, normal porsiya</t>
        </is>
      </c>
    </row>
    <row r="31"/>
    <row r="32">
      <c r="A32" s="5" t="inlineStr">
        <is>
          <t>Tennis günü</t>
        </is>
      </c>
    </row>
    <row r="33" ht="30" customHeight="1">
      <c r="A33" s="2" t="inlineStr">
        <is>
          <t>• Oyundan 60–90 dəq əvvəl: 1 banan + 2–3 qalleta və ya yarım piadina (≈ 250 kkal).</t>
        </is>
      </c>
    </row>
    <row r="34" ht="30" customHeight="1">
      <c r="A34" s="2" t="inlineStr">
        <is>
          <t>• Oyun zamanı: hər saata 500–750 ml su. 90 dəqiqədən uzun oynayırsansa, idman içkisi və ya su + bir çimdik duz + bal.</t>
        </is>
      </c>
    </row>
    <row r="35" ht="30" customHeight="1">
      <c r="A35" s="2" t="inlineStr">
        <is>
          <t>• Oyundan sonra 1 saat ərzində: protein + karbohidrat (məs. skyr + banan və ya panino + bresaola).</t>
        </is>
      </c>
    </row>
    <row r="36" ht="30" customHeight="1">
      <c r="A36" s="2" t="inlineStr">
        <is>
          <t>• Tennis günü “Bu gün” bölməsində Tennis düyməsini aç və dəqiqəni yaz: normaya avtomatik əlavə olunacaq (tək oyun ≈ 7 kkal/kq/saat, cüt oyun ≈ 5).</t>
        </is>
      </c>
    </row>
    <row r="37" ht="30" customHeight="1">
      <c r="A37" s="2" t="inlineStr">
        <is>
          <t>• Mümkünsə tennisi B məşqinin (ayaq günü) ertəsi gününə qoyma; əvvəlki axşam karbohidratı bir az artır.</t>
        </is>
      </c>
    </row>
    <row r="38"/>
    <row r="39">
      <c r="A39" s="5" t="inlineStr">
        <is>
          <t>Əsas qaydalar</t>
        </is>
      </c>
    </row>
    <row r="40" ht="30" customHeight="1">
      <c r="A40" s="2" t="inlineStr">
        <is>
          <t>• Gündə 5 dəfə ye: 3 əsas yemək + 2 qəlyanaltı, aralıq 2,5–3,5 saat.</t>
        </is>
      </c>
    </row>
    <row r="41" ht="30" customHeight="1">
      <c r="A41" s="2" t="inlineStr">
        <is>
          <t>• Hər yeməkdə protein olsun (25–35 q): yumurta, toyuq, tuna, yoqurt, skyr, kəsmik, bresaola, paxlalı.</t>
        </is>
      </c>
    </row>
    <row r="42" ht="30" customHeight="1">
      <c r="A42" s="2" t="inlineStr">
        <is>
          <t>• Gündə 2,5–3 litr su; tennis və məşq günləri +0,5–1 litr.</t>
        </is>
      </c>
    </row>
    <row r="43" ht="30" customHeight="1">
      <c r="A43" s="2" t="inlineStr">
        <is>
          <t>• Hər gün ən azı 2 meyvə və 2 porsiya tərəvəz.</t>
        </is>
      </c>
    </row>
    <row r="44" ht="30" customHeight="1">
      <c r="A44" s="2" t="inlineStr">
        <is>
          <t>• Səhərlər tualetdən sonra, ac qarına çəkil (həftədə ən azı 4 dəfə). Bir günlük rəqəmə yox, həftəlik ortalamaya bax.</t>
        </is>
      </c>
    </row>
    <row r="45" ht="30" customHeight="1">
      <c r="A45" s="2" t="inlineStr">
        <is>
          <t>• Ərzaqı çəkərkən çiy çəkini yaz (makaron, düyü, ət). Bişmiş çəki yazırsansa, “bişmiş” variantını seç.</t>
        </is>
      </c>
    </row>
    <row r="46" ht="30" customHeight="1">
      <c r="A46" s="2" t="inlineStr">
        <is>
          <t>• Kreatin monohidrat (gündə 3–5 q) — istəyə görə, sağlam gənclər üçün təhlükəsiz və effektivdir. Protein tozu yalnız rahatlıq üçündür, mütləq deyil.</t>
        </is>
      </c>
    </row>
  </sheetData>
  <mergeCells count="12">
    <mergeCell ref="A42:C42"/>
    <mergeCell ref="A41:C41"/>
    <mergeCell ref="A36:C36"/>
    <mergeCell ref="A33:C33"/>
    <mergeCell ref="A44:C44"/>
    <mergeCell ref="A45:C45"/>
    <mergeCell ref="A37:C37"/>
    <mergeCell ref="A46:C46"/>
    <mergeCell ref="A40:C40"/>
    <mergeCell ref="A34:C34"/>
    <mergeCell ref="A35:C35"/>
    <mergeCell ref="A43:C4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16" customWidth="1" min="3" max="3"/>
    <col width="10" customWidth="1" min="4" max="4"/>
    <col width="70" customWidth="1" min="5" max="5"/>
    <col width="30" customWidth="1" min="6" max="6"/>
  </cols>
  <sheetData>
    <row r="1">
      <c r="A1" s="13" t="inlineStr">
        <is>
          <t>Məşq</t>
        </is>
      </c>
      <c r="B1" s="13" t="inlineStr">
        <is>
          <t>Hərəkət</t>
        </is>
      </c>
      <c r="C1" s="13" t="inlineStr">
        <is>
          <t>Set × təkrar</t>
        </is>
      </c>
      <c r="D1" s="13" t="inlineStr">
        <is>
          <t>Fasilə</t>
        </is>
      </c>
      <c r="E1" s="13" t="inlineStr">
        <is>
          <t>Texnika</t>
        </is>
      </c>
      <c r="F1" s="13" t="inlineStr">
        <is>
          <t>Animasiya (repo)</t>
        </is>
      </c>
    </row>
    <row r="2">
      <c r="A2" s="30" t="inlineStr">
        <is>
          <t>A</t>
        </is>
      </c>
      <c r="B2" s="30" t="inlineStr">
        <is>
          <t>Ştanqla squat (çömbəlmə)</t>
        </is>
      </c>
      <c r="C2" s="30" t="inlineStr">
        <is>
          <t>3 × 8–10</t>
        </is>
      </c>
      <c r="D2" s="30" t="inlineStr">
        <is>
          <t>2–3 dəq</t>
        </is>
      </c>
      <c r="E2" s="30" t="inlineStr">
        <is>
          <t>Ayaqlar çiyin enində, dabanlar yerdə, bel düz. Budlar ən azı paralelə qədər. İlk həftə yalnız boş qriflə (20 kq) texnika.</t>
        </is>
      </c>
      <c r="F2" s="30" t="inlineStr">
        <is>
          <t>videos/0043-qXTaZnJ.gif</t>
        </is>
      </c>
    </row>
    <row r="3">
      <c r="A3" s="30" t="inlineStr">
        <is>
          <t>A</t>
        </is>
      </c>
      <c r="B3" s="30" t="inlineStr">
        <is>
          <t>Skamyada ştanq itələmə (bench press)</t>
        </is>
      </c>
      <c r="C3" s="30" t="inlineStr">
        <is>
          <t>3 × 8–10</t>
        </is>
      </c>
      <c r="D3" s="30" t="inlineStr">
        <is>
          <t>2–3 dəq</t>
        </is>
      </c>
      <c r="E3" s="30" t="inlineStr">
        <is>
          <t>Kürək bıçaqlarını geri-aşağı sıx, ayaqlar yerdə. Ştanq döşün ortasına enir, dirsəklər ~45°.</t>
        </is>
      </c>
      <c r="F3" s="30" t="inlineStr">
        <is>
          <t>videos/0025-EIeI8Vf.gif</t>
        </is>
      </c>
    </row>
    <row r="4">
      <c r="A4" s="30" t="inlineStr">
        <is>
          <t>A</t>
        </is>
      </c>
      <c r="B4" s="30" t="inlineStr">
        <is>
          <t>Oturaq kabel çəkişi</t>
        </is>
      </c>
      <c r="C4" s="30" t="inlineStr">
        <is>
          <t>3 × 10–12</t>
        </is>
      </c>
      <c r="D4" s="30" t="inlineStr">
        <is>
          <t>90 san</t>
        </is>
      </c>
      <c r="E4" s="30" t="inlineStr">
        <is>
          <t>Kürəyi düz saxla, qolları yox, kürəkləri arxaya çək. Sonda 1 san saxla.</t>
        </is>
      </c>
      <c r="F4" s="30" t="inlineStr">
        <is>
          <t>videos/0861-fUBheHs.gif</t>
        </is>
      </c>
    </row>
    <row r="5">
      <c r="A5" s="30" t="inlineStr">
        <is>
          <t>A</t>
        </is>
      </c>
      <c r="B5" s="30" t="inlineStr">
        <is>
          <t>Oturaq hantel çiyin itələməsi</t>
        </is>
      </c>
      <c r="C5" s="30" t="inlineStr">
        <is>
          <t>3 × 10–12</t>
        </is>
      </c>
      <c r="D5" s="30" t="inlineStr">
        <is>
          <t>90 san</t>
        </is>
      </c>
      <c r="E5" s="30" t="inlineStr">
        <is>
          <t>Bel söykənəcəyə yapışıq. Hantelləri qulaq səviyyəsindən yuxarı itələ, aşağı yavaş en.</t>
        </is>
      </c>
      <c r="F5" s="30" t="inlineStr">
        <is>
          <t>videos/0405-znQUdHY.gif</t>
        </is>
      </c>
    </row>
    <row r="6">
      <c r="A6" s="30" t="inlineStr">
        <is>
          <t>A</t>
        </is>
      </c>
      <c r="B6" s="30" t="inlineStr">
        <is>
          <t>Uzanaraq ayaq bükmə (trenajor)</t>
        </is>
      </c>
      <c r="C6" s="30" t="inlineStr">
        <is>
          <t>3 × 10–12</t>
        </is>
      </c>
      <c r="D6" s="30" t="inlineStr">
        <is>
          <t>60–90 san</t>
        </is>
      </c>
      <c r="E6" s="30" t="inlineStr">
        <is>
          <t>Çanaq skamyadan qalxmasın. Yuxarıda 1 san saxla, aşağı 2–3 san en.</t>
        </is>
      </c>
      <c r="F6" s="30" t="inlineStr">
        <is>
          <t>videos/0586-17lJ1kr.gif</t>
        </is>
      </c>
    </row>
    <row r="7">
      <c r="A7" s="30" t="inlineStr">
        <is>
          <t>A</t>
        </is>
      </c>
      <c r="B7" s="30" t="inlineStr">
        <is>
          <t>Kabeldə triceps açma</t>
        </is>
      </c>
      <c r="C7" s="30" t="inlineStr">
        <is>
          <t>2 × 12–15</t>
        </is>
      </c>
      <c r="D7" s="30" t="inlineStr">
        <is>
          <t>60 san</t>
        </is>
      </c>
      <c r="E7" s="30" t="inlineStr">
        <is>
          <t>Dirsəklər bədənə yapışıq və hərəkətsiz. Yalnız ön qol işləyir.</t>
        </is>
      </c>
      <c r="F7" s="30" t="inlineStr">
        <is>
          <t>videos/0201-3ZflifB.gif</t>
        </is>
      </c>
    </row>
    <row r="8">
      <c r="A8" s="30" t="inlineStr">
        <is>
          <t>A</t>
        </is>
      </c>
      <c r="B8" s="30" t="inlineStr">
        <is>
          <t>Plank</t>
        </is>
      </c>
      <c r="C8" s="30" t="inlineStr">
        <is>
          <t>3 × 30–45 san</t>
        </is>
      </c>
      <c r="D8" s="30" t="inlineStr">
        <is>
          <t>60 san</t>
        </is>
      </c>
      <c r="E8" s="30" t="inlineStr">
        <is>
          <t>İlk həftələr çəkisiz. Bədən baş-dabandan düz xətt, qarın və sağrı gərgin.</t>
        </is>
      </c>
      <c r="F8" s="30" t="inlineStr">
        <is>
          <t>videos/2135-VBAWRPG.gif</t>
        </is>
      </c>
    </row>
    <row r="9"/>
    <row r="10">
      <c r="A10" s="30" t="inlineStr">
        <is>
          <t>B</t>
        </is>
      </c>
      <c r="B10" s="30" t="inlineStr">
        <is>
          <t>Rumın deadlift (ştanqla)</t>
        </is>
      </c>
      <c r="C10" s="30" t="inlineStr">
        <is>
          <t>3 × 8–10</t>
        </is>
      </c>
      <c r="D10" s="30" t="inlineStr">
        <is>
          <t>2–3 dəq</t>
        </is>
      </c>
      <c r="E10" s="30" t="inlineStr">
        <is>
          <t>Dizlər azca bükük, çanağı arxaya ver, bel düz. Ştanq ayaqlara yaxın sürüşür. Arxa budda dartılma hiss et.</t>
        </is>
      </c>
      <c r="F10" s="30" t="inlineStr">
        <is>
          <t>videos/0085-wQ2c4XD.gif</t>
        </is>
      </c>
    </row>
    <row r="11">
      <c r="A11" s="30" t="inlineStr">
        <is>
          <t>B</t>
        </is>
      </c>
      <c r="B11" s="30" t="inlineStr">
        <is>
          <t>Maili skamyada hantel itələmə</t>
        </is>
      </c>
      <c r="C11" s="30" t="inlineStr">
        <is>
          <t>3 × 8–12</t>
        </is>
      </c>
      <c r="D11" s="30" t="inlineStr">
        <is>
          <t>2 dəq</t>
        </is>
      </c>
      <c r="E11" s="30" t="inlineStr">
        <is>
          <t>Skamya 30°. Hantelləri döşün yuxarısına endir, yuxarıda bir-birinə yaxınlaşdır.</t>
        </is>
      </c>
      <c r="F11" s="30" t="inlineStr">
        <is>
          <t>videos/0314-ns0SIbU.gif</t>
        </is>
      </c>
    </row>
    <row r="12">
      <c r="A12" s="30" t="inlineStr">
        <is>
          <t>B</t>
        </is>
      </c>
      <c r="B12" s="30" t="inlineStr">
        <is>
          <t>Yuxarı blok çəkişi (lat pulldown)</t>
        </is>
      </c>
      <c r="C12" s="30" t="inlineStr">
        <is>
          <t>3 × 10–12</t>
        </is>
      </c>
      <c r="D12" s="30" t="inlineStr">
        <is>
          <t>90 san</t>
        </is>
      </c>
      <c r="E12" s="30" t="inlineStr">
        <is>
          <t>Döşü bir az irəli ver, qrifi körpücük sümüyünə çək. Yellənmə.</t>
        </is>
      </c>
      <c r="F12" s="30" t="inlineStr">
        <is>
          <t>videos/0198-RVwzP10.gif</t>
        </is>
      </c>
    </row>
    <row r="13">
      <c r="A13" s="30" t="inlineStr">
        <is>
          <t>B</t>
        </is>
      </c>
      <c r="B13" s="30" t="inlineStr">
        <is>
          <t>Hantellə addım (lunge)</t>
        </is>
      </c>
      <c r="C13" s="30" t="inlineStr">
        <is>
          <t>3 × 10 (hər ayaq)</t>
        </is>
      </c>
      <c r="D13" s="30" t="inlineStr">
        <is>
          <t>90 san</t>
        </is>
      </c>
      <c r="E13" s="30" t="inlineStr">
        <is>
          <t>Addım geniş, gövdə düz. Arxa diz yerə yaxın enir, ön ayağın dabanı ilə itələyib qalx.</t>
        </is>
      </c>
      <c r="F13" s="30" t="inlineStr">
        <is>
          <t>videos/0336-RRWFUcw.gif</t>
        </is>
      </c>
    </row>
    <row r="14">
      <c r="A14" s="30" t="inlineStr">
        <is>
          <t>B</t>
        </is>
      </c>
      <c r="B14" s="30" t="inlineStr">
        <is>
          <t>Hantellə yana qaldırma</t>
        </is>
      </c>
      <c r="C14" s="30" t="inlineStr">
        <is>
          <t>3 × 12–15</t>
        </is>
      </c>
      <c r="D14" s="30" t="inlineStr">
        <is>
          <t>60 san</t>
        </is>
      </c>
      <c r="E14" s="30" t="inlineStr">
        <is>
          <t>Yüngül çəki. Dirsəklər azca bükük, çiyin səviyyəsinə qədər qaldır, yuxarı çəkilmə.</t>
        </is>
      </c>
      <c r="F14" s="30" t="inlineStr">
        <is>
          <t>videos/0334-DsgkuIt.gif</t>
        </is>
      </c>
    </row>
    <row r="15">
      <c r="A15" s="30" t="inlineStr">
        <is>
          <t>B</t>
        </is>
      </c>
      <c r="B15" s="30" t="inlineStr">
        <is>
          <t>Hantellə biceps</t>
        </is>
      </c>
      <c r="C15" s="30" t="inlineStr">
        <is>
          <t>2 × 10–12</t>
        </is>
      </c>
      <c r="D15" s="30" t="inlineStr">
        <is>
          <t>60 san</t>
        </is>
      </c>
      <c r="E15" s="30" t="inlineStr">
        <is>
          <t>Dirsəklər yerində, yellənmədən. Aşağı tam açıb yavaş en.</t>
        </is>
      </c>
      <c r="F15" s="30" t="inlineStr">
        <is>
          <t>videos/0294-NbVPDMW.gif</t>
        </is>
      </c>
    </row>
    <row r="16">
      <c r="A16" s="30" t="inlineStr">
        <is>
          <t>B</t>
        </is>
      </c>
      <c r="B16" s="30" t="inlineStr">
        <is>
          <t>Asılı vəziyyətdə diz qaldırma</t>
        </is>
      </c>
      <c r="C16" s="30" t="inlineStr">
        <is>
          <t>3 × 8–12</t>
        </is>
      </c>
      <c r="D16" s="30" t="inlineStr">
        <is>
          <t>60 san</t>
        </is>
      </c>
      <c r="E16" s="30" t="inlineStr">
        <is>
          <t>Dizləri döşə doğru qaldır, yellənmədən. Çətin gəlsə, skamyada uzanaraq diz qaldırma et.</t>
        </is>
      </c>
      <c r="F16" s="30" t="inlineStr">
        <is>
          <t>videos/0011-03lzqwk.gif</t>
        </is>
      </c>
    </row>
    <row r="17"/>
    <row r="18">
      <c r="A18" s="5" t="inlineStr">
        <is>
          <t>Həftəlik cədvəl</t>
        </is>
      </c>
    </row>
    <row r="19">
      <c r="B19" s="6" t="inlineStr">
        <is>
          <t>Bazar ertəsi</t>
        </is>
      </c>
      <c r="C19" s="7" t="inlineStr">
        <is>
          <t>Zal: A (və ya B, növbə ilə)</t>
        </is>
      </c>
    </row>
    <row r="20">
      <c r="B20" s="6" t="inlineStr">
        <is>
          <t>Çərşənbə axşamı</t>
        </is>
      </c>
      <c r="C20" s="7" t="inlineStr">
        <is>
          <t>İstirahət / tennis olar</t>
        </is>
      </c>
    </row>
    <row r="21">
      <c r="B21" s="6" t="inlineStr">
        <is>
          <t>Çərşənbə</t>
        </is>
      </c>
      <c r="C21" s="7" t="inlineStr">
        <is>
          <t>Zal: B (və ya A)</t>
        </is>
      </c>
    </row>
    <row r="22">
      <c r="B22" s="6" t="inlineStr">
        <is>
          <t>Cümə axşamı</t>
        </is>
      </c>
      <c r="C22" s="7" t="inlineStr">
        <is>
          <t>İstirahət / tennis olar</t>
        </is>
      </c>
    </row>
    <row r="23">
      <c r="B23" s="6" t="inlineStr">
        <is>
          <t>Cümə</t>
        </is>
      </c>
      <c r="C23" s="7" t="inlineStr">
        <is>
          <t>Zal: A (və ya B)</t>
        </is>
      </c>
    </row>
    <row r="24">
      <c r="B24" s="6" t="inlineStr">
        <is>
          <t>Şənbə</t>
        </is>
      </c>
      <c r="C24" s="7" t="inlineStr">
        <is>
          <t>İstirahət / tennis olar, gəzinti</t>
        </is>
      </c>
    </row>
    <row r="25">
      <c r="B25" s="6" t="inlineStr">
        <is>
          <t>Bazar</t>
        </is>
      </c>
      <c r="C25" s="7" t="inlineStr">
        <is>
          <t>Tam istirahət</t>
        </is>
      </c>
    </row>
    <row r="26"/>
    <row r="27">
      <c r="A27" s="5" t="inlineStr">
        <is>
          <t>Qaydalar</t>
        </is>
      </c>
    </row>
    <row r="28" ht="28" customHeight="1">
      <c r="B28" s="2" t="inlineStr">
        <is>
          <t>• Hər məşqdən əvvəl 5–8 dəq isinmə (velosiped/elliptik) + birinci hərəkətdən 2 yüngül isinmə seti.</t>
        </is>
      </c>
    </row>
    <row r="29" ht="28" customHeight="1">
      <c r="B29" s="2" t="inlineStr">
        <is>
          <t>• Həftə 1: çəkiləri yüngül götür, yalnız texnikanı öyrən (hər setdən sonra hələ 4–5 təkrar edə biləcəyin hiss olmalıdır).</t>
        </is>
      </c>
    </row>
    <row r="30" ht="28" customHeight="1">
      <c r="B30" s="2" t="inlineStr">
        <is>
          <t>• Həftə 2-dən sonra: hər setdə “ehtiyatda 2 təkrar” qalsın (RIR 2).</t>
        </is>
      </c>
    </row>
    <row r="31" ht="28" customHeight="1">
      <c r="B31" s="2" t="inlineStr">
        <is>
          <t>• İkiqat proqressiya: bütün setlərdə yuxarı təkrar sayına çatdınsa, növbəti dəfə çəkini artır (yuxarı bədən +1–2,5 kq, ayaqlar +2,5–5 kq).</t>
        </is>
      </c>
    </row>
    <row r="32" ht="28" customHeight="1">
      <c r="B32" s="2" t="inlineStr">
        <is>
          <t>• Proqram A-B-A, növbəti həftə B-A-B. İlk məşq — 9 oktyabr, Cümə: A. Növbəti: 12 oktyabr (B. ertəsi) — B.</t>
        </is>
      </c>
    </row>
    <row r="33" ht="28" customHeight="1">
      <c r="B33" s="2" t="inlineStr">
        <is>
          <t>• Squat və Rumın deadlift üçün ilk dəfə zal məşqçisindən texnikaya baxmasını xahiş et.</t>
        </is>
      </c>
    </row>
    <row r="34" ht="28" customHeight="1">
      <c r="B34" s="2" t="inlineStr">
        <is>
          <t>• Yuxu 7,5–9 saat — əzələ yuxuda böyüyür.</t>
        </is>
      </c>
    </row>
    <row r="35"/>
    <row r="36">
      <c r="A36" s="5" t="inlineStr">
        <is>
          <t>Məşq jurnalı</t>
        </is>
      </c>
    </row>
    <row r="37">
      <c r="A37" s="31" t="inlineStr">
        <is>
          <t>Tarix</t>
        </is>
      </c>
      <c r="B37" s="31" t="inlineStr">
        <is>
          <t>Hərəkət</t>
        </is>
      </c>
      <c r="C37" s="31" t="inlineStr">
        <is>
          <t>Set 1 (kq × təkrar)</t>
        </is>
      </c>
      <c r="D37" s="31" t="inlineStr">
        <is>
          <t>Set 2</t>
        </is>
      </c>
      <c r="E37" s="31" t="inlineStr">
        <is>
          <t>Set 3</t>
        </is>
      </c>
      <c r="F37" s="31" t="inlineStr">
        <is>
          <t>Qeyd</t>
        </is>
      </c>
    </row>
    <row r="38">
      <c r="A38" s="14" t="n"/>
      <c r="B38" s="14" t="n"/>
      <c r="C38" s="14" t="n"/>
      <c r="D38" s="14" t="n"/>
      <c r="E38" s="14" t="n"/>
      <c r="F38" s="14" t="n"/>
    </row>
    <row r="39">
      <c r="A39" s="14" t="n"/>
      <c r="B39" s="14" t="n"/>
      <c r="C39" s="14" t="n"/>
      <c r="D39" s="14" t="n"/>
      <c r="E39" s="14" t="n"/>
      <c r="F39" s="14" t="n"/>
    </row>
    <row r="40">
      <c r="A40" s="14" t="n"/>
      <c r="B40" s="14" t="n"/>
      <c r="C40" s="14" t="n"/>
      <c r="D40" s="14" t="n"/>
      <c r="E40" s="14" t="n"/>
      <c r="F40" s="14" t="n"/>
    </row>
    <row r="41">
      <c r="A41" s="14" t="n"/>
      <c r="B41" s="14" t="n"/>
      <c r="C41" s="14" t="n"/>
      <c r="D41" s="14" t="n"/>
      <c r="E41" s="14" t="n"/>
      <c r="F41" s="14" t="n"/>
    </row>
    <row r="42">
      <c r="A42" s="14" t="n"/>
      <c r="B42" s="14" t="n"/>
      <c r="C42" s="14" t="n"/>
      <c r="D42" s="14" t="n"/>
      <c r="E42" s="14" t="n"/>
      <c r="F42" s="14" t="n"/>
    </row>
    <row r="43">
      <c r="A43" s="14" t="n"/>
      <c r="B43" s="14" t="n"/>
      <c r="C43" s="14" t="n"/>
      <c r="D43" s="14" t="n"/>
      <c r="E43" s="14" t="n"/>
      <c r="F43" s="14" t="n"/>
    </row>
    <row r="44">
      <c r="A44" s="14" t="n"/>
      <c r="B44" s="14" t="n"/>
      <c r="C44" s="14" t="n"/>
      <c r="D44" s="14" t="n"/>
      <c r="E44" s="14" t="n"/>
      <c r="F44" s="14" t="n"/>
    </row>
    <row r="45">
      <c r="A45" s="14" t="n"/>
      <c r="B45" s="14" t="n"/>
      <c r="C45" s="14" t="n"/>
      <c r="D45" s="14" t="n"/>
      <c r="E45" s="14" t="n"/>
      <c r="F45" s="14" t="n"/>
    </row>
    <row r="46">
      <c r="A46" s="14" t="n"/>
      <c r="B46" s="14" t="n"/>
      <c r="C46" s="14" t="n"/>
      <c r="D46" s="14" t="n"/>
      <c r="E46" s="14" t="n"/>
      <c r="F46" s="14" t="n"/>
    </row>
    <row r="47">
      <c r="A47" s="14" t="n"/>
      <c r="B47" s="14" t="n"/>
      <c r="C47" s="14" t="n"/>
      <c r="D47" s="14" t="n"/>
      <c r="E47" s="14" t="n"/>
      <c r="F47" s="14" t="n"/>
    </row>
    <row r="48">
      <c r="A48" s="14" t="n"/>
      <c r="B48" s="14" t="n"/>
      <c r="C48" s="14" t="n"/>
      <c r="D48" s="14" t="n"/>
      <c r="E48" s="14" t="n"/>
      <c r="F48" s="14" t="n"/>
    </row>
    <row r="49">
      <c r="A49" s="14" t="n"/>
      <c r="B49" s="14" t="n"/>
      <c r="C49" s="14" t="n"/>
      <c r="D49" s="14" t="n"/>
      <c r="E49" s="14" t="n"/>
      <c r="F49" s="14" t="n"/>
    </row>
    <row r="50">
      <c r="A50" s="14" t="n"/>
      <c r="B50" s="14" t="n"/>
      <c r="C50" s="14" t="n"/>
      <c r="D50" s="14" t="n"/>
      <c r="E50" s="14" t="n"/>
      <c r="F50" s="14" t="n"/>
    </row>
    <row r="51">
      <c r="A51" s="14" t="n"/>
      <c r="B51" s="14" t="n"/>
      <c r="C51" s="14" t="n"/>
      <c r="D51" s="14" t="n"/>
      <c r="E51" s="14" t="n"/>
      <c r="F51" s="14" t="n"/>
    </row>
    <row r="52">
      <c r="A52" s="14" t="n"/>
      <c r="B52" s="14" t="n"/>
      <c r="C52" s="14" t="n"/>
      <c r="D52" s="14" t="n"/>
      <c r="E52" s="14" t="n"/>
      <c r="F52" s="14" t="n"/>
    </row>
    <row r="53">
      <c r="A53" s="14" t="n"/>
      <c r="B53" s="14" t="n"/>
      <c r="C53" s="14" t="n"/>
      <c r="D53" s="14" t="n"/>
      <c r="E53" s="14" t="n"/>
      <c r="F53" s="14" t="n"/>
    </row>
    <row r="54">
      <c r="A54" s="14" t="n"/>
      <c r="B54" s="14" t="n"/>
      <c r="C54" s="14" t="n"/>
      <c r="D54" s="14" t="n"/>
      <c r="E54" s="14" t="n"/>
      <c r="F54" s="14" t="n"/>
    </row>
    <row r="55">
      <c r="A55" s="14" t="n"/>
      <c r="B55" s="14" t="n"/>
      <c r="C55" s="14" t="n"/>
      <c r="D55" s="14" t="n"/>
      <c r="E55" s="14" t="n"/>
      <c r="F55" s="14" t="n"/>
    </row>
    <row r="56">
      <c r="A56" s="14" t="n"/>
      <c r="B56" s="14" t="n"/>
      <c r="C56" s="14" t="n"/>
      <c r="D56" s="14" t="n"/>
      <c r="E56" s="14" t="n"/>
      <c r="F56" s="14" t="n"/>
    </row>
    <row r="57">
      <c r="A57" s="14" t="n"/>
      <c r="B57" s="14" t="n"/>
      <c r="C57" s="14" t="n"/>
      <c r="D57" s="14" t="n"/>
      <c r="E57" s="14" t="n"/>
      <c r="F57" s="14" t="n"/>
    </row>
    <row r="58">
      <c r="A58" s="14" t="n"/>
      <c r="B58" s="14" t="n"/>
      <c r="C58" s="14" t="n"/>
      <c r="D58" s="14" t="n"/>
      <c r="E58" s="14" t="n"/>
      <c r="F58" s="14" t="n"/>
    </row>
    <row r="59">
      <c r="A59" s="14" t="n"/>
      <c r="B59" s="14" t="n"/>
      <c r="C59" s="14" t="n"/>
      <c r="D59" s="14" t="n"/>
      <c r="E59" s="14" t="n"/>
      <c r="F59" s="14" t="n"/>
    </row>
    <row r="60">
      <c r="A60" s="14" t="n"/>
      <c r="B60" s="14" t="n"/>
      <c r="C60" s="14" t="n"/>
      <c r="D60" s="14" t="n"/>
      <c r="E60" s="14" t="n"/>
      <c r="F60" s="14" t="n"/>
    </row>
    <row r="61">
      <c r="A61" s="14" t="n"/>
      <c r="B61" s="14" t="n"/>
      <c r="C61" s="14" t="n"/>
      <c r="D61" s="14" t="n"/>
      <c r="E61" s="14" t="n"/>
      <c r="F61" s="14" t="n"/>
    </row>
    <row r="62">
      <c r="A62" s="14" t="n"/>
      <c r="B62" s="14" t="n"/>
      <c r="C62" s="14" t="n"/>
      <c r="D62" s="14" t="n"/>
      <c r="E62" s="14" t="n"/>
      <c r="F62" s="14" t="n"/>
    </row>
    <row r="63">
      <c r="A63" s="14" t="n"/>
      <c r="B63" s="14" t="n"/>
      <c r="C63" s="14" t="n"/>
      <c r="D63" s="14" t="n"/>
      <c r="E63" s="14" t="n"/>
      <c r="F63" s="14" t="n"/>
    </row>
    <row r="64">
      <c r="A64" s="14" t="n"/>
      <c r="B64" s="14" t="n"/>
      <c r="C64" s="14" t="n"/>
      <c r="D64" s="14" t="n"/>
      <c r="E64" s="14" t="n"/>
      <c r="F64" s="14" t="n"/>
    </row>
    <row r="65">
      <c r="A65" s="14" t="n"/>
      <c r="B65" s="14" t="n"/>
      <c r="C65" s="14" t="n"/>
      <c r="D65" s="14" t="n"/>
      <c r="E65" s="14" t="n"/>
      <c r="F65" s="14" t="n"/>
    </row>
    <row r="66">
      <c r="A66" s="14" t="n"/>
      <c r="B66" s="14" t="n"/>
      <c r="C66" s="14" t="n"/>
      <c r="D66" s="14" t="n"/>
      <c r="E66" s="14" t="n"/>
      <c r="F66" s="14" t="n"/>
    </row>
    <row r="67">
      <c r="A67" s="14" t="n"/>
      <c r="B67" s="14" t="n"/>
      <c r="C67" s="14" t="n"/>
      <c r="D67" s="14" t="n"/>
      <c r="E67" s="14" t="n"/>
      <c r="F67" s="14" t="n"/>
    </row>
    <row r="68">
      <c r="A68" s="14" t="n"/>
      <c r="B68" s="14" t="n"/>
      <c r="C68" s="14" t="n"/>
      <c r="D68" s="14" t="n"/>
      <c r="E68" s="14" t="n"/>
      <c r="F68" s="14" t="n"/>
    </row>
    <row r="69">
      <c r="A69" s="14" t="n"/>
      <c r="B69" s="14" t="n"/>
      <c r="C69" s="14" t="n"/>
      <c r="D69" s="14" t="n"/>
      <c r="E69" s="14" t="n"/>
      <c r="F69" s="14" t="n"/>
    </row>
    <row r="70">
      <c r="A70" s="14" t="n"/>
      <c r="B70" s="14" t="n"/>
      <c r="C70" s="14" t="n"/>
      <c r="D70" s="14" t="n"/>
      <c r="E70" s="14" t="n"/>
      <c r="F70" s="14" t="n"/>
    </row>
    <row r="71">
      <c r="A71" s="14" t="n"/>
      <c r="B71" s="14" t="n"/>
      <c r="C71" s="14" t="n"/>
      <c r="D71" s="14" t="n"/>
      <c r="E71" s="14" t="n"/>
      <c r="F71" s="14" t="n"/>
    </row>
    <row r="72">
      <c r="A72" s="14" t="n"/>
      <c r="B72" s="14" t="n"/>
      <c r="C72" s="14" t="n"/>
      <c r="D72" s="14" t="n"/>
      <c r="E72" s="14" t="n"/>
      <c r="F72" s="14" t="n"/>
    </row>
    <row r="73">
      <c r="A73" s="14" t="n"/>
      <c r="B73" s="14" t="n"/>
      <c r="C73" s="14" t="n"/>
      <c r="D73" s="14" t="n"/>
      <c r="E73" s="14" t="n"/>
      <c r="F73" s="14" t="n"/>
    </row>
    <row r="74">
      <c r="A74" s="14" t="n"/>
      <c r="B74" s="14" t="n"/>
      <c r="C74" s="14" t="n"/>
      <c r="D74" s="14" t="n"/>
      <c r="E74" s="14" t="n"/>
      <c r="F74" s="14" t="n"/>
    </row>
    <row r="75">
      <c r="A75" s="14" t="n"/>
      <c r="B75" s="14" t="n"/>
      <c r="C75" s="14" t="n"/>
      <c r="D75" s="14" t="n"/>
      <c r="E75" s="14" t="n"/>
      <c r="F75" s="14" t="n"/>
    </row>
    <row r="76">
      <c r="A76" s="14" t="n"/>
      <c r="B76" s="14" t="n"/>
      <c r="C76" s="14" t="n"/>
      <c r="D76" s="14" t="n"/>
      <c r="E76" s="14" t="n"/>
      <c r="F76" s="14" t="n"/>
    </row>
    <row r="77">
      <c r="A77" s="14" t="n"/>
      <c r="B77" s="14" t="n"/>
      <c r="C77" s="14" t="n"/>
      <c r="D77" s="14" t="n"/>
      <c r="E77" s="14" t="n"/>
      <c r="F77" s="14" t="n"/>
    </row>
  </sheetData>
  <mergeCells count="7">
    <mergeCell ref="B31:E31"/>
    <mergeCell ref="B30:E30"/>
    <mergeCell ref="B29:E29"/>
    <mergeCell ref="B33:E33"/>
    <mergeCell ref="B34:E34"/>
    <mergeCell ref="B28:E28"/>
    <mergeCell ref="B32:E3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14" customWidth="1" min="4" max="4"/>
    <col width="9" customWidth="1" min="5" max="5"/>
    <col width="9" customWidth="1" min="6" max="6"/>
  </cols>
  <sheetData>
    <row r="1">
      <c r="A1" s="13" t="inlineStr">
        <is>
          <t>Məhsul</t>
        </is>
      </c>
      <c r="B1" s="13" t="inlineStr">
        <is>
          <t>İtalyanca</t>
        </is>
      </c>
      <c r="C1" s="13" t="inlineStr">
        <is>
          <t>Həftəlik, q</t>
        </is>
      </c>
      <c r="D1" s="13" t="inlineStr">
        <is>
          <t>Miqdar</t>
        </is>
      </c>
      <c r="E1" s="13" t="inlineStr">
        <is>
          <t>≈ €/kq</t>
        </is>
      </c>
      <c r="F1" s="13" t="inlineStr">
        <is>
          <t>≈ €</t>
        </is>
      </c>
    </row>
    <row r="2">
      <c r="A2" s="7" t="inlineStr">
        <is>
          <t>Yulaf yarması</t>
        </is>
      </c>
      <c r="B2" s="7" t="inlineStr">
        <is>
          <t>fiocchi d'avena</t>
        </is>
      </c>
      <c r="C2" s="7" t="n">
        <v>380</v>
      </c>
      <c r="D2" s="7" t="inlineStr">
        <is>
          <t>380 q</t>
        </is>
      </c>
      <c r="E2" s="32" t="n">
        <v>2</v>
      </c>
      <c r="F2" s="25">
        <f>C2/1000*E2</f>
        <v/>
      </c>
    </row>
    <row r="3">
      <c r="A3" s="7" t="inlineStr">
        <is>
          <t>Süd 1,5%</t>
        </is>
      </c>
      <c r="B3" s="7" t="inlineStr">
        <is>
          <t>latte parzialmente scremato</t>
        </is>
      </c>
      <c r="C3" s="7" t="n">
        <v>750</v>
      </c>
      <c r="D3" s="7" t="inlineStr">
        <is>
          <t>0,75 l</t>
        </is>
      </c>
      <c r="E3" s="32" t="n">
        <v>1.4</v>
      </c>
      <c r="F3" s="25">
        <f>C3/1000*E3</f>
        <v/>
      </c>
    </row>
    <row r="4">
      <c r="A4" s="7" t="inlineStr">
        <is>
          <t>Kefir</t>
        </is>
      </c>
      <c r="B4" s="7" t="inlineStr">
        <is>
          <t>kefir</t>
        </is>
      </c>
      <c r="C4" s="7" t="n">
        <v>500</v>
      </c>
      <c r="D4" s="7" t="inlineStr">
        <is>
          <t>0,5 l</t>
        </is>
      </c>
      <c r="E4" s="32" t="n">
        <v>3.6</v>
      </c>
      <c r="F4" s="25">
        <f>C4/1000*E4</f>
        <v/>
      </c>
    </row>
    <row r="5">
      <c r="A5" s="7" t="inlineStr">
        <is>
          <t>Yunan yoqurtu 0%</t>
        </is>
      </c>
      <c r="B5" s="7" t="inlineStr">
        <is>
          <t>yogurt greco 0%</t>
        </is>
      </c>
      <c r="C5" s="7" t="n">
        <v>610</v>
      </c>
      <c r="D5" s="7" t="inlineStr">
        <is>
          <t>610 q</t>
        </is>
      </c>
      <c r="E5" s="32" t="n">
        <v>5.5</v>
      </c>
      <c r="F5" s="25">
        <f>C5/1000*E5</f>
        <v/>
      </c>
    </row>
    <row r="6">
      <c r="A6" s="7" t="inlineStr">
        <is>
          <t>Skyr</t>
        </is>
      </c>
      <c r="B6" s="7" t="inlineStr">
        <is>
          <t>skyr</t>
        </is>
      </c>
      <c r="C6" s="7" t="n">
        <v>450</v>
      </c>
      <c r="D6" s="7" t="inlineStr">
        <is>
          <t>450 q</t>
        </is>
      </c>
      <c r="E6" s="32" t="n">
        <v>5</v>
      </c>
      <c r="F6" s="25">
        <f>C6/1000*E6</f>
        <v/>
      </c>
    </row>
    <row r="7">
      <c r="A7" s="7" t="inlineStr">
        <is>
          <t>Dənəli kəsmik</t>
        </is>
      </c>
      <c r="B7" s="7" t="inlineStr">
        <is>
          <t>fiocchi di latte</t>
        </is>
      </c>
      <c r="C7" s="7" t="n">
        <v>300</v>
      </c>
      <c r="D7" s="7" t="inlineStr">
        <is>
          <t>300 q</t>
        </is>
      </c>
      <c r="E7" s="32" t="n">
        <v>6</v>
      </c>
      <c r="F7" s="25">
        <f>C7/1000*E7</f>
        <v/>
      </c>
    </row>
    <row r="8">
      <c r="A8" s="7" t="inlineStr">
        <is>
          <t>Rikotta</t>
        </is>
      </c>
      <c r="B8" s="7" t="inlineStr">
        <is>
          <t>ricotta vaccina</t>
        </is>
      </c>
      <c r="C8" s="7" t="n">
        <v>100</v>
      </c>
      <c r="D8" s="7" t="inlineStr">
        <is>
          <t>100 q</t>
        </is>
      </c>
      <c r="E8" s="32" t="n">
        <v>6.5</v>
      </c>
      <c r="F8" s="25">
        <f>C8/1000*E8</f>
        <v/>
      </c>
    </row>
    <row r="9">
      <c r="A9" s="7" t="inlineStr">
        <is>
          <t>Motsarella</t>
        </is>
      </c>
      <c r="B9" s="7" t="inlineStr">
        <is>
          <t>mozzarella</t>
        </is>
      </c>
      <c r="C9" s="7" t="n">
        <v>30</v>
      </c>
      <c r="D9" s="7" t="inlineStr">
        <is>
          <t>30 q</t>
        </is>
      </c>
      <c r="E9" s="32" t="n">
        <v>9</v>
      </c>
      <c r="F9" s="25">
        <f>C9/1000*E9</f>
        <v/>
      </c>
    </row>
    <row r="10">
      <c r="A10" s="7" t="inlineStr">
        <is>
          <t>Parmezan</t>
        </is>
      </c>
      <c r="B10" s="7" t="inlineStr">
        <is>
          <t>Parmigiano Reggiano</t>
        </is>
      </c>
      <c r="C10" s="7" t="n">
        <v>20</v>
      </c>
      <c r="D10" s="7" t="inlineStr">
        <is>
          <t>20 q</t>
        </is>
      </c>
      <c r="E10" s="32" t="n">
        <v>22</v>
      </c>
      <c r="F10" s="25">
        <f>C10/1000*E10</f>
        <v/>
      </c>
    </row>
    <row r="11">
      <c r="A11" s="7" t="inlineStr">
        <is>
          <t>Yumurta</t>
        </is>
      </c>
      <c r="B11" s="7" t="inlineStr">
        <is>
          <t>uova</t>
        </is>
      </c>
      <c r="C11" s="7" t="n">
        <v>440</v>
      </c>
      <c r="D11" s="7" t="inlineStr">
        <is>
          <t>≈ 8 ədəd</t>
        </is>
      </c>
      <c r="E11" s="32" t="n">
        <v>5.2</v>
      </c>
      <c r="F11" s="25">
        <f>C11/1000*E11</f>
        <v/>
      </c>
    </row>
    <row r="12">
      <c r="A12" s="7" t="inlineStr">
        <is>
          <t>Yumurta ağı</t>
        </is>
      </c>
      <c r="B12" s="7" t="inlineStr">
        <is>
          <t>albume</t>
        </is>
      </c>
      <c r="C12" s="7" t="n">
        <v>100</v>
      </c>
      <c r="D12" s="7" t="inlineStr">
        <is>
          <t>100 q</t>
        </is>
      </c>
      <c r="E12" s="32" t="n">
        <v>4.5</v>
      </c>
      <c r="F12" s="25">
        <f>C12/1000*E12</f>
        <v/>
      </c>
    </row>
    <row r="13">
      <c r="A13" s="7" t="inlineStr">
        <is>
          <t>Toyuq döşü (çiy)</t>
        </is>
      </c>
      <c r="B13" s="7" t="inlineStr">
        <is>
          <t>petto di pollo</t>
        </is>
      </c>
      <c r="C13" s="7" t="n">
        <v>400</v>
      </c>
      <c r="D13" s="7" t="inlineStr">
        <is>
          <t>400 q</t>
        </is>
      </c>
      <c r="E13" s="32" t="n">
        <v>11</v>
      </c>
      <c r="F13" s="25">
        <f>C13/1000*E13</f>
        <v/>
      </c>
    </row>
    <row r="14">
      <c r="A14" s="7" t="inlineStr">
        <is>
          <t>Hind toyuğu döşü (çiy)</t>
        </is>
      </c>
      <c r="B14" s="7" t="inlineStr">
        <is>
          <t>fesa di tacchino</t>
        </is>
      </c>
      <c r="C14" s="7" t="n">
        <v>150</v>
      </c>
      <c r="D14" s="7" t="inlineStr">
        <is>
          <t>150 q</t>
        </is>
      </c>
      <c r="E14" s="32" t="n">
        <v>13</v>
      </c>
      <c r="F14" s="25">
        <f>C14/1000*E14</f>
        <v/>
      </c>
    </row>
    <row r="15">
      <c r="A15" s="7" t="inlineStr">
        <is>
          <t>Mal qiyməsi 5% (çiy)</t>
        </is>
      </c>
      <c r="B15" s="7" t="inlineStr">
        <is>
          <t>macinato magro di manzo</t>
        </is>
      </c>
      <c r="C15" s="7" t="n">
        <v>150</v>
      </c>
      <c r="D15" s="7" t="inlineStr">
        <is>
          <t>150 q</t>
        </is>
      </c>
      <c r="E15" s="32" t="n">
        <v>13</v>
      </c>
      <c r="F15" s="25">
        <f>C15/1000*E15</f>
        <v/>
      </c>
    </row>
    <row r="16">
      <c r="A16" s="7" t="inlineStr">
        <is>
          <t>Mal əti, yağsız (çiy)</t>
        </is>
      </c>
      <c r="B16" s="7" t="inlineStr">
        <is>
          <t>fesa di manzo</t>
        </is>
      </c>
      <c r="C16" s="7" t="n">
        <v>150</v>
      </c>
      <c r="D16" s="7" t="inlineStr">
        <is>
          <t>150 q</t>
        </is>
      </c>
      <c r="E16" s="32" t="n">
        <v>20</v>
      </c>
      <c r="F16" s="25">
        <f>C16/1000*E16</f>
        <v/>
      </c>
    </row>
    <row r="17">
      <c r="A17" s="7" t="inlineStr">
        <is>
          <t>Bresaola</t>
        </is>
      </c>
      <c r="B17" s="7" t="inlineStr">
        <is>
          <t>bresaola</t>
        </is>
      </c>
      <c r="C17" s="7" t="n">
        <v>100</v>
      </c>
      <c r="D17" s="7" t="inlineStr">
        <is>
          <t>100 q</t>
        </is>
      </c>
      <c r="E17" s="32" t="n">
        <v>38</v>
      </c>
      <c r="F17" s="25">
        <f>C17/1000*E17</f>
        <v/>
      </c>
    </row>
    <row r="18">
      <c r="A18" s="7" t="inlineStr">
        <is>
          <t>Bişmiş vetçina</t>
        </is>
      </c>
      <c r="B18" s="7" t="inlineStr">
        <is>
          <t>prosciutto cotto</t>
        </is>
      </c>
      <c r="C18" s="7" t="n">
        <v>60</v>
      </c>
      <c r="D18" s="7" t="inlineStr">
        <is>
          <t>60 q</t>
        </is>
      </c>
      <c r="E18" s="32" t="n">
        <v>18</v>
      </c>
      <c r="F18" s="25">
        <f>C18/1000*E18</f>
        <v/>
      </c>
    </row>
    <row r="19">
      <c r="A19" s="7" t="inlineStr">
        <is>
          <t>Mortadella (Bolonya)</t>
        </is>
      </c>
      <c r="B19" s="7" t="inlineStr">
        <is>
          <t>mortadella</t>
        </is>
      </c>
      <c r="C19" s="7" t="n">
        <v>20</v>
      </c>
      <c r="D19" s="7" t="inlineStr">
        <is>
          <t>20 q</t>
        </is>
      </c>
      <c r="E19" s="32" t="n">
        <v>16</v>
      </c>
      <c r="F19" s="25">
        <f>C19/1000*E19</f>
        <v/>
      </c>
    </row>
    <row r="20">
      <c r="A20" s="7" t="inlineStr">
        <is>
          <t>Tuna, öz suyunda</t>
        </is>
      </c>
      <c r="B20" s="7" t="inlineStr">
        <is>
          <t>tonno al naturale</t>
        </is>
      </c>
      <c r="C20" s="7" t="n">
        <v>160</v>
      </c>
      <c r="D20" s="7" t="inlineStr">
        <is>
          <t>160 q</t>
        </is>
      </c>
      <c r="E20" s="32" t="n">
        <v>16</v>
      </c>
      <c r="F20" s="25">
        <f>C20/1000*E20</f>
        <v/>
      </c>
    </row>
    <row r="21">
      <c r="A21" s="7" t="inlineStr">
        <is>
          <t>Qızılbalıq (çiy)</t>
        </is>
      </c>
      <c r="B21" s="7" t="inlineStr">
        <is>
          <t>salmone</t>
        </is>
      </c>
      <c r="C21" s="7" t="n">
        <v>130</v>
      </c>
      <c r="D21" s="7" t="inlineStr">
        <is>
          <t>130 q</t>
        </is>
      </c>
      <c r="E21" s="32" t="n">
        <v>20</v>
      </c>
      <c r="F21" s="25">
        <f>C21/1000*E21</f>
        <v/>
      </c>
    </row>
    <row r="22">
      <c r="A22" s="7" t="inlineStr">
        <is>
          <t>Treska (çiy)</t>
        </is>
      </c>
      <c r="B22" s="7" t="inlineStr">
        <is>
          <t>merluzzo</t>
        </is>
      </c>
      <c r="C22" s="7" t="n">
        <v>200</v>
      </c>
      <c r="D22" s="7" t="inlineStr">
        <is>
          <t>200 q</t>
        </is>
      </c>
      <c r="E22" s="32" t="n">
        <v>15</v>
      </c>
      <c r="F22" s="25">
        <f>C22/1000*E22</f>
        <v/>
      </c>
    </row>
    <row r="23">
      <c r="A23" s="7" t="inlineStr">
        <is>
          <t>Krevet (çiy)</t>
        </is>
      </c>
      <c r="B23" s="7" t="inlineStr">
        <is>
          <t>gamberi</t>
        </is>
      </c>
      <c r="C23" s="7" t="n">
        <v>150</v>
      </c>
      <c r="D23" s="7" t="inlineStr">
        <is>
          <t>150 q</t>
        </is>
      </c>
      <c r="E23" s="32" t="n">
        <v>16</v>
      </c>
      <c r="F23" s="25">
        <f>C23/1000*E23</f>
        <v/>
      </c>
    </row>
    <row r="24">
      <c r="A24" s="7" t="inlineStr">
        <is>
          <t>Makaron (çiy)</t>
        </is>
      </c>
      <c r="B24" s="7" t="inlineStr">
        <is>
          <t>pasta di semola</t>
        </is>
      </c>
      <c r="C24" s="7" t="n">
        <v>110</v>
      </c>
      <c r="D24" s="7" t="inlineStr">
        <is>
          <t>110 q</t>
        </is>
      </c>
      <c r="E24" s="32" t="n">
        <v>1.8</v>
      </c>
      <c r="F24" s="25">
        <f>C24/1000*E24</f>
        <v/>
      </c>
    </row>
    <row r="25">
      <c r="A25" s="7" t="inlineStr">
        <is>
          <t>Tam taxıl makaron (çiy)</t>
        </is>
      </c>
      <c r="B25" s="7" t="inlineStr">
        <is>
          <t>pasta integrale</t>
        </is>
      </c>
      <c r="C25" s="7" t="n">
        <v>90</v>
      </c>
      <c r="D25" s="7" t="inlineStr">
        <is>
          <t>90 q</t>
        </is>
      </c>
      <c r="E25" s="32" t="n">
        <v>2.4</v>
      </c>
      <c r="F25" s="25">
        <f>C25/1000*E25</f>
        <v/>
      </c>
    </row>
    <row r="26">
      <c r="A26" s="7" t="inlineStr">
        <is>
          <t>Düyü (çiy)</t>
        </is>
      </c>
      <c r="B26" s="7" t="inlineStr">
        <is>
          <t>riso</t>
        </is>
      </c>
      <c r="C26" s="7" t="n">
        <v>360</v>
      </c>
      <c r="D26" s="7" t="inlineStr">
        <is>
          <t>360 q</t>
        </is>
      </c>
      <c r="E26" s="32" t="n">
        <v>2.4</v>
      </c>
      <c r="F26" s="25">
        <f>C26/1000*E26</f>
        <v/>
      </c>
    </row>
    <row r="27">
      <c r="A27" s="7" t="inlineStr">
        <is>
          <t>Kartof</t>
        </is>
      </c>
      <c r="B27" s="7" t="inlineStr">
        <is>
          <t>patate</t>
        </is>
      </c>
      <c r="C27" s="7" t="n">
        <v>950</v>
      </c>
      <c r="D27" s="7" t="inlineStr">
        <is>
          <t>950 q</t>
        </is>
      </c>
      <c r="E27" s="32" t="n">
        <v>1.5</v>
      </c>
      <c r="F27" s="25">
        <f>C27/1000*E27</f>
        <v/>
      </c>
    </row>
    <row r="28">
      <c r="A28" s="7" t="inlineStr">
        <is>
          <t>Batat</t>
        </is>
      </c>
      <c r="B28" s="7" t="inlineStr">
        <is>
          <t>patata dolce</t>
        </is>
      </c>
      <c r="C28" s="7" t="n">
        <v>350</v>
      </c>
      <c r="D28" s="7" t="inlineStr">
        <is>
          <t>350 q</t>
        </is>
      </c>
      <c r="E28" s="32" t="n">
        <v>2.8</v>
      </c>
      <c r="F28" s="25">
        <f>C28/1000*E28</f>
        <v/>
      </c>
    </row>
    <row r="29">
      <c r="A29" s="7" t="inlineStr">
        <is>
          <t>Ağ çörək</t>
        </is>
      </c>
      <c r="B29" s="7" t="inlineStr">
        <is>
          <t>pane comune</t>
        </is>
      </c>
      <c r="C29" s="7" t="n">
        <v>230</v>
      </c>
      <c r="D29" s="7" t="inlineStr">
        <is>
          <t>230 q</t>
        </is>
      </c>
      <c r="E29" s="32" t="n">
        <v>3.5</v>
      </c>
      <c r="F29" s="25">
        <f>C29/1000*E29</f>
        <v/>
      </c>
    </row>
    <row r="30">
      <c r="A30" s="7" t="inlineStr">
        <is>
          <t>Tam taxıl çörək</t>
        </is>
      </c>
      <c r="B30" s="7" t="inlineStr">
        <is>
          <t>pane integrale</t>
        </is>
      </c>
      <c r="C30" s="7" t="n">
        <v>320</v>
      </c>
      <c r="D30" s="7" t="inlineStr">
        <is>
          <t>320 q</t>
        </is>
      </c>
      <c r="E30" s="32" t="n">
        <v>4.5</v>
      </c>
      <c r="F30" s="25">
        <f>C30/1000*E30</f>
        <v/>
      </c>
    </row>
    <row r="31">
      <c r="A31" s="7" t="inlineStr">
        <is>
          <t>Piadina</t>
        </is>
      </c>
      <c r="B31" s="7" t="inlineStr">
        <is>
          <t>piadina romagnola</t>
        </is>
      </c>
      <c r="C31" s="7" t="n">
        <v>220</v>
      </c>
      <c r="D31" s="7" t="inlineStr">
        <is>
          <t>220 q</t>
        </is>
      </c>
      <c r="E31" s="32" t="n">
        <v>6</v>
      </c>
      <c r="F31" s="25">
        <f>C31/1000*E31</f>
        <v/>
      </c>
    </row>
    <row r="32">
      <c r="A32" s="7" t="inlineStr">
        <is>
          <t>Düyü qalletası</t>
        </is>
      </c>
      <c r="B32" s="7" t="inlineStr">
        <is>
          <t>gallette di riso</t>
        </is>
      </c>
      <c r="C32" s="7" t="n">
        <v>66</v>
      </c>
      <c r="D32" s="7" t="inlineStr">
        <is>
          <t>70 q</t>
        </is>
      </c>
      <c r="E32" s="32" t="n">
        <v>8</v>
      </c>
      <c r="F32" s="25">
        <f>C32/1000*E32</f>
        <v/>
      </c>
    </row>
    <row r="33">
      <c r="A33" s="7" t="inlineStr">
        <is>
          <t>Mərcimək (quru)</t>
        </is>
      </c>
      <c r="B33" s="7" t="inlineStr">
        <is>
          <t>lenticchie secche</t>
        </is>
      </c>
      <c r="C33" s="7" t="n">
        <v>80</v>
      </c>
      <c r="D33" s="7" t="inlineStr">
        <is>
          <t>80 q</t>
        </is>
      </c>
      <c r="E33" s="32" t="n">
        <v>4</v>
      </c>
      <c r="F33" s="25">
        <f>C33/1000*E33</f>
        <v/>
      </c>
    </row>
    <row r="34">
      <c r="A34" s="7" t="inlineStr">
        <is>
          <t>Noxud (konserv, süzülmüş)</t>
        </is>
      </c>
      <c r="B34" s="7" t="inlineStr">
        <is>
          <t>ceci lessati</t>
        </is>
      </c>
      <c r="C34" s="7" t="n">
        <v>240</v>
      </c>
      <c r="D34" s="7" t="inlineStr">
        <is>
          <t>240 q</t>
        </is>
      </c>
      <c r="E34" s="32" t="n">
        <v>2.5</v>
      </c>
      <c r="F34" s="25">
        <f>C34/1000*E34</f>
        <v/>
      </c>
    </row>
    <row r="35">
      <c r="A35" s="7" t="inlineStr">
        <is>
          <t>Banan</t>
        </is>
      </c>
      <c r="B35" s="7" t="inlineStr">
        <is>
          <t>banana</t>
        </is>
      </c>
      <c r="C35" s="7" t="n">
        <v>720</v>
      </c>
      <c r="D35" s="7" t="inlineStr">
        <is>
          <t>720 q</t>
        </is>
      </c>
      <c r="E35" s="32" t="n">
        <v>1.8</v>
      </c>
      <c r="F35" s="25">
        <f>C35/1000*E35</f>
        <v/>
      </c>
    </row>
    <row r="36">
      <c r="A36" s="7" t="inlineStr">
        <is>
          <t>Alma</t>
        </is>
      </c>
      <c r="B36" s="7" t="inlineStr">
        <is>
          <t>mela</t>
        </is>
      </c>
      <c r="C36" s="7" t="n">
        <v>540</v>
      </c>
      <c r="D36" s="7" t="inlineStr">
        <is>
          <t>540 q</t>
        </is>
      </c>
      <c r="E36" s="32" t="n">
        <v>2</v>
      </c>
      <c r="F36" s="25">
        <f>C36/1000*E36</f>
        <v/>
      </c>
    </row>
    <row r="37">
      <c r="A37" s="7" t="inlineStr">
        <is>
          <t>Üzüm</t>
        </is>
      </c>
      <c r="B37" s="7" t="inlineStr">
        <is>
          <t>uva</t>
        </is>
      </c>
      <c r="C37" s="7" t="n">
        <v>400</v>
      </c>
      <c r="D37" s="7" t="inlineStr">
        <is>
          <t>400 q</t>
        </is>
      </c>
      <c r="E37" s="32" t="n">
        <v>3</v>
      </c>
      <c r="F37" s="25">
        <f>C37/1000*E37</f>
        <v/>
      </c>
    </row>
    <row r="38">
      <c r="A38" s="7" t="inlineStr">
        <is>
          <t>Xurma</t>
        </is>
      </c>
      <c r="B38" s="7" t="inlineStr">
        <is>
          <t>cachi</t>
        </is>
      </c>
      <c r="C38" s="7" t="n">
        <v>200</v>
      </c>
      <c r="D38" s="7" t="inlineStr">
        <is>
          <t>200 q</t>
        </is>
      </c>
      <c r="E38" s="32" t="n">
        <v>3</v>
      </c>
      <c r="F38" s="25">
        <f>C38/1000*E38</f>
        <v/>
      </c>
    </row>
    <row r="39">
      <c r="A39" s="7" t="inlineStr">
        <is>
          <t>Portağal</t>
        </is>
      </c>
      <c r="B39" s="7" t="inlineStr">
        <is>
          <t>arancia</t>
        </is>
      </c>
      <c r="C39" s="7" t="n">
        <v>150</v>
      </c>
      <c r="D39" s="7" t="inlineStr">
        <is>
          <t>150 q</t>
        </is>
      </c>
      <c r="E39" s="32" t="n">
        <v>2</v>
      </c>
      <c r="F39" s="25">
        <f>C39/1000*E39</f>
        <v/>
      </c>
    </row>
    <row r="40">
      <c r="A40" s="7" t="inlineStr">
        <is>
          <t>Kivi</t>
        </is>
      </c>
      <c r="B40" s="7" t="inlineStr">
        <is>
          <t>kiwi</t>
        </is>
      </c>
      <c r="C40" s="7" t="n">
        <v>150</v>
      </c>
      <c r="D40" s="7" t="inlineStr">
        <is>
          <t>150 q</t>
        </is>
      </c>
      <c r="E40" s="32" t="n">
        <v>3</v>
      </c>
      <c r="F40" s="25">
        <f>C40/1000*E40</f>
        <v/>
      </c>
    </row>
    <row r="41">
      <c r="A41" s="7" t="inlineStr">
        <is>
          <t>Brokoli</t>
        </is>
      </c>
      <c r="B41" s="7" t="inlineStr">
        <is>
          <t>broccoli</t>
        </is>
      </c>
      <c r="C41" s="7" t="n">
        <v>350</v>
      </c>
      <c r="D41" s="7" t="inlineStr">
        <is>
          <t>350 q</t>
        </is>
      </c>
      <c r="E41" s="32" t="n">
        <v>3</v>
      </c>
      <c r="F41" s="25">
        <f>C41/1000*E41</f>
        <v/>
      </c>
    </row>
    <row r="42">
      <c r="A42" s="7" t="inlineStr">
        <is>
          <t>İspanaq</t>
        </is>
      </c>
      <c r="B42" s="7" t="inlineStr">
        <is>
          <t>spinaci</t>
        </is>
      </c>
      <c r="C42" s="7" t="n">
        <v>150</v>
      </c>
      <c r="D42" s="7" t="inlineStr">
        <is>
          <t>150 q</t>
        </is>
      </c>
      <c r="E42" s="32" t="n">
        <v>5</v>
      </c>
      <c r="F42" s="25">
        <f>C42/1000*E42</f>
        <v/>
      </c>
    </row>
    <row r="43">
      <c r="A43" s="7" t="inlineStr">
        <is>
          <t>Pomidor</t>
        </is>
      </c>
      <c r="B43" s="7" t="inlineStr">
        <is>
          <t>pomodori</t>
        </is>
      </c>
      <c r="C43" s="7" t="n">
        <v>270</v>
      </c>
      <c r="D43" s="7" t="inlineStr">
        <is>
          <t>270 q</t>
        </is>
      </c>
      <c r="E43" s="32" t="n">
        <v>2.5</v>
      </c>
      <c r="F43" s="25">
        <f>C43/1000*E43</f>
        <v/>
      </c>
    </row>
    <row r="44">
      <c r="A44" s="7" t="inlineStr">
        <is>
          <t>Yaşıl salat</t>
        </is>
      </c>
      <c r="B44" s="7" t="inlineStr">
        <is>
          <t>insalata</t>
        </is>
      </c>
      <c r="C44" s="7" t="n">
        <v>560</v>
      </c>
      <c r="D44" s="7" t="inlineStr">
        <is>
          <t>560 q</t>
        </is>
      </c>
      <c r="E44" s="32" t="n">
        <v>6</v>
      </c>
      <c r="F44" s="25">
        <f>C44/1000*E44</f>
        <v/>
      </c>
    </row>
    <row r="45">
      <c r="A45" s="7" t="inlineStr">
        <is>
          <t>Yerkökü</t>
        </is>
      </c>
      <c r="B45" s="7" t="inlineStr">
        <is>
          <t>carote</t>
        </is>
      </c>
      <c r="C45" s="7" t="n">
        <v>230</v>
      </c>
      <c r="D45" s="7" t="inlineStr">
        <is>
          <t>230 q</t>
        </is>
      </c>
      <c r="E45" s="32" t="n">
        <v>1.4</v>
      </c>
      <c r="F45" s="25">
        <f>C45/1000*E45</f>
        <v/>
      </c>
    </row>
    <row r="46">
      <c r="A46" s="7" t="inlineStr">
        <is>
          <t>Sukkini (balqabaq)</t>
        </is>
      </c>
      <c r="B46" s="7" t="inlineStr">
        <is>
          <t>zucchine</t>
        </is>
      </c>
      <c r="C46" s="7" t="n">
        <v>400</v>
      </c>
      <c r="D46" s="7" t="inlineStr">
        <is>
          <t>400 q</t>
        </is>
      </c>
      <c r="E46" s="32" t="n">
        <v>2.5</v>
      </c>
      <c r="F46" s="25">
        <f>C46/1000*E46</f>
        <v/>
      </c>
    </row>
    <row r="47">
      <c r="A47" s="7" t="inlineStr">
        <is>
          <t>Xiyar</t>
        </is>
      </c>
      <c r="B47" s="7" t="inlineStr">
        <is>
          <t>cetrioli</t>
        </is>
      </c>
      <c r="C47" s="7" t="n">
        <v>100</v>
      </c>
      <c r="D47" s="7" t="inlineStr">
        <is>
          <t>100 q</t>
        </is>
      </c>
      <c r="E47" s="32" t="n">
        <v>2</v>
      </c>
      <c r="F47" s="25">
        <f>C47/1000*E47</f>
        <v/>
      </c>
    </row>
    <row r="48">
      <c r="A48" s="7" t="inlineStr">
        <is>
          <t>Pomidor sousu</t>
        </is>
      </c>
      <c r="B48" s="7" t="inlineStr">
        <is>
          <t>passata di pomodoro</t>
        </is>
      </c>
      <c r="C48" s="7" t="n">
        <v>250</v>
      </c>
      <c r="D48" s="7" t="inlineStr">
        <is>
          <t>250 q</t>
        </is>
      </c>
      <c r="E48" s="32" t="n">
        <v>1.8</v>
      </c>
      <c r="F48" s="25">
        <f>C48/1000*E48</f>
        <v/>
      </c>
    </row>
    <row r="49">
      <c r="A49" s="7" t="inlineStr">
        <is>
          <t>Zeytun yağı</t>
        </is>
      </c>
      <c r="B49" s="7" t="inlineStr">
        <is>
          <t>olio extravergine</t>
        </is>
      </c>
      <c r="C49" s="7" t="n">
        <v>115</v>
      </c>
      <c r="D49" s="7" t="inlineStr">
        <is>
          <t>120 q</t>
        </is>
      </c>
      <c r="E49" s="32" t="n">
        <v>9</v>
      </c>
      <c r="F49" s="25">
        <f>C49/1000*E49</f>
        <v/>
      </c>
    </row>
    <row r="50">
      <c r="A50" s="7" t="inlineStr">
        <is>
          <t>Fıstıq pastası</t>
        </is>
      </c>
      <c r="B50" s="7" t="inlineStr">
        <is>
          <t>burro d'arachidi</t>
        </is>
      </c>
      <c r="C50" s="7" t="n">
        <v>15</v>
      </c>
      <c r="D50" s="7" t="inlineStr">
        <is>
          <t>20 q</t>
        </is>
      </c>
      <c r="E50" s="32" t="n">
        <v>9</v>
      </c>
      <c r="F50" s="25">
        <f>C50/1000*E50</f>
        <v/>
      </c>
    </row>
    <row r="51">
      <c r="A51" s="7" t="inlineStr">
        <is>
          <t>Badam</t>
        </is>
      </c>
      <c r="B51" s="7" t="inlineStr">
        <is>
          <t>mandorle</t>
        </is>
      </c>
      <c r="C51" s="7" t="n">
        <v>45</v>
      </c>
      <c r="D51" s="7" t="inlineStr">
        <is>
          <t>50 q</t>
        </is>
      </c>
      <c r="E51" s="32" t="n">
        <v>14</v>
      </c>
      <c r="F51" s="25">
        <f>C51/1000*E51</f>
        <v/>
      </c>
    </row>
    <row r="52">
      <c r="A52" s="7" t="inlineStr">
        <is>
          <t>Qoz</t>
        </is>
      </c>
      <c r="B52" s="7" t="inlineStr">
        <is>
          <t>noci</t>
        </is>
      </c>
      <c r="C52" s="7" t="n">
        <v>40</v>
      </c>
      <c r="D52" s="7" t="inlineStr">
        <is>
          <t>40 q</t>
        </is>
      </c>
      <c r="E52" s="32" t="n">
        <v>14</v>
      </c>
      <c r="F52" s="25">
        <f>C52/1000*E52</f>
        <v/>
      </c>
    </row>
    <row r="53">
      <c r="A53" s="7" t="inlineStr">
        <is>
          <t>Bal</t>
        </is>
      </c>
      <c r="B53" s="7" t="inlineStr">
        <is>
          <t>miele</t>
        </is>
      </c>
      <c r="C53" s="7" t="n">
        <v>60</v>
      </c>
      <c r="D53" s="7" t="inlineStr">
        <is>
          <t>60 q</t>
        </is>
      </c>
      <c r="E53" s="32" t="n">
        <v>9</v>
      </c>
      <c r="F53" s="25">
        <f>C53/1000*E53</f>
        <v/>
      </c>
    </row>
    <row r="54">
      <c r="A54" s="6" t="inlineStr">
        <is>
          <t>Cəmi (həftə)</t>
        </is>
      </c>
      <c r="F54" s="33">
        <f>SUM(F2:F53)</f>
        <v/>
      </c>
    </row>
    <row r="55">
      <c r="A55" s="9" t="inlineStr">
        <is>
          <t>Qiymətlər Bolonya supermarketləri üçün təxminidir (2026). Bar/restoran yeməkləri daxil deyil.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" t="inlineStr">
        <is>
          <t>Bolonyada necə yemək</t>
        </is>
      </c>
    </row>
    <row r="2"/>
    <row r="3" ht="45" customHeight="1">
      <c r="A3" s="34" t="inlineStr">
        <is>
          <t>Harada almaq</t>
        </is>
      </c>
      <c r="B3" s="30" t="inlineStr">
        <is>
          <t>Lidl və Eurospin — ən ucuz əsas məhsullar (yulaf, yoqurt, tuna, düyü). Conad, Coop, Esselunga — daha geniş seçim, protein məhsulları (skyr, fiocchi di latte, bresaola). Mercato delle Erbe (Via Ugo Bassi) — təzə meyvə-tərəvəz və ət.</t>
        </is>
      </c>
    </row>
    <row r="4" ht="45" customHeight="1">
      <c r="A4" s="34" t="inlineStr">
        <is>
          <t>Mensa (ER.GO)</t>
        </is>
      </c>
      <c r="B4" s="30" t="inlineStr">
        <is>
          <t>Tələbə yeməkxanasında: bir “primo” (makaron/düyü), bir “secondo” (ət/balıq/yumurta) və “contorno” (tərəvəz) götür. Protein üçün secondo-nu mütləq götür. Gündəliyə hər birini ayrıca yaz (makaron bişmiş ≈ 200–250 q).</t>
        </is>
      </c>
    </row>
    <row r="5" ht="45" customHeight="1">
      <c r="A5" s="34" t="inlineStr">
        <is>
          <t>Bolonya yeməkləri</t>
        </is>
      </c>
      <c r="B5" s="30" t="inlineStr">
        <is>
          <t>Tagliatelle al ragù, tortellini, lazanya — qadağan deyil. Həftədə 1–2 dəfə restoranda ye, porsiyanı gündəliyə yaz və həmin gün digər yeməklərdə yağı azalt.</t>
        </is>
      </c>
    </row>
    <row r="6" ht="45" customHeight="1">
      <c r="A6" s="34" t="inlineStr">
        <is>
          <t>Mortadella və salumi</t>
        </is>
      </c>
      <c r="B6" s="30" t="inlineStr">
        <is>
          <t>Mortadella dadlıdır, amma çox yağlıdır: 30 q ≈ 86 kkal, cəmi 4,5 q protein. Hər gün üçün bresaola və prosciutto cotto daha yaxşıdır.</t>
        </is>
      </c>
    </row>
    <row r="7" ht="45" customHeight="1">
      <c r="A7" s="34" t="inlineStr">
        <is>
          <t>Bar səhər yeməyi</t>
        </is>
      </c>
      <c r="B7" s="30" t="inlineStr">
        <is>
          <t>Kapuçino + kruasan ≈ 310 kkal, cəmi 8 q protein. Bunu etsən, yanına skyr və ya yoqurt əlavə et.</t>
        </is>
      </c>
    </row>
    <row r="8" ht="45" customHeight="1">
      <c r="A8" s="34" t="inlineStr">
        <is>
          <t>Aperitivo</t>
        </is>
      </c>
      <c r="B8" s="30" t="inlineStr">
        <is>
          <t>Spritz ≈ 150–200 kkal, pivə 0,4 l ≈ 170 kkal. Spirt bərpanı zəiflədir: məşq günləri və tennisdən sonra içmə.</t>
        </is>
      </c>
    </row>
    <row r="9" ht="45" customHeight="1">
      <c r="A9" s="34" t="inlineStr">
        <is>
          <t>Mövsüm (oktyabr–noyabr)</t>
        </is>
      </c>
      <c r="B9" s="30" t="inlineStr">
        <is>
          <t>Ucuz və təzə: üzüm, alma, armud, xurma (cachi), balqabaq (zucca), brokoli, kələm. Payızda yağışlı günlərdə Portici altında gəzintini unutma: gündə 8–10 min addım.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2026-10-09T23:36:06Z</dcterms:created>
  <dcterms:modified xmlns:dcterms="http://purl.org/dc/terms/" xmlns:xsi="http://www.w3.org/2001/XMLSchema-instance" xsi:type="dcterms:W3CDTF">2026-10-09T23:36:07Z</dcterms:modified>
</cp:coreProperties>
</file>